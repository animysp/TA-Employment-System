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d.docs.live.net/6d80e1fc783b62cb/02 - WORK/02 - TA Management/0 - TA_ClaudeCowork/Teaching Assistants Employment Process/5 - เบิกจ่าย/68-Summer/"/>
    </mc:Choice>
  </mc:AlternateContent>
  <xr:revisionPtr revIDLastSave="1" documentId="8_{259C4202-B85B-4C44-862A-0F222644AA80}" xr6:coauthVersionLast="47" xr6:coauthVersionMax="47" xr10:uidLastSave="{3B13CD36-3BBA-B64D-9055-402A0C84C714}"/>
  <bookViews>
    <workbookView xWindow="0" yWindow="780" windowWidth="36000" windowHeight="22600" xr2:uid="{00000000-000D-0000-FFFF-FFFF00000000}"/>
  </bookViews>
  <sheets>
    <sheet name="manual" sheetId="1" r:id="rId1"/>
    <sheet name="Maintable" sheetId="2" state="hidden" r:id="rId2"/>
    <sheet name="Course_list" sheetId="3" state="hidden" r:id="rId3"/>
    <sheet name="F-12 ใบเบิกค่าสอน(Eng Version)" sheetId="4" state="hidden" r:id="rId4"/>
  </sheets>
  <definedNames>
    <definedName name="_xlnm._FilterDatabase" localSheetId="2" hidden="1">Course_list!$A$1:$E$1</definedName>
    <definedName name="_xlnm.Print_Area" localSheetId="0">manual!$A$1:$H$35</definedName>
    <definedName name="นางสาว_Chen_Yang">Course_list!$A$2</definedName>
    <definedName name="นางสาว_Haitao_Liu">Course_list!$A$3:$A$4</definedName>
    <definedName name="นาย_Shengzhe_Huang">Course_list!$A$14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M28" i="2" a="1"/>
  <c r="M35" i="2" s="1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H28" i="1"/>
  <c r="H27" i="1"/>
  <c r="H26" i="1"/>
  <c r="H25" i="1"/>
  <c r="H24" i="1"/>
  <c r="H23" i="1"/>
  <c r="C29" i="1" l="1"/>
  <c r="E29" i="1" s="1"/>
  <c r="M29" i="2"/>
  <c r="M30" i="2"/>
  <c r="M31" i="2"/>
  <c r="M32" i="2"/>
  <c r="M33" i="2"/>
  <c r="M34" i="2"/>
  <c r="M28" i="2"/>
</calcChain>
</file>

<file path=xl/sharedStrings.xml><?xml version="1.0" encoding="utf-8"?>
<sst xmlns="http://schemas.openxmlformats.org/spreadsheetml/2006/main" count="511" uniqueCount="175">
  <si>
    <t xml:space="preserve">                             แบบใบเบิกค่าตอบแทนทุนผู้ช่วยสอน</t>
  </si>
  <si>
    <t xml:space="preserve">                             วิทยาลัยศิลปะ สื่อ และเทคโนโลยี มหาวิทยาลัยเชียงใหม่</t>
  </si>
  <si>
    <t>ประจำเดือน</t>
  </si>
  <si>
    <t>เมษายน 2569</t>
  </si>
  <si>
    <t xml:space="preserve">ระดับ  </t>
  </si>
  <si>
    <t>บัณฑิตศึกษา</t>
  </si>
  <si>
    <t>หลักสูตร</t>
  </si>
  <si>
    <t>ภาคปกติ</t>
  </si>
  <si>
    <t>ปริญญาตรี</t>
  </si>
  <si>
    <t>ภาคพิเศษ</t>
  </si>
  <si>
    <t>นานาชาติ</t>
  </si>
  <si>
    <t>ชื่อผู้สอน</t>
  </si>
  <si>
    <t>วันเดือนปีที่สอน</t>
  </si>
  <si>
    <t>กระบวนวิชา</t>
  </si>
  <si>
    <t>จำนวนชั่วโมง</t>
  </si>
  <si>
    <t>ค่าสอนต่อชั่วโมง</t>
  </si>
  <si>
    <t>รวมค่าสอน</t>
  </si>
  <si>
    <t>ผู้รับเงิน</t>
  </si>
  <si>
    <t>หมายเหตุ</t>
  </si>
  <si>
    <t>รวมจำนวนเงินที่ขอเบิก</t>
  </si>
  <si>
    <t>ผู้จัดทำ/ผู้ตรวจสอบ</t>
  </si>
  <si>
    <t>หัวหน้าภาควิชาหรือตำแหน่งอื่นที่เทียบเท่า</t>
  </si>
  <si>
    <t>ผู้อนุมัติ</t>
  </si>
  <si>
    <t>ผู้จ่ายเงิน</t>
  </si>
  <si>
    <t>ลงชื่อ..................................................</t>
  </si>
  <si>
    <t>ลงชื่อ.....................................................</t>
  </si>
  <si>
    <t>(........................................................)</t>
  </si>
  <si>
    <t>ตำแหน่ง.............................................</t>
  </si>
  <si>
    <t>ตำแหน่ง................................................</t>
  </si>
  <si>
    <t>วันที่...................................................</t>
  </si>
  <si>
    <t>วันที่......................................................</t>
  </si>
  <si>
    <t>Key</t>
  </si>
  <si>
    <t xml:space="preserve">ชื่อผู้สอน </t>
  </si>
  <si>
    <t>รหัสวิชา</t>
  </si>
  <si>
    <t>Section</t>
  </si>
  <si>
    <t>Rate</t>
  </si>
  <si>
    <t>เดือน / ปี</t>
  </si>
  <si>
    <t>DateID</t>
  </si>
  <si>
    <t>เดือนCAMT</t>
  </si>
  <si>
    <t>วันที่เขียนเบิกได้</t>
  </si>
  <si>
    <t>ช่วงเบิกที่</t>
  </si>
  <si>
    <t>UserID</t>
  </si>
  <si>
    <t>รายชื่อ อ.พิเศษ</t>
  </si>
  <si>
    <t xml:space="preserve">นางสาว Chen Yang </t>
  </si>
  <si>
    <t>มิถุนายน 2567</t>
  </si>
  <si>
    <t>U1</t>
  </si>
  <si>
    <t>นางสาว Chen Yang</t>
  </si>
  <si>
    <t xml:space="preserve">นางสาว Haitao Liu </t>
  </si>
  <si>
    <t>กรกฎาคม 2567</t>
  </si>
  <si>
    <t>U2</t>
  </si>
  <si>
    <t>นางสาว Haitao Liu</t>
  </si>
  <si>
    <t>สิงหาคม 2567</t>
  </si>
  <si>
    <t>U3</t>
  </si>
  <si>
    <t>นางสาว เพ็ญศิริ นิจประกิจ</t>
  </si>
  <si>
    <t xml:space="preserve">นางสาว เพ็ญศิริ นิจประกิจ </t>
  </si>
  <si>
    <t>001</t>
  </si>
  <si>
    <t>กันยายน 2567</t>
  </si>
  <si>
    <t>U4</t>
  </si>
  <si>
    <t>นางสาว ธนธรณ์ ปัญญาแก้ว</t>
  </si>
  <si>
    <t>ตุลาคม 2567</t>
  </si>
  <si>
    <t>U5</t>
  </si>
  <si>
    <t>นางสาว พิมพ์ชนก กลิ่นจันทร์</t>
  </si>
  <si>
    <t xml:space="preserve">นางสาว ธนธรณ์ ปัญญาแก้ว </t>
  </si>
  <si>
    <t>004</t>
  </si>
  <si>
    <t>Sat. สอนตามจริง</t>
  </si>
  <si>
    <t>U6</t>
  </si>
  <si>
    <t>นางสาว พิมพิกา สุภาวงค์</t>
  </si>
  <si>
    <t xml:space="preserve">นางสาว พิมพ์ชนก กลิ่นจันทร์ </t>
  </si>
  <si>
    <t>Sun. สอนตามจริง</t>
  </si>
  <si>
    <t>U7</t>
  </si>
  <si>
    <t>นางสาว ภคมณฑ์ กรสังข์</t>
  </si>
  <si>
    <t xml:space="preserve">นางสาว พิมพิกา สุภาวงค์ </t>
  </si>
  <si>
    <t>002-01</t>
  </si>
  <si>
    <t>U8</t>
  </si>
  <si>
    <t>นางสาว มนัสนันท์ ขันทอง</t>
  </si>
  <si>
    <t xml:space="preserve">นางสาว ภคมณฑ์ กรสังข์ </t>
  </si>
  <si>
    <t>U9</t>
  </si>
  <si>
    <t>นางสาว วณัทชญา แก้ววงวาน</t>
  </si>
  <si>
    <t xml:space="preserve">นางสาว มนัสนันท์ ขันทอง </t>
  </si>
  <si>
    <t>001-1</t>
  </si>
  <si>
    <t>U10</t>
  </si>
  <si>
    <t>นาย Shengzhe Huang</t>
  </si>
  <si>
    <t>U11</t>
  </si>
  <si>
    <t>นาย เกริก สุริยมณี</t>
  </si>
  <si>
    <t xml:space="preserve">นางสาว วณัทชญา แก้ววงวาน </t>
  </si>
  <si>
    <t>U12</t>
  </si>
  <si>
    <t>นาย เกริกเกียรติ วงศ์อุทัย</t>
  </si>
  <si>
    <t xml:space="preserve">นาย Shengzhe Huang </t>
  </si>
  <si>
    <t>U13</t>
  </si>
  <si>
    <t>นาย เตชณัฐ อัครจาคะ</t>
  </si>
  <si>
    <t xml:space="preserve">นาย เกริก สุริยมณี </t>
  </si>
  <si>
    <t>001-01</t>
  </si>
  <si>
    <t>U14</t>
  </si>
  <si>
    <t>นาย ไชยวัฒน์ ปาลี</t>
  </si>
  <si>
    <t>701-01</t>
  </si>
  <si>
    <t>U15</t>
  </si>
  <si>
    <t>นาย จักรพันธ์ ไชยวงค์</t>
  </si>
  <si>
    <t xml:space="preserve">นาย เกริกเกียรติ วงศ์อุทัย </t>
  </si>
  <si>
    <t>U16</t>
  </si>
  <si>
    <t>นาย ชลชาติ อภิศร</t>
  </si>
  <si>
    <t>U17</t>
  </si>
  <si>
    <t>นาย ชานน กันยะมี</t>
  </si>
  <si>
    <t>U18</t>
  </si>
  <si>
    <t>นาย ณัฐพล ศรีโคตร</t>
  </si>
  <si>
    <t>U19</t>
  </si>
  <si>
    <t>นาย ณัฐภูมิ อินสวรรค์</t>
  </si>
  <si>
    <t xml:space="preserve">นาย เตชณัฐ อัครจาคะ </t>
  </si>
  <si>
    <t>U20</t>
  </si>
  <si>
    <t>นาย นพพร สินสวัสดิ์</t>
  </si>
  <si>
    <t xml:space="preserve">นาย ไชยวัฒน์ ปาลี </t>
  </si>
  <si>
    <t>U21</t>
  </si>
  <si>
    <t>นาย พฤฒพงศ์ ชุ่มชื่น</t>
  </si>
  <si>
    <t xml:space="preserve">นาย จักรพันธ์ ไชยวงค์ </t>
  </si>
  <si>
    <t>002</t>
  </si>
  <si>
    <t>U22</t>
  </si>
  <si>
    <t>นาย ภูริช ชัยรัตน์</t>
  </si>
  <si>
    <t>U23</t>
  </si>
  <si>
    <t>นาย มัฆวาน บุญวงศ์</t>
  </si>
  <si>
    <t xml:space="preserve">นาย ชลชาติ อภิศร </t>
  </si>
  <si>
    <t>U24</t>
  </si>
  <si>
    <t>นาย รัชกัญจน์ คุณชยางกูร</t>
  </si>
  <si>
    <t xml:space="preserve">นาย ชานน กันยะมี </t>
  </si>
  <si>
    <t>001-2</t>
  </si>
  <si>
    <t>U25</t>
  </si>
  <si>
    <t>นาย รัชพล สรณถาวรกุล</t>
  </si>
  <si>
    <t>U26</t>
  </si>
  <si>
    <t>นาย วณิชย์ นีลดานุวงศ์</t>
  </si>
  <si>
    <t>U27</t>
  </si>
  <si>
    <t>นาย วัชรชัย ไชยวุฒิ</t>
  </si>
  <si>
    <t>U28</t>
  </si>
  <si>
    <t>นาย วันพิรุฬ แหกาวี</t>
  </si>
  <si>
    <t>U29</t>
  </si>
  <si>
    <t>นาย ศุภกร กันทะวงศ์</t>
  </si>
  <si>
    <t>U30</t>
  </si>
  <si>
    <t>นาย สิรวิชญ์ เซี่ยงฉิน</t>
  </si>
  <si>
    <t xml:space="preserve">นาย ณัฐพล ศรีโคตร </t>
  </si>
  <si>
    <t>U31</t>
  </si>
  <si>
    <t>นาย หัฐชัย รอดภัย</t>
  </si>
  <si>
    <t xml:space="preserve">นาย ณัฐภูมิ อินสวรรค์ </t>
  </si>
  <si>
    <t>U32</t>
  </si>
  <si>
    <t xml:space="preserve">นาย นพพร สินสวัสดิ์ </t>
  </si>
  <si>
    <t>001-3</t>
  </si>
  <si>
    <t xml:space="preserve">นาย พฤฒพงศ์ ชุ่มชื่น </t>
  </si>
  <si>
    <t>003</t>
  </si>
  <si>
    <t>วันหยุดฯ สอนชดเชย</t>
  </si>
  <si>
    <t xml:space="preserve">นาย ภูริช ชัยรัตน์ </t>
  </si>
  <si>
    <t xml:space="preserve">นาย มัฆวาน บุญวงศ์ </t>
  </si>
  <si>
    <t xml:space="preserve">นาย รัชกัญจน์ คุณชยางกูร </t>
  </si>
  <si>
    <t xml:space="preserve">นาย รัชพล สรณถาวรกุล </t>
  </si>
  <si>
    <t xml:space="preserve">นาย วณิชย์ นีลดานุวงศ์ </t>
  </si>
  <si>
    <t>020-1</t>
  </si>
  <si>
    <t xml:space="preserve">นาย วัชรชัย ไชยวุฒิ </t>
  </si>
  <si>
    <t xml:space="preserve">นาย วันพิรุฬ แหกาวี </t>
  </si>
  <si>
    <t xml:space="preserve">นาย ศุภกร กันทะวงศ์ </t>
  </si>
  <si>
    <t xml:space="preserve">นาย สิรวิชญ์ เซี่ยงฉิน </t>
  </si>
  <si>
    <t xml:space="preserve">นาย หัฐชัย รอดภัย </t>
  </si>
  <si>
    <t>030</t>
  </si>
  <si>
    <t>ไม่สามารถเบิกจ่ายได้</t>
  </si>
  <si>
    <r>
      <rPr>
        <b/>
        <sz val="14"/>
        <color theme="1"/>
        <rFont val="Niramit"/>
        <family val="2"/>
        <charset val="222"/>
      </rPr>
      <t>Requisition</t>
    </r>
    <r>
      <rPr>
        <b/>
        <sz val="14"/>
        <color rgb="FF000000"/>
        <rFont val="TH Niramit AS"/>
        <family val="3"/>
      </rPr>
      <t xml:space="preserve"> Form of Lecturer</t>
    </r>
  </si>
  <si>
    <t>College of Arts Media and Technology</t>
  </si>
  <si>
    <t>Date………………………………….……………..</t>
  </si>
  <si>
    <t>(     ) Graduate</t>
  </si>
  <si>
    <r>
      <rPr>
        <sz val="14"/>
        <color theme="1"/>
        <rFont val="Niramit"/>
        <family val="2"/>
        <charset val="222"/>
      </rPr>
      <t xml:space="preserve">(     ) </t>
    </r>
    <r>
      <rPr>
        <sz val="14"/>
        <color rgb="FF000000"/>
        <rFont val="TH Niramit AS"/>
        <family val="3"/>
      </rPr>
      <t>Full Time</t>
    </r>
  </si>
  <si>
    <t>(     ) Undergraduate</t>
  </si>
  <si>
    <r>
      <rPr>
        <sz val="14"/>
        <color theme="1"/>
        <rFont val="Niramit"/>
        <family val="2"/>
        <charset val="222"/>
      </rPr>
      <t xml:space="preserve">(     ) </t>
    </r>
    <r>
      <rPr>
        <sz val="14"/>
        <color rgb="FF000000"/>
        <rFont val="TH Niramit AS"/>
        <family val="3"/>
      </rPr>
      <t>Part-Time</t>
    </r>
  </si>
  <si>
    <t>(     ) International</t>
  </si>
  <si>
    <t>Lecturer</t>
  </si>
  <si>
    <t>Date</t>
  </si>
  <si>
    <t>Course</t>
  </si>
  <si>
    <t>Amount of hours</t>
  </si>
  <si>
    <t>Baht/hr.</t>
  </si>
  <si>
    <t>Total Amount</t>
  </si>
  <si>
    <t>Payee</t>
  </si>
  <si>
    <t>Total Amount………………………..Baht..(………………………..………………………………………)</t>
  </si>
  <si>
    <t>นาย ธิติพันธ์ ลิ้มชวพันธนกุล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</si>
</sst>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7041E]d\ mmm\ yy"/>
    <numFmt numFmtId="165" formatCode="_-* #,##0.00_-;\-* #,##0.00_-;_-* &quot;-&quot;??_-;_-@"/>
    <numFmt numFmtId="166" formatCode="[$-409]d\-mmm\-yy"/>
  </numFmts>
  <fonts count="18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b/>
      <sz val="14"/>
      <color theme="1"/>
      <name val="Niramit"/>
      <family val="2"/>
      <charset val="222"/>
    </font>
    <font>
      <sz val="14"/>
      <color theme="1"/>
      <name val="Niramit"/>
      <family val="2"/>
      <charset val="222"/>
    </font>
    <font>
      <b/>
      <sz val="14"/>
      <color rgb="FF000000"/>
      <name val="TH Niramit AS"/>
      <family val="3"/>
    </font>
    <font>
      <sz val="14"/>
      <color rgb="FF000000"/>
      <name val="TH Niramit AS"/>
      <family val="3"/>
    </font>
    <font>
      <b/>
      <sz val="14"/>
      <color theme="1"/>
      <name val="THNiramitAS"/>
    </font>
    <font>
      <sz val="14"/>
      <color rgb="FF000000"/>
      <name val="THNiramitAS"/>
    </font>
    <font>
      <sz val="14"/>
      <color theme="0"/>
      <name val="THNiramitAS"/>
    </font>
    <font>
      <sz val="14"/>
      <color theme="1"/>
      <name val="THNiramitAS"/>
    </font>
    <font>
      <sz val="14"/>
      <color rgb="FFFF0000"/>
      <name val="THNiramitAS"/>
    </font>
    <font>
      <sz val="14"/>
      <name val="THNiramitAS"/>
    </font>
    <font>
      <b/>
      <sz val="14"/>
      <name val="THNiramitAS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49" fontId="1" fillId="0" borderId="0" xfId="0" applyNumberFormat="1" applyFont="1"/>
    <xf numFmtId="0" fontId="2" fillId="0" borderId="0" xfId="0" applyFont="1"/>
    <xf numFmtId="0" fontId="1" fillId="0" borderId="0" xfId="0" applyFont="1"/>
    <xf numFmtId="0" fontId="3" fillId="0" borderId="0" xfId="0" applyFont="1"/>
    <xf numFmtId="166" fontId="1" fillId="0" borderId="0" xfId="0" applyNumberFormat="1" applyFont="1"/>
    <xf numFmtId="0" fontId="1" fillId="4" borderId="1" xfId="0" applyFont="1" applyFill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4" fillId="4" borderId="1" xfId="0" applyFont="1" applyFill="1" applyBorder="1"/>
    <xf numFmtId="0" fontId="4" fillId="5" borderId="1" xfId="0" applyFont="1" applyFill="1" applyBorder="1"/>
    <xf numFmtId="164" fontId="3" fillId="5" borderId="1" xfId="0" applyNumberFormat="1" applyFont="1" applyFill="1" applyBorder="1"/>
    <xf numFmtId="0" fontId="3" fillId="5" borderId="1" xfId="0" applyFont="1" applyFill="1" applyBorder="1"/>
    <xf numFmtId="164" fontId="3" fillId="4" borderId="1" xfId="0" applyNumberFormat="1" applyFont="1" applyFill="1" applyBorder="1"/>
    <xf numFmtId="0" fontId="3" fillId="4" borderId="1" xfId="0" applyFont="1" applyFill="1" applyBorder="1"/>
    <xf numFmtId="0" fontId="5" fillId="4" borderId="1" xfId="0" applyFont="1" applyFill="1" applyBorder="1"/>
    <xf numFmtId="164" fontId="4" fillId="0" borderId="0" xfId="0" applyNumberFormat="1" applyFont="1"/>
    <xf numFmtId="0" fontId="6" fillId="4" borderId="1" xfId="0" applyFont="1" applyFill="1" applyBorder="1"/>
    <xf numFmtId="0" fontId="8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/>
    <xf numFmtId="0" fontId="13" fillId="0" borderId="0" xfId="0" applyFont="1" applyAlignment="1">
      <alignment vertical="center"/>
    </xf>
    <xf numFmtId="0" fontId="14" fillId="0" borderId="0" xfId="0" applyFont="1"/>
    <xf numFmtId="0" fontId="12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2" borderId="1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/>
    </xf>
    <xf numFmtId="164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3" borderId="3" xfId="0" applyFont="1" applyFill="1" applyBorder="1" applyAlignment="1">
      <alignment horizontal="right" vertical="center"/>
    </xf>
    <xf numFmtId="0" fontId="16" fillId="0" borderId="4" xfId="0" applyFont="1" applyBorder="1" applyAlignment="1">
      <alignment vertical="center"/>
    </xf>
    <xf numFmtId="165" fontId="11" fillId="3" borderId="3" xfId="0" applyNumberFormat="1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4" xfId="0" applyFont="1" applyBorder="1"/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  <xf numFmtId="0" fontId="17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1219200</xdr:colOff>
      <xdr:row>24</xdr:row>
      <xdr:rowOff>180975</xdr:rowOff>
    </xdr:from>
    <xdr:ext cx="2095500" cy="12477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303013" y="3160875"/>
          <a:ext cx="2085975" cy="1238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Approver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.............................................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(................................................)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Date.....................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</xdr:txBody>
    </xdr:sp>
    <xdr:clientData fLocksWithSheet="0"/>
  </xdr:oneCellAnchor>
  <xdr:oneCellAnchor>
    <xdr:from>
      <xdr:col>4</xdr:col>
      <xdr:colOff>876300</xdr:colOff>
      <xdr:row>24</xdr:row>
      <xdr:rowOff>180975</xdr:rowOff>
    </xdr:from>
    <xdr:ext cx="1990725" cy="12477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4355400" y="3160875"/>
          <a:ext cx="1981200" cy="1238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Payer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..............................................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(...............................................)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Date.....................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</xdr:txBody>
    </xdr:sp>
    <xdr:clientData fLocksWithSheet="0"/>
  </xdr:oneCellAnchor>
  <xdr:oneCellAnchor>
    <xdr:from>
      <xdr:col>0</xdr:col>
      <xdr:colOff>9525</xdr:colOff>
      <xdr:row>24</xdr:row>
      <xdr:rowOff>180975</xdr:rowOff>
    </xdr:from>
    <xdr:ext cx="1685925" cy="12477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4507800" y="3160875"/>
          <a:ext cx="1676400" cy="1238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Provider/Auditor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........................................    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(............................................)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Date.....................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</xdr:txBody>
    </xdr:sp>
    <xdr:clientData fLocksWithSheet="0"/>
  </xdr:oneCellAnchor>
  <xdr:oneCellAnchor>
    <xdr:from>
      <xdr:col>1</xdr:col>
      <xdr:colOff>447675</xdr:colOff>
      <xdr:row>24</xdr:row>
      <xdr:rowOff>180975</xdr:rowOff>
    </xdr:from>
    <xdr:ext cx="2019300" cy="12477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4341113" y="3160875"/>
          <a:ext cx="2009775" cy="1238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Head of Department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...........................................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(................................................)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Date.....................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</xdr:txBody>
    </xdr:sp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8C458E-BF73-184F-AF88-D418D3E11F4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997260a-3d94-4e5d-b836-0ae9aa9017b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zoomScale="133" workbookViewId="0">
      <selection activeCell="D18" sqref="D18"/>
    </sheetView>
  </sheetViews>
  <sheetFormatPr baseColWidth="10" defaultColWidth="12.5" defaultRowHeight="18"/>
  <cols>
    <col min="1" max="1" width="41.33203125" style="24" customWidth="1"/>
    <col min="2" max="2" width="13" style="24" customWidth="1"/>
    <col min="3" max="3" width="16.33203125" style="24" customWidth="1"/>
    <col min="4" max="4" width="14.33203125" style="24" bestFit="1" customWidth="1"/>
    <col min="5" max="5" width="28.33203125" style="24" customWidth="1"/>
    <col min="6" max="6" width="12" style="24" customWidth="1"/>
    <col min="7" max="7" width="24.33203125" style="24" customWidth="1"/>
    <col min="8" max="8" width="14.83203125" style="24" customWidth="1"/>
    <col min="9" max="26" width="10.5" style="24" customWidth="1"/>
    <col min="27" max="16384" width="12.5" style="24"/>
  </cols>
  <sheetData>
    <row r="1" spans="1:26" ht="16" customHeight="1">
      <c r="A1" s="42" t="s">
        <v>0</v>
      </c>
      <c r="B1" s="43"/>
      <c r="C1" s="43"/>
      <c r="D1" s="43"/>
      <c r="E1" s="43"/>
      <c r="F1" s="43"/>
      <c r="G1" s="43"/>
      <c r="H1" s="22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6" customHeight="1">
      <c r="A2" s="42" t="s">
        <v>1</v>
      </c>
      <c r="B2" s="43"/>
      <c r="C2" s="43"/>
      <c r="D2" s="43"/>
      <c r="E2" s="43"/>
      <c r="F2" s="43"/>
      <c r="G2" s="43"/>
      <c r="H2" s="22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6" customHeight="1">
      <c r="A3" s="25"/>
      <c r="B3" s="25"/>
      <c r="C3" s="26" t="s">
        <v>2</v>
      </c>
      <c r="D3" s="58" t="s">
        <v>3</v>
      </c>
      <c r="E3" s="27"/>
      <c r="F3" s="25"/>
      <c r="G3" s="25"/>
      <c r="H3" s="22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6" customHeight="1">
      <c r="A4" s="28"/>
      <c r="B4" s="28"/>
      <c r="C4" s="28"/>
      <c r="D4" s="28"/>
      <c r="E4" s="28"/>
      <c r="F4" s="28"/>
      <c r="G4" s="28"/>
      <c r="H4" s="22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6" customHeight="1">
      <c r="A5" s="29" t="s">
        <v>4</v>
      </c>
      <c r="B5" s="30" t="b">
        <v>0</v>
      </c>
      <c r="C5" s="28" t="s">
        <v>5</v>
      </c>
      <c r="D5" s="29" t="s">
        <v>6</v>
      </c>
      <c r="E5" s="31" t="b">
        <v>1</v>
      </c>
      <c r="F5" s="32" t="s">
        <v>7</v>
      </c>
      <c r="G5" s="28"/>
      <c r="H5" s="28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6" customHeight="1">
      <c r="A6" s="28"/>
      <c r="B6" s="30" t="b">
        <v>1</v>
      </c>
      <c r="C6" s="28" t="s">
        <v>8</v>
      </c>
      <c r="D6" s="28"/>
      <c r="E6" s="31" t="b">
        <v>0</v>
      </c>
      <c r="F6" s="28" t="s">
        <v>9</v>
      </c>
      <c r="G6" s="28"/>
      <c r="H6" s="28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6" customHeight="1">
      <c r="A7" s="28"/>
      <c r="B7" s="28"/>
      <c r="C7" s="28"/>
      <c r="D7" s="28"/>
      <c r="E7" s="31" t="b">
        <v>0</v>
      </c>
      <c r="F7" s="28" t="s">
        <v>10</v>
      </c>
      <c r="G7" s="28"/>
      <c r="H7" s="22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6" customHeight="1">
      <c r="A8" s="28"/>
      <c r="B8" s="28"/>
      <c r="C8" s="28"/>
      <c r="D8" s="28"/>
      <c r="E8" s="28"/>
      <c r="F8" s="28"/>
      <c r="G8" s="28"/>
      <c r="H8" s="22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9">
      <c r="A9" s="33" t="s">
        <v>11</v>
      </c>
      <c r="B9" s="33" t="s">
        <v>12</v>
      </c>
      <c r="C9" s="33" t="s">
        <v>13</v>
      </c>
      <c r="D9" s="33" t="s">
        <v>14</v>
      </c>
      <c r="E9" s="33" t="s">
        <v>15</v>
      </c>
      <c r="F9" s="33" t="s">
        <v>16</v>
      </c>
      <c r="G9" s="33" t="s">
        <v>17</v>
      </c>
      <c r="H9" s="33" t="s">
        <v>18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" customHeight="1">
      <c r="A10" s="34" t="s">
        <v>174</v>
      </c>
      <c r="B10" s="35">
        <v>46139</v>
      </c>
      <c r="C10" s="36">
        <v>960100</v>
      </c>
      <c r="D10" s="36">
        <v>3</v>
      </c>
      <c r="E10" s="36">
        <f>IF(D10="","",200)</f>
        <v>200</v>
      </c>
      <c r="F10" s="36">
        <f>IF(OR(D10="",E10=""),"",D10*E10)</f>
        <v>600</v>
      </c>
      <c r="G10" s="34"/>
      <c r="H10" s="37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" customHeight="1">
      <c r="A11" s="34" t="s">
        <v>174</v>
      </c>
      <c r="B11" s="35">
        <v>46140</v>
      </c>
      <c r="C11" s="36">
        <v>960100</v>
      </c>
      <c r="D11" s="36">
        <v>5</v>
      </c>
      <c r="E11" s="36">
        <f t="shared" ref="E11:E28" si="0">IF(D11="","",200)</f>
        <v>200</v>
      </c>
      <c r="F11" s="36">
        <f t="shared" ref="F11:F28" si="1">IF(OR(D11="",E11=""),"",D11*E11)</f>
        <v>1000</v>
      </c>
      <c r="G11" s="34"/>
      <c r="H11" s="37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" customHeight="1">
      <c r="A12" s="34" t="s">
        <v>174</v>
      </c>
      <c r="B12" s="35">
        <v>46141</v>
      </c>
      <c r="C12" s="36">
        <v>960100</v>
      </c>
      <c r="D12" s="36">
        <v>5</v>
      </c>
      <c r="E12" s="36">
        <f t="shared" si="0"/>
        <v>200</v>
      </c>
      <c r="F12" s="36">
        <f t="shared" si="1"/>
        <v>1000</v>
      </c>
      <c r="G12" s="34"/>
      <c r="H12" s="37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" customHeight="1">
      <c r="A13" s="34" t="s">
        <v>174</v>
      </c>
      <c r="B13" s="35">
        <v>46142</v>
      </c>
      <c r="C13" s="36">
        <v>960100</v>
      </c>
      <c r="D13" s="36">
        <v>5</v>
      </c>
      <c r="E13" s="36">
        <f t="shared" si="0"/>
        <v>200</v>
      </c>
      <c r="F13" s="36">
        <f t="shared" si="1"/>
        <v>1000</v>
      </c>
      <c r="G13" s="34"/>
      <c r="H13" s="37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" customHeight="1">
      <c r="A14" s="34" t="s">
        <v>174</v>
      </c>
      <c r="B14" s="35">
        <v>46143</v>
      </c>
      <c r="C14" s="36">
        <v>960100</v>
      </c>
      <c r="D14" s="36">
        <v>5</v>
      </c>
      <c r="E14" s="36">
        <f t="shared" si="0"/>
        <v>200</v>
      </c>
      <c r="F14" s="36">
        <f t="shared" si="1"/>
        <v>1000</v>
      </c>
      <c r="G14" s="34"/>
      <c r="H14" s="37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" customHeight="1">
      <c r="A15" s="34" t="s">
        <v>174</v>
      </c>
      <c r="B15" s="35">
        <v>46147</v>
      </c>
      <c r="C15" s="36">
        <v>960100</v>
      </c>
      <c r="D15" s="36">
        <v>4</v>
      </c>
      <c r="E15" s="36">
        <f t="shared" si="0"/>
        <v>200</v>
      </c>
      <c r="F15" s="36">
        <f t="shared" si="1"/>
        <v>800</v>
      </c>
      <c r="G15" s="34"/>
      <c r="H15" s="37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" customHeight="1">
      <c r="A16" s="34" t="s">
        <v>174</v>
      </c>
      <c r="B16" s="35">
        <v>46148</v>
      </c>
      <c r="C16" s="36">
        <v>960100</v>
      </c>
      <c r="D16" s="36">
        <v>3</v>
      </c>
      <c r="E16" s="36">
        <f t="shared" si="0"/>
        <v>200</v>
      </c>
      <c r="F16" s="36">
        <f t="shared" si="1"/>
        <v>600</v>
      </c>
      <c r="G16" s="34"/>
      <c r="H16" s="37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" customHeight="1">
      <c r="A17" s="34"/>
      <c r="B17" s="35"/>
      <c r="C17" s="36"/>
      <c r="D17" s="36"/>
      <c r="E17" s="36" t="str">
        <f t="shared" si="0"/>
        <v/>
      </c>
      <c r="F17" s="36" t="str">
        <f t="shared" si="1"/>
        <v/>
      </c>
      <c r="G17" s="34"/>
      <c r="H17" s="37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" customHeight="1">
      <c r="A18" s="34"/>
      <c r="B18" s="35"/>
      <c r="C18" s="36"/>
      <c r="D18" s="36"/>
      <c r="E18" s="36" t="str">
        <f t="shared" si="0"/>
        <v/>
      </c>
      <c r="F18" s="36" t="str">
        <f t="shared" si="1"/>
        <v/>
      </c>
      <c r="G18" s="34"/>
      <c r="H18" s="3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" customHeight="1">
      <c r="A19" s="34"/>
      <c r="B19" s="35"/>
      <c r="C19" s="36"/>
      <c r="D19" s="36"/>
      <c r="E19" s="36" t="str">
        <f t="shared" si="0"/>
        <v/>
      </c>
      <c r="F19" s="36" t="str">
        <f t="shared" si="1"/>
        <v/>
      </c>
      <c r="G19" s="34"/>
      <c r="H19" s="37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" customHeight="1">
      <c r="A20" s="34"/>
      <c r="B20" s="35"/>
      <c r="C20" s="36"/>
      <c r="D20" s="36"/>
      <c r="E20" s="36" t="str">
        <f t="shared" si="0"/>
        <v/>
      </c>
      <c r="F20" s="36" t="str">
        <f t="shared" si="1"/>
        <v/>
      </c>
      <c r="G20" s="34"/>
      <c r="H20" s="37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" customHeight="1">
      <c r="A21" s="34"/>
      <c r="B21" s="35"/>
      <c r="C21" s="36"/>
      <c r="D21" s="36"/>
      <c r="E21" s="36" t="str">
        <f t="shared" si="0"/>
        <v/>
      </c>
      <c r="F21" s="36" t="str">
        <f t="shared" si="1"/>
        <v/>
      </c>
      <c r="G21" s="34"/>
      <c r="H21" s="37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" customHeight="1">
      <c r="A22" s="34"/>
      <c r="B22" s="35"/>
      <c r="C22" s="36"/>
      <c r="D22" s="36"/>
      <c r="E22" s="36" t="str">
        <f t="shared" si="0"/>
        <v/>
      </c>
      <c r="F22" s="36" t="str">
        <f t="shared" si="1"/>
        <v/>
      </c>
      <c r="G22" s="34"/>
      <c r="H22" s="37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" customHeight="1">
      <c r="A23" s="34"/>
      <c r="B23" s="35"/>
      <c r="C23" s="36"/>
      <c r="D23" s="36"/>
      <c r="E23" s="36" t="str">
        <f t="shared" si="0"/>
        <v/>
      </c>
      <c r="F23" s="36" t="str">
        <f t="shared" si="1"/>
        <v/>
      </c>
      <c r="G23" s="34"/>
      <c r="H23" s="37" t="str">
        <f>IF(B23="","",IF((VLOOKUP(B23,Maintable!J:L,3,FALSE))&lt;&gt;0,VLOOKUP(B23,Maintable!J:L,3,FALSE),""))</f>
        <v/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" customHeight="1">
      <c r="A24" s="34"/>
      <c r="B24" s="35"/>
      <c r="C24" s="36"/>
      <c r="D24" s="36"/>
      <c r="E24" s="36" t="str">
        <f t="shared" si="0"/>
        <v/>
      </c>
      <c r="F24" s="36" t="str">
        <f t="shared" si="1"/>
        <v/>
      </c>
      <c r="G24" s="34"/>
      <c r="H24" s="37" t="str">
        <f>IF(B24="","",IF((VLOOKUP(B24,Maintable!J:L,3,FALSE))&lt;&gt;0,VLOOKUP(B24,Maintable!J:L,3,FALSE),""))</f>
        <v/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" customHeight="1">
      <c r="A25" s="34"/>
      <c r="B25" s="35"/>
      <c r="C25" s="36"/>
      <c r="D25" s="36"/>
      <c r="E25" s="36" t="str">
        <f t="shared" si="0"/>
        <v/>
      </c>
      <c r="F25" s="36" t="str">
        <f t="shared" si="1"/>
        <v/>
      </c>
      <c r="G25" s="34"/>
      <c r="H25" s="37" t="str">
        <f>IF(B25="","",IF((VLOOKUP(B25,Maintable!J:L,3,FALSE))&lt;&gt;0,VLOOKUP(B25,Maintable!J:L,3,FALSE),""))</f>
        <v/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" customHeight="1">
      <c r="A26" s="34"/>
      <c r="B26" s="35"/>
      <c r="C26" s="36"/>
      <c r="D26" s="36"/>
      <c r="E26" s="36" t="str">
        <f t="shared" si="0"/>
        <v/>
      </c>
      <c r="F26" s="36" t="str">
        <f t="shared" si="1"/>
        <v/>
      </c>
      <c r="G26" s="34"/>
      <c r="H26" s="37" t="str">
        <f>IF(B26="","",IF((VLOOKUP(B26,Maintable!J:L,3,FALSE))&lt;&gt;0,VLOOKUP(B26,Maintable!J:L,3,FALSE),""))</f>
        <v/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" customHeight="1">
      <c r="A27" s="34"/>
      <c r="B27" s="35"/>
      <c r="C27" s="36"/>
      <c r="D27" s="36"/>
      <c r="E27" s="36" t="str">
        <f t="shared" si="0"/>
        <v/>
      </c>
      <c r="F27" s="36" t="str">
        <f t="shared" si="1"/>
        <v/>
      </c>
      <c r="G27" s="34"/>
      <c r="H27" s="37" t="str">
        <f>IF(B27="","",IF((VLOOKUP(B27,Maintable!J:L,3,FALSE))&lt;&gt;0,VLOOKUP(B27,Maintable!J:L,3,FALSE),""))</f>
        <v/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" customHeight="1">
      <c r="A28" s="34"/>
      <c r="B28" s="35"/>
      <c r="C28" s="36"/>
      <c r="D28" s="36"/>
      <c r="E28" s="36" t="str">
        <f t="shared" si="0"/>
        <v/>
      </c>
      <c r="F28" s="36" t="str">
        <f t="shared" si="1"/>
        <v/>
      </c>
      <c r="G28" s="34"/>
      <c r="H28" s="37" t="str">
        <f>IF(B28="","",IF((VLOOKUP(B28,Maintable!J:L,3,FALSE))&lt;&gt;0,VLOOKUP(B28,Maintable!J:L,3,FALSE),""))</f>
        <v/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20" customHeight="1">
      <c r="A29" s="44" t="s">
        <v>19</v>
      </c>
      <c r="B29" s="45"/>
      <c r="C29" s="46">
        <f>SUM(F10:F28)</f>
        <v>6000</v>
      </c>
      <c r="D29" s="45"/>
      <c r="E29" s="47" t="str">
        <f>BAHTTEXT(C29)</f>
        <v>หกพันบาทถ้วน</v>
      </c>
      <c r="F29" s="48"/>
      <c r="G29" s="48"/>
      <c r="H29" s="45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3" customHeight="1">
      <c r="A30" s="28"/>
      <c r="B30" s="28"/>
      <c r="C30" s="28"/>
      <c r="D30" s="28"/>
      <c r="E30" s="28"/>
      <c r="F30" s="28"/>
      <c r="G30" s="28"/>
      <c r="H30" s="2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20" customHeight="1">
      <c r="A31" s="38" t="s">
        <v>20</v>
      </c>
      <c r="B31" s="53" t="s">
        <v>21</v>
      </c>
      <c r="C31" s="54"/>
      <c r="D31" s="55"/>
      <c r="E31" s="53" t="s">
        <v>22</v>
      </c>
      <c r="F31" s="45"/>
      <c r="G31" s="53" t="s">
        <v>23</v>
      </c>
      <c r="H31" s="45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20" customHeight="1">
      <c r="A32" s="39" t="s">
        <v>24</v>
      </c>
      <c r="B32" s="49" t="s">
        <v>25</v>
      </c>
      <c r="C32" s="50"/>
      <c r="D32" s="51"/>
      <c r="E32" s="49" t="s">
        <v>25</v>
      </c>
      <c r="F32" s="52"/>
      <c r="G32" s="49" t="s">
        <v>25</v>
      </c>
      <c r="H32" s="52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20" customHeight="1">
      <c r="A33" s="39" t="s">
        <v>26</v>
      </c>
      <c r="B33" s="49" t="s">
        <v>26</v>
      </c>
      <c r="C33" s="50"/>
      <c r="D33" s="51"/>
      <c r="E33" s="49" t="s">
        <v>26</v>
      </c>
      <c r="F33" s="52"/>
      <c r="G33" s="49" t="s">
        <v>26</v>
      </c>
      <c r="H33" s="52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20" customHeight="1">
      <c r="A34" s="39" t="s">
        <v>27</v>
      </c>
      <c r="B34" s="49" t="s">
        <v>28</v>
      </c>
      <c r="C34" s="50"/>
      <c r="D34" s="51"/>
      <c r="E34" s="49" t="s">
        <v>28</v>
      </c>
      <c r="F34" s="52"/>
      <c r="G34" s="49" t="s">
        <v>28</v>
      </c>
      <c r="H34" s="52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20" customHeight="1">
      <c r="A35" s="39" t="s">
        <v>29</v>
      </c>
      <c r="B35" s="49" t="s">
        <v>30</v>
      </c>
      <c r="C35" s="50"/>
      <c r="D35" s="51"/>
      <c r="E35" s="49" t="s">
        <v>30</v>
      </c>
      <c r="F35" s="52"/>
      <c r="G35" s="49" t="s">
        <v>30</v>
      </c>
      <c r="H35" s="52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>
      <c r="A38" s="40"/>
      <c r="B38" s="23"/>
      <c r="C38" s="40"/>
      <c r="D38" s="23"/>
      <c r="E38" s="40"/>
      <c r="F38" s="23"/>
      <c r="G38" s="40"/>
      <c r="H38" s="41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0">
    <mergeCell ref="B35:D35"/>
    <mergeCell ref="E35:F35"/>
    <mergeCell ref="G35:H35"/>
    <mergeCell ref="B31:D31"/>
    <mergeCell ref="B32:D32"/>
    <mergeCell ref="E32:F32"/>
    <mergeCell ref="G32:H32"/>
    <mergeCell ref="B33:D33"/>
    <mergeCell ref="E33:F33"/>
    <mergeCell ref="G33:H33"/>
    <mergeCell ref="E31:F31"/>
    <mergeCell ref="G31:H31"/>
    <mergeCell ref="B34:D34"/>
    <mergeCell ref="E34:F34"/>
    <mergeCell ref="G34:H34"/>
    <mergeCell ref="A1:G1"/>
    <mergeCell ref="A2:G2"/>
    <mergeCell ref="A29:B29"/>
    <mergeCell ref="C29:D29"/>
    <mergeCell ref="E29:H29"/>
  </mergeCells>
  <printOptions horizontalCentered="1"/>
  <pageMargins left="0.7" right="0.7" top="0.5" bottom="0.5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workbookViewId="0"/>
  </sheetViews>
  <sheetFormatPr baseColWidth="10" defaultColWidth="12.5" defaultRowHeight="15" customHeight="1"/>
  <cols>
    <col min="1" max="1" width="12.5" customWidth="1"/>
    <col min="2" max="2" width="22.5" customWidth="1"/>
    <col min="3" max="3" width="8" customWidth="1"/>
    <col min="4" max="4" width="7.5" customWidth="1"/>
    <col min="5" max="5" width="5" customWidth="1"/>
    <col min="6" max="6" width="11.5" customWidth="1"/>
    <col min="7" max="7" width="16.5" customWidth="1"/>
    <col min="8" max="8" width="11.5" customWidth="1"/>
    <col min="9" max="9" width="14.5" customWidth="1"/>
    <col min="10" max="10" width="14.83203125" customWidth="1"/>
    <col min="11" max="11" width="11.5" customWidth="1"/>
    <col min="12" max="13" width="21.5" customWidth="1"/>
    <col min="14" max="14" width="11.5" customWidth="1"/>
    <col min="15" max="15" width="22.1640625" customWidth="1"/>
    <col min="16" max="16" width="11.5" customWidth="1"/>
    <col min="17" max="17" width="13.5" customWidth="1"/>
  </cols>
  <sheetData>
    <row r="1" spans="1:17" ht="12.75" customHeight="1">
      <c r="A1" s="1" t="s">
        <v>31</v>
      </c>
      <c r="B1" s="2" t="s">
        <v>32</v>
      </c>
      <c r="C1" s="3" t="s">
        <v>33</v>
      </c>
      <c r="D1" s="3" t="s">
        <v>34</v>
      </c>
      <c r="E1" s="1" t="s">
        <v>35</v>
      </c>
      <c r="F1" s="4"/>
      <c r="G1" s="2" t="s">
        <v>36</v>
      </c>
      <c r="H1" s="3" t="s">
        <v>37</v>
      </c>
      <c r="I1" s="3" t="s">
        <v>38</v>
      </c>
      <c r="J1" s="5" t="s">
        <v>39</v>
      </c>
      <c r="K1" s="3" t="s">
        <v>40</v>
      </c>
      <c r="L1" s="2" t="s">
        <v>18</v>
      </c>
      <c r="M1" s="2"/>
      <c r="N1" s="3" t="s">
        <v>41</v>
      </c>
      <c r="O1" s="6" t="s">
        <v>42</v>
      </c>
      <c r="P1" s="3"/>
      <c r="Q1" s="7"/>
    </row>
    <row r="2" spans="1:17" ht="12.75" customHeight="1">
      <c r="A2" s="8" t="str">
        <f t="shared" ref="A2:A56" si="0">C2&amp;" "&amp;D2</f>
        <v>955103 701</v>
      </c>
      <c r="B2" s="7" t="s">
        <v>43</v>
      </c>
      <c r="C2" s="7">
        <v>955103</v>
      </c>
      <c r="D2" s="7">
        <v>701</v>
      </c>
      <c r="E2" s="7">
        <v>300</v>
      </c>
      <c r="G2" s="9" t="s">
        <v>44</v>
      </c>
      <c r="H2" s="4">
        <v>1</v>
      </c>
      <c r="I2" s="10" t="s">
        <v>44</v>
      </c>
      <c r="J2" s="11">
        <v>45460</v>
      </c>
      <c r="K2" s="12">
        <v>1</v>
      </c>
      <c r="L2" s="10"/>
      <c r="N2" s="4" t="s">
        <v>45</v>
      </c>
      <c r="O2" s="9" t="s">
        <v>46</v>
      </c>
      <c r="P2" s="4"/>
      <c r="Q2" s="7"/>
    </row>
    <row r="3" spans="1:17" ht="12.75" customHeight="1">
      <c r="A3" s="8" t="str">
        <f t="shared" si="0"/>
        <v>953201 701</v>
      </c>
      <c r="B3" s="7" t="s">
        <v>47</v>
      </c>
      <c r="C3" s="7">
        <v>953201</v>
      </c>
      <c r="D3" s="7">
        <v>701</v>
      </c>
      <c r="E3" s="7">
        <v>300</v>
      </c>
      <c r="G3" s="9" t="s">
        <v>48</v>
      </c>
      <c r="H3" s="4">
        <v>2</v>
      </c>
      <c r="I3" s="9" t="s">
        <v>44</v>
      </c>
      <c r="J3" s="13">
        <v>45461</v>
      </c>
      <c r="K3" s="14">
        <v>1</v>
      </c>
      <c r="L3" s="9"/>
      <c r="N3" s="4" t="s">
        <v>49</v>
      </c>
      <c r="O3" s="9" t="s">
        <v>50</v>
      </c>
      <c r="P3" s="4"/>
    </row>
    <row r="4" spans="1:17" ht="12.75" customHeight="1">
      <c r="A4" s="8" t="str">
        <f t="shared" si="0"/>
        <v>953321 701</v>
      </c>
      <c r="B4" s="7" t="s">
        <v>47</v>
      </c>
      <c r="C4" s="7">
        <v>953321</v>
      </c>
      <c r="D4" s="7">
        <v>701</v>
      </c>
      <c r="E4" s="7">
        <v>300</v>
      </c>
      <c r="G4" s="9" t="s">
        <v>51</v>
      </c>
      <c r="H4" s="4">
        <v>3</v>
      </c>
      <c r="I4" s="9" t="s">
        <v>44</v>
      </c>
      <c r="J4" s="13">
        <v>45462</v>
      </c>
      <c r="K4" s="14">
        <v>1</v>
      </c>
      <c r="L4" s="9"/>
      <c r="N4" s="4" t="s">
        <v>52</v>
      </c>
      <c r="O4" s="9" t="s">
        <v>53</v>
      </c>
    </row>
    <row r="5" spans="1:17" ht="12.75" customHeight="1">
      <c r="A5" s="8" t="str">
        <f t="shared" si="0"/>
        <v>951312 001</v>
      </c>
      <c r="B5" s="7" t="s">
        <v>54</v>
      </c>
      <c r="C5" s="7">
        <v>951312</v>
      </c>
      <c r="D5" s="7" t="s">
        <v>55</v>
      </c>
      <c r="E5" s="7">
        <v>200</v>
      </c>
      <c r="G5" s="9" t="s">
        <v>56</v>
      </c>
      <c r="H5" s="4">
        <v>4</v>
      </c>
      <c r="I5" s="9" t="s">
        <v>44</v>
      </c>
      <c r="J5" s="13">
        <v>45463</v>
      </c>
      <c r="K5" s="14">
        <v>1</v>
      </c>
      <c r="L5" s="9"/>
      <c r="N5" s="4" t="s">
        <v>57</v>
      </c>
      <c r="O5" s="9" t="s">
        <v>58</v>
      </c>
    </row>
    <row r="6" spans="1:17" ht="12.75" customHeight="1">
      <c r="A6" s="8" t="str">
        <f t="shared" si="0"/>
        <v>958261 001</v>
      </c>
      <c r="B6" s="7" t="s">
        <v>54</v>
      </c>
      <c r="C6" s="7">
        <v>958261</v>
      </c>
      <c r="D6" s="7" t="s">
        <v>55</v>
      </c>
      <c r="E6" s="7">
        <v>200</v>
      </c>
      <c r="G6" s="9" t="s">
        <v>59</v>
      </c>
      <c r="H6" s="4">
        <v>5</v>
      </c>
      <c r="I6" s="9" t="s">
        <v>44</v>
      </c>
      <c r="J6" s="13">
        <v>45464</v>
      </c>
      <c r="K6" s="14">
        <v>1</v>
      </c>
      <c r="L6" s="9"/>
      <c r="N6" s="4" t="s">
        <v>60</v>
      </c>
      <c r="O6" s="9" t="s">
        <v>61</v>
      </c>
    </row>
    <row r="7" spans="1:17" ht="12.75" customHeight="1">
      <c r="A7" s="8" t="str">
        <f t="shared" si="0"/>
        <v>958481 004</v>
      </c>
      <c r="B7" s="7" t="s">
        <v>62</v>
      </c>
      <c r="C7" s="7">
        <v>958481</v>
      </c>
      <c r="D7" s="7" t="s">
        <v>63</v>
      </c>
      <c r="E7" s="7">
        <v>200</v>
      </c>
      <c r="H7" s="4">
        <v>6</v>
      </c>
      <c r="I7" s="9" t="s">
        <v>44</v>
      </c>
      <c r="J7" s="13">
        <v>45465</v>
      </c>
      <c r="K7" s="14">
        <v>1</v>
      </c>
      <c r="L7" s="9" t="s">
        <v>64</v>
      </c>
      <c r="N7" s="4" t="s">
        <v>65</v>
      </c>
      <c r="O7" s="9" t="s">
        <v>66</v>
      </c>
    </row>
    <row r="8" spans="1:17" ht="12.75" customHeight="1">
      <c r="A8" s="8" t="str">
        <f t="shared" si="0"/>
        <v>954347 001</v>
      </c>
      <c r="B8" s="7" t="s">
        <v>67</v>
      </c>
      <c r="C8" s="7">
        <v>954347</v>
      </c>
      <c r="D8" s="7" t="s">
        <v>55</v>
      </c>
      <c r="E8" s="7">
        <v>200</v>
      </c>
      <c r="H8" s="4">
        <v>7</v>
      </c>
      <c r="I8" s="9" t="s">
        <v>44</v>
      </c>
      <c r="J8" s="13">
        <v>45466</v>
      </c>
      <c r="K8" s="14">
        <v>1</v>
      </c>
      <c r="L8" s="9" t="s">
        <v>68</v>
      </c>
      <c r="N8" s="4" t="s">
        <v>69</v>
      </c>
      <c r="O8" s="9" t="s">
        <v>70</v>
      </c>
    </row>
    <row r="9" spans="1:17" ht="12.75" customHeight="1">
      <c r="A9" s="8" t="str">
        <f t="shared" si="0"/>
        <v>954231 002-01</v>
      </c>
      <c r="B9" s="7" t="s">
        <v>71</v>
      </c>
      <c r="C9" s="7">
        <v>954231</v>
      </c>
      <c r="D9" s="7" t="s">
        <v>72</v>
      </c>
      <c r="E9" s="7">
        <v>200</v>
      </c>
      <c r="H9" s="4">
        <v>8</v>
      </c>
      <c r="I9" s="9" t="s">
        <v>44</v>
      </c>
      <c r="J9" s="13">
        <v>45467</v>
      </c>
      <c r="K9" s="14">
        <v>1</v>
      </c>
      <c r="L9" s="9"/>
      <c r="N9" s="4" t="s">
        <v>73</v>
      </c>
      <c r="O9" s="9" t="s">
        <v>74</v>
      </c>
    </row>
    <row r="10" spans="1:17" ht="12.75" customHeight="1">
      <c r="A10" s="8" t="str">
        <f t="shared" si="0"/>
        <v>951106 001</v>
      </c>
      <c r="B10" s="7" t="s">
        <v>75</v>
      </c>
      <c r="C10" s="7">
        <v>951106</v>
      </c>
      <c r="D10" s="7" t="s">
        <v>55</v>
      </c>
      <c r="E10" s="7">
        <v>200</v>
      </c>
      <c r="H10" s="4">
        <v>9</v>
      </c>
      <c r="I10" s="9" t="s">
        <v>44</v>
      </c>
      <c r="J10" s="13">
        <v>45468</v>
      </c>
      <c r="K10" s="14">
        <v>1</v>
      </c>
      <c r="L10" s="9"/>
      <c r="N10" s="4" t="s">
        <v>76</v>
      </c>
      <c r="O10" s="9" t="s">
        <v>77</v>
      </c>
    </row>
    <row r="11" spans="1:17" ht="12.75" customHeight="1">
      <c r="A11" s="8" t="str">
        <f t="shared" si="0"/>
        <v>960141 001-1</v>
      </c>
      <c r="B11" s="7" t="s">
        <v>78</v>
      </c>
      <c r="C11" s="7">
        <v>960141</v>
      </c>
      <c r="D11" s="7" t="s">
        <v>79</v>
      </c>
      <c r="E11" s="7">
        <v>200</v>
      </c>
      <c r="H11" s="4">
        <v>10</v>
      </c>
      <c r="I11" s="9" t="s">
        <v>44</v>
      </c>
      <c r="J11" s="13">
        <v>45469</v>
      </c>
      <c r="K11" s="14">
        <v>1</v>
      </c>
      <c r="L11" s="9"/>
      <c r="N11" s="4" t="s">
        <v>80</v>
      </c>
      <c r="O11" s="9" t="s">
        <v>81</v>
      </c>
    </row>
    <row r="12" spans="1:17" ht="12.75" customHeight="1">
      <c r="A12" s="8" t="str">
        <f t="shared" si="0"/>
        <v>960231 001</v>
      </c>
      <c r="B12" s="7" t="s">
        <v>78</v>
      </c>
      <c r="C12" s="7">
        <v>960231</v>
      </c>
      <c r="D12" s="7" t="s">
        <v>55</v>
      </c>
      <c r="E12" s="7">
        <v>200</v>
      </c>
      <c r="G12" s="7"/>
      <c r="H12" s="4">
        <v>11</v>
      </c>
      <c r="I12" s="9" t="s">
        <v>44</v>
      </c>
      <c r="J12" s="13">
        <v>45470</v>
      </c>
      <c r="K12" s="14">
        <v>1</v>
      </c>
      <c r="L12" s="9"/>
      <c r="N12" s="4" t="s">
        <v>82</v>
      </c>
      <c r="O12" s="9" t="s">
        <v>83</v>
      </c>
    </row>
    <row r="13" spans="1:17" ht="12.75" customHeight="1">
      <c r="A13" s="8" t="str">
        <f t="shared" si="0"/>
        <v>960331 001</v>
      </c>
      <c r="B13" s="7" t="s">
        <v>84</v>
      </c>
      <c r="C13" s="7">
        <v>960331</v>
      </c>
      <c r="D13" s="7" t="s">
        <v>55</v>
      </c>
      <c r="E13" s="7">
        <v>200</v>
      </c>
      <c r="H13" s="4">
        <v>12</v>
      </c>
      <c r="I13" s="9" t="s">
        <v>44</v>
      </c>
      <c r="J13" s="13">
        <v>45471</v>
      </c>
      <c r="K13" s="14">
        <v>1</v>
      </c>
      <c r="L13" s="9"/>
      <c r="N13" s="4" t="s">
        <v>85</v>
      </c>
      <c r="O13" s="9" t="s">
        <v>86</v>
      </c>
    </row>
    <row r="14" spans="1:17" ht="12.75" customHeight="1">
      <c r="A14" s="8" t="str">
        <f t="shared" si="0"/>
        <v>953212 703</v>
      </c>
      <c r="B14" s="7" t="s">
        <v>87</v>
      </c>
      <c r="C14" s="7">
        <v>953212</v>
      </c>
      <c r="D14" s="7">
        <v>703</v>
      </c>
      <c r="E14" s="7">
        <v>300</v>
      </c>
      <c r="H14" s="4">
        <v>13</v>
      </c>
      <c r="I14" s="9" t="s">
        <v>44</v>
      </c>
      <c r="J14" s="13">
        <v>45472</v>
      </c>
      <c r="K14" s="14">
        <v>1</v>
      </c>
      <c r="L14" s="9" t="s">
        <v>64</v>
      </c>
      <c r="N14" s="4" t="s">
        <v>88</v>
      </c>
      <c r="O14" s="9" t="s">
        <v>89</v>
      </c>
    </row>
    <row r="15" spans="1:17" ht="12.75" customHeight="1">
      <c r="A15" s="8" t="str">
        <f t="shared" si="0"/>
        <v>954231 001-01</v>
      </c>
      <c r="B15" s="7" t="s">
        <v>90</v>
      </c>
      <c r="C15" s="7">
        <v>954231</v>
      </c>
      <c r="D15" s="7" t="s">
        <v>91</v>
      </c>
      <c r="E15" s="7">
        <v>200</v>
      </c>
      <c r="H15" s="4">
        <v>14</v>
      </c>
      <c r="I15" s="9" t="s">
        <v>44</v>
      </c>
      <c r="J15" s="13">
        <v>45473</v>
      </c>
      <c r="K15" s="14">
        <v>1</v>
      </c>
      <c r="L15" s="9" t="s">
        <v>68</v>
      </c>
      <c r="N15" s="4" t="s">
        <v>92</v>
      </c>
      <c r="O15" s="9" t="s">
        <v>93</v>
      </c>
    </row>
    <row r="16" spans="1:17" ht="12.75" customHeight="1">
      <c r="A16" s="8" t="str">
        <f t="shared" si="0"/>
        <v>954231 701-01</v>
      </c>
      <c r="B16" s="7" t="s">
        <v>90</v>
      </c>
      <c r="C16" s="7">
        <v>954231</v>
      </c>
      <c r="D16" s="7" t="s">
        <v>94</v>
      </c>
      <c r="E16" s="7">
        <v>300</v>
      </c>
      <c r="H16" s="4">
        <v>15</v>
      </c>
      <c r="I16" s="10" t="s">
        <v>48</v>
      </c>
      <c r="J16" s="11">
        <v>45474</v>
      </c>
      <c r="K16" s="12">
        <v>1</v>
      </c>
      <c r="L16" s="10"/>
      <c r="N16" s="4" t="s">
        <v>95</v>
      </c>
      <c r="O16" s="9" t="s">
        <v>96</v>
      </c>
    </row>
    <row r="17" spans="1:15" ht="12.75" customHeight="1">
      <c r="A17" s="8" t="str">
        <f t="shared" si="0"/>
        <v>953321 702</v>
      </c>
      <c r="B17" s="7" t="s">
        <v>97</v>
      </c>
      <c r="C17" s="7">
        <v>953321</v>
      </c>
      <c r="D17" s="7">
        <v>702</v>
      </c>
      <c r="E17" s="7">
        <v>300</v>
      </c>
      <c r="H17" s="4">
        <v>16</v>
      </c>
      <c r="I17" s="9" t="s">
        <v>48</v>
      </c>
      <c r="J17" s="13">
        <v>45475</v>
      </c>
      <c r="K17" s="14">
        <v>1</v>
      </c>
      <c r="L17" s="9"/>
      <c r="N17" s="4" t="s">
        <v>98</v>
      </c>
      <c r="O17" s="9" t="s">
        <v>99</v>
      </c>
    </row>
    <row r="18" spans="1:15" ht="12.75" customHeight="1">
      <c r="A18" s="8" t="str">
        <f t="shared" si="0"/>
        <v>954100 001-1</v>
      </c>
      <c r="B18" s="7" t="s">
        <v>97</v>
      </c>
      <c r="C18" s="7">
        <v>954100</v>
      </c>
      <c r="D18" s="7" t="s">
        <v>79</v>
      </c>
      <c r="E18" s="7">
        <v>200</v>
      </c>
      <c r="H18" s="4">
        <v>17</v>
      </c>
      <c r="I18" s="9" t="s">
        <v>48</v>
      </c>
      <c r="J18" s="13">
        <v>45476</v>
      </c>
      <c r="K18" s="14">
        <v>1</v>
      </c>
      <c r="L18" s="9"/>
      <c r="N18" s="4" t="s">
        <v>100</v>
      </c>
      <c r="O18" s="9" t="s">
        <v>101</v>
      </c>
    </row>
    <row r="19" spans="1:15" ht="12.75" customHeight="1">
      <c r="A19" s="8" t="str">
        <f t="shared" si="0"/>
        <v>954241 701</v>
      </c>
      <c r="B19" s="7" t="s">
        <v>97</v>
      </c>
      <c r="C19" s="7">
        <v>954241</v>
      </c>
      <c r="D19" s="7">
        <v>701</v>
      </c>
      <c r="E19" s="7">
        <v>300</v>
      </c>
      <c r="H19" s="4">
        <v>18</v>
      </c>
      <c r="I19" s="9" t="s">
        <v>48</v>
      </c>
      <c r="J19" s="13">
        <v>45477</v>
      </c>
      <c r="K19" s="14">
        <v>1</v>
      </c>
      <c r="L19" s="9"/>
      <c r="N19" s="4" t="s">
        <v>102</v>
      </c>
      <c r="O19" s="9" t="s">
        <v>103</v>
      </c>
    </row>
    <row r="20" spans="1:15" ht="12.75" customHeight="1">
      <c r="A20" s="8" t="str">
        <f t="shared" si="0"/>
        <v>954443 001</v>
      </c>
      <c r="B20" s="7" t="s">
        <v>97</v>
      </c>
      <c r="C20" s="7">
        <v>954443</v>
      </c>
      <c r="D20" s="7" t="s">
        <v>55</v>
      </c>
      <c r="E20" s="7">
        <v>200</v>
      </c>
      <c r="H20" s="4">
        <v>19</v>
      </c>
      <c r="I20" s="9" t="s">
        <v>48</v>
      </c>
      <c r="J20" s="13">
        <v>45478</v>
      </c>
      <c r="K20" s="14">
        <v>1</v>
      </c>
      <c r="L20" s="9"/>
      <c r="N20" s="4" t="s">
        <v>104</v>
      </c>
      <c r="O20" s="9" t="s">
        <v>105</v>
      </c>
    </row>
    <row r="21" spans="1:15" ht="12.75" customHeight="1">
      <c r="A21" s="8" t="str">
        <f t="shared" si="0"/>
        <v>958225 001</v>
      </c>
      <c r="B21" s="7" t="s">
        <v>106</v>
      </c>
      <c r="C21" s="7">
        <v>958225</v>
      </c>
      <c r="D21" s="7" t="s">
        <v>55</v>
      </c>
      <c r="E21" s="7">
        <v>200</v>
      </c>
      <c r="H21" s="4">
        <v>20</v>
      </c>
      <c r="I21" s="9" t="s">
        <v>48</v>
      </c>
      <c r="J21" s="13">
        <v>45479</v>
      </c>
      <c r="K21" s="14">
        <v>1</v>
      </c>
      <c r="L21" s="9" t="s">
        <v>64</v>
      </c>
      <c r="N21" s="4" t="s">
        <v>107</v>
      </c>
      <c r="O21" s="9" t="s">
        <v>108</v>
      </c>
    </row>
    <row r="22" spans="1:15" ht="12.75" customHeight="1">
      <c r="A22" s="8" t="str">
        <f t="shared" si="0"/>
        <v>958481 001</v>
      </c>
      <c r="B22" s="7" t="s">
        <v>109</v>
      </c>
      <c r="C22" s="7">
        <v>958481</v>
      </c>
      <c r="D22" s="7" t="s">
        <v>55</v>
      </c>
      <c r="E22" s="7">
        <v>200</v>
      </c>
      <c r="H22" s="4">
        <v>21</v>
      </c>
      <c r="I22" s="9" t="s">
        <v>48</v>
      </c>
      <c r="J22" s="13">
        <v>45480</v>
      </c>
      <c r="K22" s="14">
        <v>1</v>
      </c>
      <c r="L22" s="9" t="s">
        <v>68</v>
      </c>
      <c r="N22" s="4" t="s">
        <v>110</v>
      </c>
      <c r="O22" s="9" t="s">
        <v>111</v>
      </c>
    </row>
    <row r="23" spans="1:15" ht="12.75" customHeight="1">
      <c r="A23" s="8" t="str">
        <f t="shared" si="0"/>
        <v>958321 002</v>
      </c>
      <c r="B23" s="7" t="s">
        <v>112</v>
      </c>
      <c r="C23" s="7">
        <v>958321</v>
      </c>
      <c r="D23" s="7" t="s">
        <v>113</v>
      </c>
      <c r="E23" s="7">
        <v>200</v>
      </c>
      <c r="H23" s="4">
        <v>22</v>
      </c>
      <c r="I23" s="9" t="s">
        <v>48</v>
      </c>
      <c r="J23" s="13">
        <v>45481</v>
      </c>
      <c r="K23" s="14">
        <v>1</v>
      </c>
      <c r="L23" s="9"/>
      <c r="N23" s="4" t="s">
        <v>114</v>
      </c>
      <c r="O23" s="9" t="s">
        <v>115</v>
      </c>
    </row>
    <row r="24" spans="1:15" ht="12.75" customHeight="1">
      <c r="A24" s="8" t="str">
        <f t="shared" si="0"/>
        <v>958341 001</v>
      </c>
      <c r="B24" s="7" t="s">
        <v>112</v>
      </c>
      <c r="C24" s="7">
        <v>958341</v>
      </c>
      <c r="D24" s="7" t="s">
        <v>55</v>
      </c>
      <c r="E24" s="7">
        <v>200</v>
      </c>
      <c r="H24" s="4">
        <v>23</v>
      </c>
      <c r="I24" s="9" t="s">
        <v>48</v>
      </c>
      <c r="J24" s="13">
        <v>45482</v>
      </c>
      <c r="K24" s="14">
        <v>1</v>
      </c>
      <c r="L24" s="15"/>
      <c r="N24" s="4" t="s">
        <v>116</v>
      </c>
      <c r="O24" s="9" t="s">
        <v>117</v>
      </c>
    </row>
    <row r="25" spans="1:15" ht="12.75" customHeight="1">
      <c r="A25" s="8" t="str">
        <f t="shared" si="0"/>
        <v>960212 001</v>
      </c>
      <c r="B25" s="7" t="s">
        <v>118</v>
      </c>
      <c r="C25" s="7">
        <v>960212</v>
      </c>
      <c r="D25" s="7" t="s">
        <v>55</v>
      </c>
      <c r="E25" s="7">
        <v>200</v>
      </c>
      <c r="H25" s="4">
        <v>24</v>
      </c>
      <c r="I25" s="9" t="s">
        <v>48</v>
      </c>
      <c r="J25" s="13">
        <v>45483</v>
      </c>
      <c r="K25" s="14">
        <v>1</v>
      </c>
      <c r="L25" s="9"/>
      <c r="N25" s="4" t="s">
        <v>119</v>
      </c>
      <c r="O25" s="9" t="s">
        <v>120</v>
      </c>
    </row>
    <row r="26" spans="1:15" ht="12.75" customHeight="1">
      <c r="A26" s="8" t="str">
        <f t="shared" si="0"/>
        <v>954100 001-2</v>
      </c>
      <c r="B26" s="7" t="s">
        <v>121</v>
      </c>
      <c r="C26" s="7">
        <v>954100</v>
      </c>
      <c r="D26" s="7" t="s">
        <v>122</v>
      </c>
      <c r="E26" s="7">
        <v>200</v>
      </c>
      <c r="H26" s="4">
        <v>25</v>
      </c>
      <c r="I26" s="9" t="s">
        <v>48</v>
      </c>
      <c r="J26" s="13">
        <v>45484</v>
      </c>
      <c r="K26" s="14">
        <v>1</v>
      </c>
      <c r="L26" s="9"/>
      <c r="N26" s="4" t="s">
        <v>123</v>
      </c>
      <c r="O26" s="9" t="s">
        <v>124</v>
      </c>
    </row>
    <row r="27" spans="1:15" ht="12.75" customHeight="1">
      <c r="A27" s="8" t="str">
        <f t="shared" si="0"/>
        <v>954140 702</v>
      </c>
      <c r="B27" s="7" t="s">
        <v>121</v>
      </c>
      <c r="C27" s="7">
        <v>954140</v>
      </c>
      <c r="D27" s="7">
        <v>702</v>
      </c>
      <c r="E27" s="7">
        <v>300</v>
      </c>
      <c r="H27" s="4">
        <v>26</v>
      </c>
      <c r="I27" s="9" t="s">
        <v>48</v>
      </c>
      <c r="J27" s="13">
        <v>45485</v>
      </c>
      <c r="K27" s="14">
        <v>1</v>
      </c>
      <c r="L27" s="9"/>
      <c r="N27" s="4" t="s">
        <v>125</v>
      </c>
      <c r="O27" s="9" t="s">
        <v>126</v>
      </c>
    </row>
    <row r="28" spans="1:15" ht="12.75" customHeight="1">
      <c r="A28" s="8" t="str">
        <f t="shared" si="0"/>
        <v>957331 001</v>
      </c>
      <c r="B28" s="7" t="s">
        <v>121</v>
      </c>
      <c r="C28" s="7">
        <v>957331</v>
      </c>
      <c r="D28" s="7" t="s">
        <v>55</v>
      </c>
      <c r="E28" s="7">
        <v>200</v>
      </c>
      <c r="H28" s="4">
        <v>27</v>
      </c>
      <c r="I28" s="9" t="s">
        <v>48</v>
      </c>
      <c r="J28" s="13">
        <v>45486</v>
      </c>
      <c r="K28" s="14">
        <v>1</v>
      </c>
      <c r="L28" s="9" t="s">
        <v>64</v>
      </c>
      <c r="M28" s="16">
        <f t="array" ref="M28:M35">IF($D$3=Maintable!$G$2,Maintable!$J$2:$J$19,IF($D$3=Maintable!$G$3,Maintable!$J$20:$J$50,IF($D$3=Maintable!$G$4,Maintable!$J$51:$J$81,IF($D$3=Maintable!$G$5,Maintable!$J$82:$J$110,Maintable!$J$111:$J$118))))</f>
        <v>45569</v>
      </c>
      <c r="N28" s="4" t="s">
        <v>127</v>
      </c>
      <c r="O28" s="9" t="s">
        <v>128</v>
      </c>
    </row>
    <row r="29" spans="1:15" ht="12.75" customHeight="1">
      <c r="A29" s="8" t="str">
        <f t="shared" si="0"/>
        <v>957335 001</v>
      </c>
      <c r="B29" s="7" t="s">
        <v>121</v>
      </c>
      <c r="C29" s="7">
        <v>957335</v>
      </c>
      <c r="D29" s="7" t="s">
        <v>55</v>
      </c>
      <c r="E29" s="7">
        <v>200</v>
      </c>
      <c r="H29" s="4">
        <v>28</v>
      </c>
      <c r="I29" s="9" t="s">
        <v>48</v>
      </c>
      <c r="J29" s="13">
        <v>45487</v>
      </c>
      <c r="K29" s="14">
        <v>1</v>
      </c>
      <c r="L29" s="9" t="s">
        <v>68</v>
      </c>
      <c r="M29" s="16">
        <v>45570</v>
      </c>
      <c r="N29" s="4" t="s">
        <v>129</v>
      </c>
      <c r="O29" s="9" t="s">
        <v>130</v>
      </c>
    </row>
    <row r="30" spans="1:15" ht="12.75" customHeight="1">
      <c r="A30" s="8" t="str">
        <f t="shared" si="0"/>
        <v>958111 002</v>
      </c>
      <c r="B30" s="7" t="s">
        <v>121</v>
      </c>
      <c r="C30" s="7">
        <v>958111</v>
      </c>
      <c r="D30" s="7" t="s">
        <v>113</v>
      </c>
      <c r="E30" s="7">
        <v>200</v>
      </c>
      <c r="H30" s="4">
        <v>29</v>
      </c>
      <c r="I30" s="9" t="s">
        <v>48</v>
      </c>
      <c r="J30" s="13">
        <v>45488</v>
      </c>
      <c r="K30" s="14">
        <v>1</v>
      </c>
      <c r="L30" s="15"/>
      <c r="M30" s="16">
        <v>45571</v>
      </c>
      <c r="N30" s="4" t="s">
        <v>131</v>
      </c>
      <c r="O30" s="9" t="s">
        <v>132</v>
      </c>
    </row>
    <row r="31" spans="1:15" ht="12.75" customHeight="1">
      <c r="A31" s="8" t="str">
        <f t="shared" si="0"/>
        <v>958261 002</v>
      </c>
      <c r="B31" s="7" t="s">
        <v>121</v>
      </c>
      <c r="C31" s="7">
        <v>958261</v>
      </c>
      <c r="D31" s="7" t="s">
        <v>113</v>
      </c>
      <c r="E31" s="7">
        <v>200</v>
      </c>
      <c r="H31" s="4">
        <v>30</v>
      </c>
      <c r="I31" s="9" t="s">
        <v>48</v>
      </c>
      <c r="J31" s="13">
        <v>45489</v>
      </c>
      <c r="K31" s="14">
        <v>1</v>
      </c>
      <c r="L31" s="9"/>
      <c r="M31" s="16">
        <v>45572</v>
      </c>
      <c r="N31" s="4" t="s">
        <v>133</v>
      </c>
      <c r="O31" s="9" t="s">
        <v>134</v>
      </c>
    </row>
    <row r="32" spans="1:15" ht="12.75" customHeight="1">
      <c r="A32" s="8" t="str">
        <f t="shared" si="0"/>
        <v>954449 701</v>
      </c>
      <c r="B32" s="7" t="s">
        <v>135</v>
      </c>
      <c r="C32" s="7">
        <v>954449</v>
      </c>
      <c r="D32" s="7">
        <v>701</v>
      </c>
      <c r="E32" s="7">
        <v>300</v>
      </c>
      <c r="H32" s="4">
        <v>31</v>
      </c>
      <c r="I32" s="9" t="s">
        <v>48</v>
      </c>
      <c r="J32" s="13">
        <v>45490</v>
      </c>
      <c r="K32" s="14">
        <v>1</v>
      </c>
      <c r="L32" s="9"/>
      <c r="M32" s="16">
        <v>45573</v>
      </c>
      <c r="N32" s="4" t="s">
        <v>136</v>
      </c>
      <c r="O32" s="9" t="s">
        <v>137</v>
      </c>
    </row>
    <row r="33" spans="1:14" ht="12.75" customHeight="1">
      <c r="A33" s="8" t="str">
        <f t="shared" si="0"/>
        <v>958331 002</v>
      </c>
      <c r="B33" s="7" t="s">
        <v>138</v>
      </c>
      <c r="C33" s="7">
        <v>958331</v>
      </c>
      <c r="D33" s="7" t="s">
        <v>113</v>
      </c>
      <c r="E33" s="7">
        <v>200</v>
      </c>
      <c r="H33" s="4">
        <v>32</v>
      </c>
      <c r="I33" s="9" t="s">
        <v>48</v>
      </c>
      <c r="J33" s="13">
        <v>45491</v>
      </c>
      <c r="K33" s="14">
        <v>1</v>
      </c>
      <c r="L33" s="9"/>
      <c r="M33" s="16">
        <v>45574</v>
      </c>
      <c r="N33" s="4" t="s">
        <v>139</v>
      </c>
    </row>
    <row r="34" spans="1:14" ht="12.75" customHeight="1">
      <c r="A34" s="8" t="str">
        <f t="shared" si="0"/>
        <v>954100 001-3</v>
      </c>
      <c r="B34" s="7" t="s">
        <v>140</v>
      </c>
      <c r="C34" s="7">
        <v>954100</v>
      </c>
      <c r="D34" s="7" t="s">
        <v>141</v>
      </c>
      <c r="E34" s="7">
        <v>200</v>
      </c>
      <c r="H34" s="4">
        <v>33</v>
      </c>
      <c r="I34" s="9" t="s">
        <v>48</v>
      </c>
      <c r="J34" s="13">
        <v>45492</v>
      </c>
      <c r="K34" s="14">
        <v>1</v>
      </c>
      <c r="L34" s="9"/>
      <c r="M34" s="16">
        <v>45575</v>
      </c>
    </row>
    <row r="35" spans="1:14" ht="12.75" customHeight="1">
      <c r="A35" s="8" t="str">
        <f t="shared" si="0"/>
        <v>955102 702</v>
      </c>
      <c r="B35" s="7" t="s">
        <v>140</v>
      </c>
      <c r="C35" s="7">
        <v>955102</v>
      </c>
      <c r="D35" s="7">
        <v>702</v>
      </c>
      <c r="E35" s="7">
        <v>300</v>
      </c>
      <c r="H35" s="4">
        <v>34</v>
      </c>
      <c r="I35" s="9" t="s">
        <v>48</v>
      </c>
      <c r="J35" s="13">
        <v>45493</v>
      </c>
      <c r="K35" s="14">
        <v>1</v>
      </c>
      <c r="L35" s="9" t="s">
        <v>64</v>
      </c>
      <c r="M35" s="16">
        <v>45576</v>
      </c>
    </row>
    <row r="36" spans="1:14" ht="12.75" customHeight="1">
      <c r="A36" s="8" t="str">
        <f t="shared" si="0"/>
        <v>958102 001</v>
      </c>
      <c r="B36" s="7" t="s">
        <v>142</v>
      </c>
      <c r="C36" s="7">
        <v>958102</v>
      </c>
      <c r="D36" s="7" t="s">
        <v>55</v>
      </c>
      <c r="E36" s="7">
        <v>200</v>
      </c>
      <c r="H36" s="4">
        <v>35</v>
      </c>
      <c r="I36" s="9" t="s">
        <v>48</v>
      </c>
      <c r="J36" s="13">
        <v>45494</v>
      </c>
      <c r="K36" s="14">
        <v>1</v>
      </c>
      <c r="L36" s="9" t="s">
        <v>68</v>
      </c>
    </row>
    <row r="37" spans="1:14" ht="12.75" customHeight="1">
      <c r="A37" s="8" t="str">
        <f t="shared" si="0"/>
        <v>958261 003</v>
      </c>
      <c r="B37" s="7" t="s">
        <v>142</v>
      </c>
      <c r="C37" s="7">
        <v>958261</v>
      </c>
      <c r="D37" s="7" t="s">
        <v>143</v>
      </c>
      <c r="E37" s="7">
        <v>200</v>
      </c>
      <c r="H37" s="4">
        <v>36</v>
      </c>
      <c r="I37" s="9" t="s">
        <v>48</v>
      </c>
      <c r="J37" s="13">
        <v>45495</v>
      </c>
      <c r="K37" s="14">
        <v>1</v>
      </c>
      <c r="L37" s="17" t="s">
        <v>144</v>
      </c>
    </row>
    <row r="38" spans="1:14" ht="12.75" customHeight="1">
      <c r="A38" s="8" t="str">
        <f t="shared" si="0"/>
        <v>954140 002</v>
      </c>
      <c r="B38" s="7" t="s">
        <v>145</v>
      </c>
      <c r="C38" s="7">
        <v>954140</v>
      </c>
      <c r="D38" s="7" t="s">
        <v>113</v>
      </c>
      <c r="E38" s="7">
        <v>200</v>
      </c>
      <c r="H38" s="4">
        <v>37</v>
      </c>
      <c r="I38" s="9" t="s">
        <v>48</v>
      </c>
      <c r="J38" s="13">
        <v>45496</v>
      </c>
      <c r="K38" s="14">
        <v>1</v>
      </c>
      <c r="L38" s="9"/>
    </row>
    <row r="39" spans="1:14" ht="12.75" customHeight="1">
      <c r="A39" s="8" t="str">
        <f t="shared" si="0"/>
        <v>958481 003</v>
      </c>
      <c r="B39" s="7" t="s">
        <v>145</v>
      </c>
      <c r="C39" s="7">
        <v>958481</v>
      </c>
      <c r="D39" s="7" t="s">
        <v>143</v>
      </c>
      <c r="E39" s="7">
        <v>200</v>
      </c>
      <c r="H39" s="4">
        <v>38</v>
      </c>
      <c r="I39" s="9" t="s">
        <v>48</v>
      </c>
      <c r="J39" s="13">
        <v>45497</v>
      </c>
      <c r="K39" s="14">
        <v>1</v>
      </c>
      <c r="L39" s="9"/>
    </row>
    <row r="40" spans="1:14" ht="12.75" customHeight="1">
      <c r="A40" s="8" t="str">
        <f t="shared" si="0"/>
        <v>957213 001</v>
      </c>
      <c r="B40" s="7" t="s">
        <v>146</v>
      </c>
      <c r="C40" s="7">
        <v>957213</v>
      </c>
      <c r="D40" s="7" t="s">
        <v>55</v>
      </c>
      <c r="E40" s="7">
        <v>200</v>
      </c>
      <c r="H40" s="4">
        <v>39</v>
      </c>
      <c r="I40" s="9" t="s">
        <v>48</v>
      </c>
      <c r="J40" s="13">
        <v>45498</v>
      </c>
      <c r="K40" s="14">
        <v>1</v>
      </c>
      <c r="L40" s="9"/>
    </row>
    <row r="41" spans="1:14" ht="12.75" customHeight="1">
      <c r="A41" s="8" t="str">
        <f t="shared" si="0"/>
        <v>958441 001</v>
      </c>
      <c r="B41" s="7" t="s">
        <v>147</v>
      </c>
      <c r="C41" s="7">
        <v>958441</v>
      </c>
      <c r="D41" s="7" t="s">
        <v>55</v>
      </c>
      <c r="E41" s="7">
        <v>200</v>
      </c>
      <c r="H41" s="4">
        <v>40</v>
      </c>
      <c r="I41" s="9" t="s">
        <v>48</v>
      </c>
      <c r="J41" s="13">
        <v>45499</v>
      </c>
      <c r="K41" s="14">
        <v>1</v>
      </c>
      <c r="L41" s="9" t="s">
        <v>144</v>
      </c>
    </row>
    <row r="42" spans="1:14" ht="12.75" customHeight="1">
      <c r="A42" s="8" t="str">
        <f t="shared" si="0"/>
        <v>954140 001</v>
      </c>
      <c r="B42" s="7" t="s">
        <v>148</v>
      </c>
      <c r="C42" s="7">
        <v>954140</v>
      </c>
      <c r="D42" s="7" t="s">
        <v>55</v>
      </c>
      <c r="E42" s="7">
        <v>200</v>
      </c>
      <c r="H42" s="4">
        <v>41</v>
      </c>
      <c r="I42" s="9" t="s">
        <v>48</v>
      </c>
      <c r="J42" s="13">
        <v>45500</v>
      </c>
      <c r="K42" s="14">
        <v>1</v>
      </c>
      <c r="L42" s="9" t="s">
        <v>64</v>
      </c>
    </row>
    <row r="43" spans="1:14" ht="12.75" customHeight="1">
      <c r="A43" s="8" t="str">
        <f t="shared" si="0"/>
        <v>954340 004</v>
      </c>
      <c r="B43" s="7" t="s">
        <v>148</v>
      </c>
      <c r="C43" s="7">
        <v>954340</v>
      </c>
      <c r="D43" s="7" t="s">
        <v>63</v>
      </c>
      <c r="E43" s="7">
        <v>200</v>
      </c>
      <c r="H43" s="4">
        <v>42</v>
      </c>
      <c r="I43" s="9" t="s">
        <v>48</v>
      </c>
      <c r="J43" s="13">
        <v>45501</v>
      </c>
      <c r="K43" s="14">
        <v>1</v>
      </c>
      <c r="L43" s="9" t="s">
        <v>68</v>
      </c>
    </row>
    <row r="44" spans="1:14" ht="12.75" customHeight="1">
      <c r="A44" s="8" t="str">
        <f t="shared" si="0"/>
        <v>954348 001</v>
      </c>
      <c r="B44" s="7" t="s">
        <v>148</v>
      </c>
      <c r="C44" s="7">
        <v>954348</v>
      </c>
      <c r="D44" s="7" t="s">
        <v>55</v>
      </c>
      <c r="E44" s="7">
        <v>200</v>
      </c>
      <c r="H44" s="4">
        <v>43</v>
      </c>
      <c r="I44" s="9" t="s">
        <v>48</v>
      </c>
      <c r="J44" s="13">
        <v>45502</v>
      </c>
      <c r="K44" s="14">
        <v>1</v>
      </c>
      <c r="L44" s="17" t="s">
        <v>144</v>
      </c>
    </row>
    <row r="45" spans="1:14" ht="12.75" customHeight="1">
      <c r="A45" s="8" t="str">
        <f t="shared" si="0"/>
        <v>951107 020-1</v>
      </c>
      <c r="B45" s="7" t="s">
        <v>149</v>
      </c>
      <c r="C45" s="7">
        <v>951107</v>
      </c>
      <c r="D45" s="7" t="s">
        <v>150</v>
      </c>
      <c r="E45" s="7">
        <v>200</v>
      </c>
      <c r="H45" s="4">
        <v>44</v>
      </c>
      <c r="I45" s="9" t="s">
        <v>48</v>
      </c>
      <c r="J45" s="13">
        <v>45503</v>
      </c>
      <c r="K45" s="14">
        <v>1</v>
      </c>
      <c r="L45" s="9"/>
    </row>
    <row r="46" spans="1:14" ht="12.75" customHeight="1">
      <c r="A46" s="8" t="str">
        <f t="shared" si="0"/>
        <v>957213 002</v>
      </c>
      <c r="B46" s="7" t="s">
        <v>151</v>
      </c>
      <c r="C46" s="7">
        <v>957213</v>
      </c>
      <c r="D46" s="7" t="s">
        <v>113</v>
      </c>
      <c r="E46" s="7">
        <v>200</v>
      </c>
      <c r="H46" s="4">
        <v>45</v>
      </c>
      <c r="I46" s="9" t="s">
        <v>48</v>
      </c>
      <c r="J46" s="13">
        <v>45504</v>
      </c>
      <c r="K46" s="14">
        <v>1</v>
      </c>
      <c r="L46" s="9"/>
    </row>
    <row r="47" spans="1:14" ht="12.75" customHeight="1">
      <c r="A47" s="8" t="str">
        <f t="shared" si="0"/>
        <v>955103 702</v>
      </c>
      <c r="B47" s="7" t="s">
        <v>152</v>
      </c>
      <c r="C47" s="7">
        <v>955103</v>
      </c>
      <c r="D47" s="7">
        <v>702</v>
      </c>
      <c r="E47" s="7">
        <v>300</v>
      </c>
      <c r="H47" s="4">
        <v>46</v>
      </c>
      <c r="I47" s="10" t="s">
        <v>51</v>
      </c>
      <c r="J47" s="11">
        <v>45505</v>
      </c>
      <c r="K47" s="12">
        <v>1</v>
      </c>
      <c r="L47" s="10"/>
    </row>
    <row r="48" spans="1:14" ht="12.75" customHeight="1">
      <c r="A48" s="8" t="str">
        <f t="shared" si="0"/>
        <v>958111 001</v>
      </c>
      <c r="B48" s="7" t="s">
        <v>152</v>
      </c>
      <c r="C48" s="7">
        <v>958111</v>
      </c>
      <c r="D48" s="7" t="s">
        <v>55</v>
      </c>
      <c r="E48" s="7">
        <v>200</v>
      </c>
      <c r="H48" s="4">
        <v>47</v>
      </c>
      <c r="I48" s="9" t="s">
        <v>51</v>
      </c>
      <c r="J48" s="13">
        <v>45506</v>
      </c>
      <c r="K48" s="14">
        <v>1</v>
      </c>
      <c r="L48" s="15"/>
    </row>
    <row r="49" spans="1:12" ht="12.75" customHeight="1">
      <c r="A49" s="8" t="str">
        <f t="shared" si="0"/>
        <v>958331 001</v>
      </c>
      <c r="B49" s="7" t="s">
        <v>152</v>
      </c>
      <c r="C49" s="7">
        <v>958331</v>
      </c>
      <c r="D49" s="7" t="s">
        <v>55</v>
      </c>
      <c r="E49" s="7">
        <v>200</v>
      </c>
      <c r="H49" s="4">
        <v>48</v>
      </c>
      <c r="I49" s="9" t="s">
        <v>51</v>
      </c>
      <c r="J49" s="13">
        <v>45507</v>
      </c>
      <c r="K49" s="14">
        <v>1</v>
      </c>
      <c r="L49" s="9" t="s">
        <v>64</v>
      </c>
    </row>
    <row r="50" spans="1:12" ht="12.75" customHeight="1">
      <c r="A50" s="8" t="str">
        <f t="shared" si="0"/>
        <v>960141 001-2</v>
      </c>
      <c r="B50" s="7" t="s">
        <v>153</v>
      </c>
      <c r="C50" s="7">
        <v>960141</v>
      </c>
      <c r="D50" s="7" t="s">
        <v>122</v>
      </c>
      <c r="E50" s="7">
        <v>200</v>
      </c>
      <c r="H50" s="4">
        <v>49</v>
      </c>
      <c r="I50" s="9" t="s">
        <v>51</v>
      </c>
      <c r="J50" s="13">
        <v>45508</v>
      </c>
      <c r="K50" s="14">
        <v>1</v>
      </c>
      <c r="L50" s="9" t="s">
        <v>68</v>
      </c>
    </row>
    <row r="51" spans="1:12" ht="12.75" customHeight="1">
      <c r="A51" s="8" t="str">
        <f t="shared" si="0"/>
        <v>951215 001</v>
      </c>
      <c r="B51" s="7" t="s">
        <v>154</v>
      </c>
      <c r="C51" s="7">
        <v>951215</v>
      </c>
      <c r="D51" s="7" t="s">
        <v>55</v>
      </c>
      <c r="E51" s="7">
        <v>200</v>
      </c>
      <c r="H51" s="4">
        <v>50</v>
      </c>
      <c r="I51" s="9" t="s">
        <v>51</v>
      </c>
      <c r="J51" s="13">
        <v>45509</v>
      </c>
      <c r="K51" s="14">
        <v>1</v>
      </c>
      <c r="L51" s="15"/>
    </row>
    <row r="52" spans="1:12" ht="12.75" customHeight="1">
      <c r="A52" s="8" t="str">
        <f t="shared" si="0"/>
        <v>951215 002</v>
      </c>
      <c r="B52" s="7" t="s">
        <v>154</v>
      </c>
      <c r="C52" s="7">
        <v>951215</v>
      </c>
      <c r="D52" s="7" t="s">
        <v>113</v>
      </c>
      <c r="E52" s="7">
        <v>200</v>
      </c>
      <c r="H52" s="4">
        <v>51</v>
      </c>
      <c r="I52" s="9" t="s">
        <v>51</v>
      </c>
      <c r="J52" s="13">
        <v>45510</v>
      </c>
      <c r="K52" s="14">
        <v>1</v>
      </c>
      <c r="L52" s="9"/>
    </row>
    <row r="53" spans="1:12" ht="12.75" customHeight="1">
      <c r="A53" s="8" t="str">
        <f t="shared" si="0"/>
        <v>951352 001</v>
      </c>
      <c r="B53" s="7" t="s">
        <v>154</v>
      </c>
      <c r="C53" s="7">
        <v>951352</v>
      </c>
      <c r="D53" s="7" t="s">
        <v>55</v>
      </c>
      <c r="E53" s="7">
        <v>200</v>
      </c>
      <c r="H53" s="4">
        <v>52</v>
      </c>
      <c r="I53" s="9" t="s">
        <v>51</v>
      </c>
      <c r="J53" s="13">
        <v>45511</v>
      </c>
      <c r="K53" s="14">
        <v>1</v>
      </c>
      <c r="L53" s="9"/>
    </row>
    <row r="54" spans="1:12" ht="12.75" customHeight="1">
      <c r="A54" s="8" t="str">
        <f t="shared" si="0"/>
        <v>954340 002</v>
      </c>
      <c r="B54" s="7" t="s">
        <v>154</v>
      </c>
      <c r="C54" s="7">
        <v>954340</v>
      </c>
      <c r="D54" s="7" t="s">
        <v>113</v>
      </c>
      <c r="E54" s="7">
        <v>200</v>
      </c>
      <c r="H54" s="4">
        <v>53</v>
      </c>
      <c r="I54" s="9" t="s">
        <v>51</v>
      </c>
      <c r="J54" s="13">
        <v>45512</v>
      </c>
      <c r="K54" s="14">
        <v>1</v>
      </c>
      <c r="L54" s="9"/>
    </row>
    <row r="55" spans="1:12" ht="12.75" customHeight="1">
      <c r="A55" s="8" t="str">
        <f t="shared" si="0"/>
        <v>951212 030</v>
      </c>
      <c r="B55" s="7" t="s">
        <v>155</v>
      </c>
      <c r="C55" s="7">
        <v>951212</v>
      </c>
      <c r="D55" s="7" t="s">
        <v>156</v>
      </c>
      <c r="E55" s="7">
        <v>200</v>
      </c>
      <c r="H55" s="4">
        <v>54</v>
      </c>
      <c r="I55" s="9" t="s">
        <v>51</v>
      </c>
      <c r="J55" s="13">
        <v>45513</v>
      </c>
      <c r="K55" s="14">
        <v>1</v>
      </c>
      <c r="L55" s="9"/>
    </row>
    <row r="56" spans="1:12" ht="12.75" customHeight="1">
      <c r="A56" s="8" t="str">
        <f t="shared" si="0"/>
        <v>954140 003</v>
      </c>
      <c r="B56" s="7" t="s">
        <v>155</v>
      </c>
      <c r="C56" s="7">
        <v>954140</v>
      </c>
      <c r="D56" s="7" t="s">
        <v>143</v>
      </c>
      <c r="E56" s="7">
        <v>200</v>
      </c>
      <c r="H56" s="4">
        <v>55</v>
      </c>
      <c r="I56" s="9" t="s">
        <v>51</v>
      </c>
      <c r="J56" s="13">
        <v>45514</v>
      </c>
      <c r="K56" s="14">
        <v>1</v>
      </c>
      <c r="L56" s="9" t="s">
        <v>64</v>
      </c>
    </row>
    <row r="57" spans="1:12" ht="12.75" customHeight="1">
      <c r="A57" s="8"/>
      <c r="H57" s="4">
        <v>56</v>
      </c>
      <c r="I57" s="9" t="s">
        <v>51</v>
      </c>
      <c r="J57" s="13">
        <v>45515</v>
      </c>
      <c r="K57" s="14">
        <v>1</v>
      </c>
      <c r="L57" s="9" t="s">
        <v>68</v>
      </c>
    </row>
    <row r="58" spans="1:12" ht="12.75" customHeight="1">
      <c r="H58" s="4">
        <v>57</v>
      </c>
      <c r="I58" s="9" t="s">
        <v>51</v>
      </c>
      <c r="J58" s="13">
        <v>45516</v>
      </c>
      <c r="K58" s="14">
        <v>1</v>
      </c>
      <c r="L58" s="15" t="s">
        <v>157</v>
      </c>
    </row>
    <row r="59" spans="1:12" ht="12.75" customHeight="1">
      <c r="H59" s="4">
        <v>58</v>
      </c>
      <c r="I59" s="9" t="s">
        <v>51</v>
      </c>
      <c r="J59" s="13">
        <v>45517</v>
      </c>
      <c r="K59" s="14">
        <v>1</v>
      </c>
      <c r="L59" s="15" t="s">
        <v>157</v>
      </c>
    </row>
    <row r="60" spans="1:12" ht="12.75" customHeight="1">
      <c r="H60" s="4">
        <v>59</v>
      </c>
      <c r="I60" s="9" t="s">
        <v>51</v>
      </c>
      <c r="J60" s="13">
        <v>45518</v>
      </c>
      <c r="K60" s="14">
        <v>1</v>
      </c>
      <c r="L60" s="15" t="s">
        <v>157</v>
      </c>
    </row>
    <row r="61" spans="1:12" ht="12.75" customHeight="1">
      <c r="H61" s="4">
        <v>60</v>
      </c>
      <c r="I61" s="9" t="s">
        <v>51</v>
      </c>
      <c r="J61" s="13">
        <v>45519</v>
      </c>
      <c r="K61" s="14">
        <v>1</v>
      </c>
      <c r="L61" s="15" t="s">
        <v>157</v>
      </c>
    </row>
    <row r="62" spans="1:12" ht="12.75" customHeight="1">
      <c r="H62" s="4">
        <v>61</v>
      </c>
      <c r="I62" s="9" t="s">
        <v>51</v>
      </c>
      <c r="J62" s="13">
        <v>45520</v>
      </c>
      <c r="K62" s="14">
        <v>1</v>
      </c>
      <c r="L62" s="15" t="s">
        <v>157</v>
      </c>
    </row>
    <row r="63" spans="1:12" ht="12.75" customHeight="1">
      <c r="H63" s="4">
        <v>62</v>
      </c>
      <c r="I63" s="9" t="s">
        <v>51</v>
      </c>
      <c r="J63" s="13">
        <v>45521</v>
      </c>
      <c r="K63" s="14">
        <v>1</v>
      </c>
      <c r="L63" s="15" t="s">
        <v>157</v>
      </c>
    </row>
    <row r="64" spans="1:12" ht="12.75" customHeight="1">
      <c r="H64" s="4">
        <v>63</v>
      </c>
      <c r="I64" s="9" t="s">
        <v>51</v>
      </c>
      <c r="J64" s="13">
        <v>45522</v>
      </c>
      <c r="K64" s="14">
        <v>1</v>
      </c>
      <c r="L64" s="15" t="s">
        <v>157</v>
      </c>
    </row>
    <row r="65" spans="8:12" ht="12.75" customHeight="1">
      <c r="H65" s="4">
        <v>64</v>
      </c>
      <c r="I65" s="9" t="s">
        <v>51</v>
      </c>
      <c r="J65" s="13">
        <v>45523</v>
      </c>
      <c r="K65" s="14">
        <v>1</v>
      </c>
      <c r="L65" s="15" t="s">
        <v>157</v>
      </c>
    </row>
    <row r="66" spans="8:12" ht="12.75" customHeight="1">
      <c r="H66" s="4">
        <v>65</v>
      </c>
      <c r="I66" s="9" t="s">
        <v>51</v>
      </c>
      <c r="J66" s="13">
        <v>45524</v>
      </c>
      <c r="K66" s="14">
        <v>1</v>
      </c>
      <c r="L66" s="15" t="s">
        <v>157</v>
      </c>
    </row>
    <row r="67" spans="8:12" ht="12.75" customHeight="1">
      <c r="H67" s="4">
        <v>66</v>
      </c>
      <c r="I67" s="9" t="s">
        <v>51</v>
      </c>
      <c r="J67" s="13">
        <v>45525</v>
      </c>
      <c r="K67" s="14">
        <v>1</v>
      </c>
      <c r="L67" s="15" t="s">
        <v>157</v>
      </c>
    </row>
    <row r="68" spans="8:12" ht="12.75" customHeight="1">
      <c r="H68" s="4">
        <v>67</v>
      </c>
      <c r="I68" s="9" t="s">
        <v>51</v>
      </c>
      <c r="J68" s="13">
        <v>45526</v>
      </c>
      <c r="K68" s="14">
        <v>1</v>
      </c>
      <c r="L68" s="15" t="s">
        <v>157</v>
      </c>
    </row>
    <row r="69" spans="8:12" ht="12.75" customHeight="1">
      <c r="H69" s="4">
        <v>68</v>
      </c>
      <c r="I69" s="9" t="s">
        <v>51</v>
      </c>
      <c r="J69" s="13">
        <v>45527</v>
      </c>
      <c r="K69" s="14">
        <v>1</v>
      </c>
      <c r="L69" s="15" t="s">
        <v>157</v>
      </c>
    </row>
    <row r="70" spans="8:12" ht="12.75" customHeight="1">
      <c r="H70" s="4">
        <v>69</v>
      </c>
      <c r="I70" s="9" t="s">
        <v>51</v>
      </c>
      <c r="J70" s="13">
        <v>45528</v>
      </c>
      <c r="K70" s="14">
        <v>1</v>
      </c>
      <c r="L70" s="15" t="s">
        <v>157</v>
      </c>
    </row>
    <row r="71" spans="8:12" ht="12.75" customHeight="1">
      <c r="H71" s="4">
        <v>70</v>
      </c>
      <c r="I71" s="9" t="s">
        <v>51</v>
      </c>
      <c r="J71" s="13">
        <v>45529</v>
      </c>
      <c r="K71" s="14">
        <v>1</v>
      </c>
      <c r="L71" s="15" t="s">
        <v>157</v>
      </c>
    </row>
    <row r="72" spans="8:12" ht="12.75" customHeight="1">
      <c r="H72" s="4">
        <v>71</v>
      </c>
      <c r="I72" s="9" t="s">
        <v>51</v>
      </c>
      <c r="J72" s="13">
        <v>45530</v>
      </c>
      <c r="K72" s="14">
        <v>1</v>
      </c>
      <c r="L72" s="9"/>
    </row>
    <row r="73" spans="8:12" ht="12.75" customHeight="1">
      <c r="H73" s="4">
        <v>72</v>
      </c>
      <c r="I73" s="9" t="s">
        <v>51</v>
      </c>
      <c r="J73" s="13">
        <v>45531</v>
      </c>
      <c r="K73" s="14">
        <v>1</v>
      </c>
      <c r="L73" s="9"/>
    </row>
    <row r="74" spans="8:12" ht="12.75" customHeight="1">
      <c r="H74" s="4">
        <v>73</v>
      </c>
      <c r="I74" s="9" t="s">
        <v>51</v>
      </c>
      <c r="J74" s="13">
        <v>45532</v>
      </c>
      <c r="K74" s="14">
        <v>1</v>
      </c>
      <c r="L74" s="9"/>
    </row>
    <row r="75" spans="8:12" ht="12.75" customHeight="1">
      <c r="H75" s="4">
        <v>74</v>
      </c>
      <c r="I75" s="9" t="s">
        <v>51</v>
      </c>
      <c r="J75" s="13">
        <v>45533</v>
      </c>
      <c r="K75" s="14">
        <v>1</v>
      </c>
      <c r="L75" s="9"/>
    </row>
    <row r="76" spans="8:12" ht="12.75" customHeight="1">
      <c r="H76" s="4">
        <v>75</v>
      </c>
      <c r="I76" s="9" t="s">
        <v>51</v>
      </c>
      <c r="J76" s="13">
        <v>45534</v>
      </c>
      <c r="K76" s="14">
        <v>1</v>
      </c>
      <c r="L76" s="9"/>
    </row>
    <row r="77" spans="8:12" ht="12.75" customHeight="1">
      <c r="H77" s="4">
        <v>76</v>
      </c>
      <c r="I77" s="9" t="s">
        <v>51</v>
      </c>
      <c r="J77" s="13">
        <v>45535</v>
      </c>
      <c r="K77" s="14">
        <v>1</v>
      </c>
      <c r="L77" s="9" t="s">
        <v>64</v>
      </c>
    </row>
    <row r="78" spans="8:12" ht="12.75" customHeight="1">
      <c r="H78" s="4">
        <v>77</v>
      </c>
      <c r="I78" s="10" t="s">
        <v>56</v>
      </c>
      <c r="J78" s="11">
        <v>45536</v>
      </c>
      <c r="K78" s="12">
        <v>1</v>
      </c>
      <c r="L78" s="10" t="s">
        <v>68</v>
      </c>
    </row>
    <row r="79" spans="8:12" ht="12.75" customHeight="1">
      <c r="H79" s="4">
        <v>78</v>
      </c>
      <c r="I79" s="9" t="s">
        <v>56</v>
      </c>
      <c r="J79" s="13">
        <v>45537</v>
      </c>
      <c r="K79" s="14">
        <v>1</v>
      </c>
      <c r="L79" s="9"/>
    </row>
    <row r="80" spans="8:12" ht="12.75" customHeight="1">
      <c r="H80" s="4">
        <v>79</v>
      </c>
      <c r="I80" s="9" t="s">
        <v>56</v>
      </c>
      <c r="J80" s="13">
        <v>45538</v>
      </c>
      <c r="K80" s="14">
        <v>1</v>
      </c>
      <c r="L80" s="9"/>
    </row>
    <row r="81" spans="8:12" ht="12.75" customHeight="1">
      <c r="H81" s="4">
        <v>80</v>
      </c>
      <c r="I81" s="9" t="s">
        <v>56</v>
      </c>
      <c r="J81" s="13">
        <v>45539</v>
      </c>
      <c r="K81" s="14">
        <v>1</v>
      </c>
      <c r="L81" s="9"/>
    </row>
    <row r="82" spans="8:12" ht="12.75" customHeight="1">
      <c r="H82" s="4">
        <v>81</v>
      </c>
      <c r="I82" s="9" t="s">
        <v>56</v>
      </c>
      <c r="J82" s="13">
        <v>45540</v>
      </c>
      <c r="K82" s="14">
        <v>1</v>
      </c>
      <c r="L82" s="9"/>
    </row>
    <row r="83" spans="8:12" ht="12.75" customHeight="1">
      <c r="H83" s="4">
        <v>82</v>
      </c>
      <c r="I83" s="9" t="s">
        <v>56</v>
      </c>
      <c r="J83" s="13">
        <v>45541</v>
      </c>
      <c r="K83" s="14">
        <v>1</v>
      </c>
      <c r="L83" s="9"/>
    </row>
    <row r="84" spans="8:12" ht="12.75" customHeight="1">
      <c r="H84" s="4">
        <v>83</v>
      </c>
      <c r="I84" s="9" t="s">
        <v>56</v>
      </c>
      <c r="J84" s="13">
        <v>45542</v>
      </c>
      <c r="K84" s="14">
        <v>1</v>
      </c>
      <c r="L84" s="9" t="s">
        <v>64</v>
      </c>
    </row>
    <row r="85" spans="8:12" ht="12.75" customHeight="1">
      <c r="H85" s="4">
        <v>84</v>
      </c>
      <c r="I85" s="9" t="s">
        <v>56</v>
      </c>
      <c r="J85" s="13">
        <v>45543</v>
      </c>
      <c r="K85" s="14">
        <v>1</v>
      </c>
      <c r="L85" s="9" t="s">
        <v>68</v>
      </c>
    </row>
    <row r="86" spans="8:12" ht="12.75" customHeight="1">
      <c r="H86" s="4">
        <v>85</v>
      </c>
      <c r="I86" s="9" t="s">
        <v>56</v>
      </c>
      <c r="J86" s="13">
        <v>45544</v>
      </c>
      <c r="K86" s="14">
        <v>1</v>
      </c>
      <c r="L86" s="9"/>
    </row>
    <row r="87" spans="8:12" ht="12.75" customHeight="1">
      <c r="H87" s="4">
        <v>86</v>
      </c>
      <c r="I87" s="9" t="s">
        <v>56</v>
      </c>
      <c r="J87" s="13">
        <v>45545</v>
      </c>
      <c r="K87" s="14">
        <v>1</v>
      </c>
      <c r="L87" s="9"/>
    </row>
    <row r="88" spans="8:12" ht="12.75" customHeight="1">
      <c r="H88" s="4">
        <v>87</v>
      </c>
      <c r="I88" s="9" t="s">
        <v>56</v>
      </c>
      <c r="J88" s="13">
        <v>45546</v>
      </c>
      <c r="K88" s="14">
        <v>1</v>
      </c>
      <c r="L88" s="9"/>
    </row>
    <row r="89" spans="8:12" ht="12.75" customHeight="1">
      <c r="H89" s="4">
        <v>88</v>
      </c>
      <c r="I89" s="9" t="s">
        <v>56</v>
      </c>
      <c r="J89" s="13">
        <v>45547</v>
      </c>
      <c r="K89" s="14">
        <v>1</v>
      </c>
      <c r="L89" s="9"/>
    </row>
    <row r="90" spans="8:12" ht="12.75" customHeight="1">
      <c r="H90" s="4">
        <v>89</v>
      </c>
      <c r="I90" s="9" t="s">
        <v>56</v>
      </c>
      <c r="J90" s="13">
        <v>45548</v>
      </c>
      <c r="K90" s="14">
        <v>1</v>
      </c>
      <c r="L90" s="9"/>
    </row>
    <row r="91" spans="8:12" ht="12.75" customHeight="1">
      <c r="H91" s="4">
        <v>90</v>
      </c>
      <c r="I91" s="9" t="s">
        <v>56</v>
      </c>
      <c r="J91" s="13">
        <v>45549</v>
      </c>
      <c r="K91" s="14">
        <v>1</v>
      </c>
      <c r="L91" s="9" t="s">
        <v>64</v>
      </c>
    </row>
    <row r="92" spans="8:12" ht="12.75" customHeight="1">
      <c r="H92" s="4">
        <v>91</v>
      </c>
      <c r="I92" s="9" t="s">
        <v>56</v>
      </c>
      <c r="J92" s="13">
        <v>45550</v>
      </c>
      <c r="K92" s="14">
        <v>1</v>
      </c>
      <c r="L92" s="9" t="s">
        <v>68</v>
      </c>
    </row>
    <row r="93" spans="8:12" ht="12.75" customHeight="1">
      <c r="H93" s="4">
        <v>92</v>
      </c>
      <c r="I93" s="9" t="s">
        <v>56</v>
      </c>
      <c r="J93" s="13">
        <v>45551</v>
      </c>
      <c r="K93" s="14">
        <v>1</v>
      </c>
      <c r="L93" s="9"/>
    </row>
    <row r="94" spans="8:12" ht="12.75" customHeight="1">
      <c r="H94" s="4">
        <v>93</v>
      </c>
      <c r="I94" s="9" t="s">
        <v>56</v>
      </c>
      <c r="J94" s="13">
        <v>45552</v>
      </c>
      <c r="K94" s="14">
        <v>1</v>
      </c>
      <c r="L94" s="9"/>
    </row>
    <row r="95" spans="8:12" ht="12.75" customHeight="1">
      <c r="H95" s="4">
        <v>94</v>
      </c>
      <c r="I95" s="9" t="s">
        <v>56</v>
      </c>
      <c r="J95" s="13">
        <v>45553</v>
      </c>
      <c r="K95" s="14">
        <v>1</v>
      </c>
      <c r="L95" s="9"/>
    </row>
    <row r="96" spans="8:12" ht="12.75" customHeight="1">
      <c r="H96" s="4">
        <v>95</v>
      </c>
      <c r="I96" s="9" t="s">
        <v>56</v>
      </c>
      <c r="J96" s="13">
        <v>45554</v>
      </c>
      <c r="K96" s="14">
        <v>1</v>
      </c>
      <c r="L96" s="9"/>
    </row>
    <row r="97" spans="8:12" ht="12.75" customHeight="1">
      <c r="H97" s="4">
        <v>96</v>
      </c>
      <c r="I97" s="9" t="s">
        <v>56</v>
      </c>
      <c r="J97" s="13">
        <v>45555</v>
      </c>
      <c r="K97" s="14">
        <v>1</v>
      </c>
      <c r="L97" s="9"/>
    </row>
    <row r="98" spans="8:12" ht="12.75" customHeight="1">
      <c r="H98" s="4">
        <v>97</v>
      </c>
      <c r="I98" s="9" t="s">
        <v>56</v>
      </c>
      <c r="J98" s="13">
        <v>45556</v>
      </c>
      <c r="K98" s="14">
        <v>1</v>
      </c>
      <c r="L98" s="9" t="s">
        <v>64</v>
      </c>
    </row>
    <row r="99" spans="8:12" ht="12.75" customHeight="1">
      <c r="H99" s="4">
        <v>98</v>
      </c>
      <c r="I99" s="9" t="s">
        <v>56</v>
      </c>
      <c r="J99" s="13">
        <v>45557</v>
      </c>
      <c r="K99" s="14">
        <v>1</v>
      </c>
      <c r="L99" s="9" t="s">
        <v>68</v>
      </c>
    </row>
    <row r="100" spans="8:12" ht="12.75" customHeight="1">
      <c r="H100" s="4">
        <v>99</v>
      </c>
      <c r="I100" s="9" t="s">
        <v>56</v>
      </c>
      <c r="J100" s="13">
        <v>45558</v>
      </c>
      <c r="K100" s="14">
        <v>1</v>
      </c>
      <c r="L100" s="9"/>
    </row>
    <row r="101" spans="8:12" ht="12.75" customHeight="1">
      <c r="H101" s="4">
        <v>100</v>
      </c>
      <c r="I101" s="9" t="s">
        <v>56</v>
      </c>
      <c r="J101" s="13">
        <v>45559</v>
      </c>
      <c r="K101" s="14">
        <v>1</v>
      </c>
      <c r="L101" s="9"/>
    </row>
    <row r="102" spans="8:12" ht="12.75" customHeight="1">
      <c r="H102" s="4">
        <v>101</v>
      </c>
      <c r="I102" s="9" t="s">
        <v>56</v>
      </c>
      <c r="J102" s="13">
        <v>45560</v>
      </c>
      <c r="K102" s="14">
        <v>1</v>
      </c>
      <c r="L102" s="9"/>
    </row>
    <row r="103" spans="8:12" ht="12.75" customHeight="1">
      <c r="H103" s="4">
        <v>102</v>
      </c>
      <c r="I103" s="9" t="s">
        <v>56</v>
      </c>
      <c r="J103" s="13">
        <v>45561</v>
      </c>
      <c r="K103" s="14">
        <v>1</v>
      </c>
      <c r="L103" s="9"/>
    </row>
    <row r="104" spans="8:12" ht="12.75" customHeight="1">
      <c r="H104" s="4">
        <v>103</v>
      </c>
      <c r="I104" s="9" t="s">
        <v>56</v>
      </c>
      <c r="J104" s="13">
        <v>45562</v>
      </c>
      <c r="K104" s="14">
        <v>1</v>
      </c>
      <c r="L104" s="9"/>
    </row>
    <row r="105" spans="8:12" ht="12.75" customHeight="1">
      <c r="H105" s="4">
        <v>104</v>
      </c>
      <c r="I105" s="9" t="s">
        <v>56</v>
      </c>
      <c r="J105" s="13">
        <v>45563</v>
      </c>
      <c r="K105" s="14">
        <v>1</v>
      </c>
      <c r="L105" s="9" t="s">
        <v>64</v>
      </c>
    </row>
    <row r="106" spans="8:12" ht="12.75" customHeight="1">
      <c r="H106" s="4">
        <v>105</v>
      </c>
      <c r="I106" s="9" t="s">
        <v>56</v>
      </c>
      <c r="J106" s="13">
        <v>45564</v>
      </c>
      <c r="K106" s="14">
        <v>1</v>
      </c>
      <c r="L106" s="9" t="s">
        <v>68</v>
      </c>
    </row>
    <row r="107" spans="8:12" ht="12.75" customHeight="1">
      <c r="H107" s="4">
        <v>106</v>
      </c>
      <c r="I107" s="9" t="s">
        <v>56</v>
      </c>
      <c r="J107" s="13">
        <v>45565</v>
      </c>
      <c r="K107" s="14">
        <v>1</v>
      </c>
      <c r="L107" s="15"/>
    </row>
    <row r="108" spans="8:12" ht="12.75" customHeight="1">
      <c r="H108" s="4">
        <v>107</v>
      </c>
      <c r="I108" s="10" t="s">
        <v>59</v>
      </c>
      <c r="J108" s="11">
        <v>45566</v>
      </c>
      <c r="K108" s="12">
        <v>1</v>
      </c>
      <c r="L108" s="10"/>
    </row>
    <row r="109" spans="8:12" ht="12.75" customHeight="1">
      <c r="H109" s="4">
        <v>108</v>
      </c>
      <c r="I109" s="9" t="s">
        <v>59</v>
      </c>
      <c r="J109" s="13">
        <v>45567</v>
      </c>
      <c r="K109" s="14">
        <v>1</v>
      </c>
      <c r="L109" s="9"/>
    </row>
    <row r="110" spans="8:12" ht="12.75" customHeight="1">
      <c r="H110" s="4">
        <v>109</v>
      </c>
      <c r="I110" s="9" t="s">
        <v>59</v>
      </c>
      <c r="J110" s="13">
        <v>45568</v>
      </c>
      <c r="K110" s="14">
        <v>1</v>
      </c>
      <c r="L110" s="9"/>
    </row>
    <row r="111" spans="8:12" ht="12.75" customHeight="1">
      <c r="H111" s="4">
        <v>110</v>
      </c>
      <c r="I111" s="9" t="s">
        <v>59</v>
      </c>
      <c r="J111" s="13">
        <v>45569</v>
      </c>
      <c r="K111" s="14">
        <v>1</v>
      </c>
      <c r="L111" s="9"/>
    </row>
    <row r="112" spans="8:12" ht="12.75" customHeight="1">
      <c r="H112" s="4">
        <v>111</v>
      </c>
      <c r="I112" s="9" t="s">
        <v>59</v>
      </c>
      <c r="J112" s="13">
        <v>45570</v>
      </c>
      <c r="K112" s="14">
        <v>1</v>
      </c>
      <c r="L112" s="9" t="s">
        <v>64</v>
      </c>
    </row>
    <row r="113" spans="8:12" ht="12.75" customHeight="1">
      <c r="H113" s="4">
        <v>112</v>
      </c>
      <c r="I113" s="9" t="s">
        <v>59</v>
      </c>
      <c r="J113" s="13">
        <v>45571</v>
      </c>
      <c r="K113" s="14">
        <v>1</v>
      </c>
      <c r="L113" s="9" t="s">
        <v>68</v>
      </c>
    </row>
    <row r="114" spans="8:12" ht="12.75" customHeight="1">
      <c r="H114" s="4">
        <v>113</v>
      </c>
      <c r="I114" s="9" t="s">
        <v>59</v>
      </c>
      <c r="J114" s="13">
        <v>45572</v>
      </c>
      <c r="K114" s="14">
        <v>1</v>
      </c>
      <c r="L114" s="9"/>
    </row>
    <row r="115" spans="8:12" ht="12.75" customHeight="1">
      <c r="H115" s="4">
        <v>114</v>
      </c>
      <c r="I115" s="9" t="s">
        <v>59</v>
      </c>
      <c r="J115" s="13">
        <v>45573</v>
      </c>
      <c r="K115" s="14">
        <v>1</v>
      </c>
      <c r="L115" s="9"/>
    </row>
    <row r="116" spans="8:12" ht="12.75" customHeight="1">
      <c r="H116" s="4">
        <v>115</v>
      </c>
      <c r="I116" s="9" t="s">
        <v>59</v>
      </c>
      <c r="J116" s="13">
        <v>45574</v>
      </c>
      <c r="K116" s="14">
        <v>1</v>
      </c>
      <c r="L116" s="9"/>
    </row>
    <row r="117" spans="8:12" ht="12.75" customHeight="1">
      <c r="H117" s="4">
        <v>116</v>
      </c>
      <c r="I117" s="9" t="s">
        <v>59</v>
      </c>
      <c r="J117" s="13">
        <v>45575</v>
      </c>
      <c r="K117" s="14">
        <v>1</v>
      </c>
      <c r="L117" s="9"/>
    </row>
    <row r="118" spans="8:12" ht="12.75" customHeight="1">
      <c r="H118" s="4">
        <v>117</v>
      </c>
      <c r="I118" s="9" t="s">
        <v>59</v>
      </c>
      <c r="J118" s="13">
        <v>45576</v>
      </c>
      <c r="K118" s="14">
        <v>1</v>
      </c>
      <c r="L118" s="9"/>
    </row>
    <row r="119" spans="8:12" ht="12.75" customHeight="1">
      <c r="L119" s="7"/>
    </row>
    <row r="120" spans="8:12" ht="12.75" customHeight="1">
      <c r="L120" s="7"/>
    </row>
    <row r="121" spans="8:12" ht="12.75" customHeight="1"/>
    <row r="122" spans="8:12" ht="12.75" customHeight="1"/>
    <row r="123" spans="8:12" ht="12.75" customHeight="1"/>
    <row r="124" spans="8:12" ht="12.75" customHeight="1"/>
    <row r="125" spans="8:12" ht="12.75" customHeight="1"/>
    <row r="126" spans="8:12" ht="12.75" customHeight="1"/>
    <row r="127" spans="8:12" ht="12.75" customHeight="1"/>
    <row r="128" spans="8:12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baseColWidth="10" defaultColWidth="12.5" defaultRowHeight="15" customHeight="1"/>
  <cols>
    <col min="1" max="1" width="15.5" customWidth="1"/>
    <col min="2" max="2" width="20.83203125" customWidth="1"/>
    <col min="3" max="3" width="10.5" customWidth="1"/>
    <col min="4" max="4" width="9.5" customWidth="1"/>
    <col min="5" max="5" width="7.5" customWidth="1"/>
    <col min="6" max="8" width="8.83203125" customWidth="1"/>
  </cols>
  <sheetData>
    <row r="1" spans="1:8" ht="12.75" customHeight="1">
      <c r="A1" s="1" t="s">
        <v>31</v>
      </c>
      <c r="B1" s="2" t="s">
        <v>32</v>
      </c>
      <c r="C1" s="3" t="s">
        <v>33</v>
      </c>
      <c r="D1" s="3" t="s">
        <v>34</v>
      </c>
      <c r="E1" s="1" t="s">
        <v>35</v>
      </c>
    </row>
    <row r="2" spans="1:8" ht="12.75" customHeight="1">
      <c r="A2" s="8" t="str">
        <f t="shared" ref="A2:A56" si="0">C2&amp;" "&amp;D2</f>
        <v>955103 701</v>
      </c>
      <c r="B2" s="7" t="s">
        <v>43</v>
      </c>
      <c r="C2" s="7">
        <v>955103</v>
      </c>
      <c r="D2" s="7">
        <v>701</v>
      </c>
      <c r="E2" s="7">
        <v>300</v>
      </c>
    </row>
    <row r="3" spans="1:8" ht="12.75" customHeight="1">
      <c r="A3" s="8" t="str">
        <f t="shared" si="0"/>
        <v>953201 701</v>
      </c>
      <c r="B3" s="7" t="s">
        <v>47</v>
      </c>
      <c r="C3" s="7">
        <v>953201</v>
      </c>
      <c r="D3" s="7">
        <v>701</v>
      </c>
      <c r="E3" s="7">
        <v>300</v>
      </c>
    </row>
    <row r="4" spans="1:8" ht="12.75" customHeight="1">
      <c r="A4" s="8" t="str">
        <f t="shared" si="0"/>
        <v>953321 701</v>
      </c>
      <c r="B4" s="7" t="s">
        <v>47</v>
      </c>
      <c r="C4" s="7">
        <v>953321</v>
      </c>
      <c r="D4" s="7">
        <v>701</v>
      </c>
      <c r="E4" s="7">
        <v>300</v>
      </c>
      <c r="H4" s="7"/>
    </row>
    <row r="5" spans="1:8" ht="12.75" customHeight="1">
      <c r="A5" s="8" t="str">
        <f t="shared" si="0"/>
        <v>951312 001</v>
      </c>
      <c r="B5" s="7" t="s">
        <v>54</v>
      </c>
      <c r="C5" s="7">
        <v>951312</v>
      </c>
      <c r="D5" s="7" t="s">
        <v>55</v>
      </c>
      <c r="E5" s="7">
        <v>200</v>
      </c>
    </row>
    <row r="6" spans="1:8" ht="12.75" customHeight="1">
      <c r="A6" s="8" t="str">
        <f t="shared" si="0"/>
        <v>958261 001</v>
      </c>
      <c r="B6" s="7" t="s">
        <v>54</v>
      </c>
      <c r="C6" s="7">
        <v>958261</v>
      </c>
      <c r="D6" s="7" t="s">
        <v>55</v>
      </c>
      <c r="E6" s="7">
        <v>200</v>
      </c>
    </row>
    <row r="7" spans="1:8" ht="12.75" customHeight="1">
      <c r="A7" s="8" t="str">
        <f t="shared" si="0"/>
        <v>958481 004</v>
      </c>
      <c r="B7" s="7" t="s">
        <v>62</v>
      </c>
      <c r="C7" s="7">
        <v>958481</v>
      </c>
      <c r="D7" s="7" t="s">
        <v>63</v>
      </c>
      <c r="E7" s="7">
        <v>200</v>
      </c>
    </row>
    <row r="8" spans="1:8" ht="12.75" customHeight="1">
      <c r="A8" s="8" t="str">
        <f t="shared" si="0"/>
        <v>954347 001</v>
      </c>
      <c r="B8" s="7" t="s">
        <v>67</v>
      </c>
      <c r="C8" s="7">
        <v>954347</v>
      </c>
      <c r="D8" s="7" t="s">
        <v>55</v>
      </c>
      <c r="E8" s="7">
        <v>200</v>
      </c>
    </row>
    <row r="9" spans="1:8" ht="12.75" customHeight="1">
      <c r="A9" s="8" t="str">
        <f t="shared" si="0"/>
        <v>954231 002-01</v>
      </c>
      <c r="B9" s="7" t="s">
        <v>71</v>
      </c>
      <c r="C9" s="7">
        <v>954231</v>
      </c>
      <c r="D9" s="7" t="s">
        <v>72</v>
      </c>
      <c r="E9" s="7">
        <v>200</v>
      </c>
    </row>
    <row r="10" spans="1:8" ht="12.75" customHeight="1">
      <c r="A10" s="8" t="str">
        <f t="shared" si="0"/>
        <v>951106 001</v>
      </c>
      <c r="B10" s="7" t="s">
        <v>75</v>
      </c>
      <c r="C10" s="7">
        <v>951106</v>
      </c>
      <c r="D10" s="7" t="s">
        <v>55</v>
      </c>
      <c r="E10" s="7">
        <v>200</v>
      </c>
    </row>
    <row r="11" spans="1:8" ht="12.75" customHeight="1">
      <c r="A11" s="8" t="str">
        <f t="shared" si="0"/>
        <v>960141 001-1</v>
      </c>
      <c r="B11" s="7" t="s">
        <v>78</v>
      </c>
      <c r="C11" s="7">
        <v>960141</v>
      </c>
      <c r="D11" s="7" t="s">
        <v>79</v>
      </c>
      <c r="E11" s="7">
        <v>200</v>
      </c>
    </row>
    <row r="12" spans="1:8" ht="12.75" customHeight="1">
      <c r="A12" s="8" t="str">
        <f t="shared" si="0"/>
        <v>960231 001</v>
      </c>
      <c r="B12" s="7" t="s">
        <v>78</v>
      </c>
      <c r="C12" s="7">
        <v>960231</v>
      </c>
      <c r="D12" s="7" t="s">
        <v>55</v>
      </c>
      <c r="E12" s="7">
        <v>200</v>
      </c>
    </row>
    <row r="13" spans="1:8" ht="12.75" customHeight="1">
      <c r="A13" s="8" t="str">
        <f t="shared" si="0"/>
        <v>960331 001</v>
      </c>
      <c r="B13" s="7" t="s">
        <v>84</v>
      </c>
      <c r="C13" s="7">
        <v>960331</v>
      </c>
      <c r="D13" s="7" t="s">
        <v>55</v>
      </c>
      <c r="E13" s="7">
        <v>200</v>
      </c>
    </row>
    <row r="14" spans="1:8" ht="12.75" customHeight="1">
      <c r="A14" s="8" t="str">
        <f t="shared" si="0"/>
        <v>953212 703</v>
      </c>
      <c r="B14" s="7" t="s">
        <v>87</v>
      </c>
      <c r="C14" s="7">
        <v>953212</v>
      </c>
      <c r="D14" s="7">
        <v>703</v>
      </c>
      <c r="E14" s="7">
        <v>300</v>
      </c>
    </row>
    <row r="15" spans="1:8" ht="12.75" customHeight="1">
      <c r="A15" s="8" t="str">
        <f t="shared" si="0"/>
        <v>954231 001-01</v>
      </c>
      <c r="B15" s="7" t="s">
        <v>90</v>
      </c>
      <c r="C15" s="7">
        <v>954231</v>
      </c>
      <c r="D15" s="7" t="s">
        <v>91</v>
      </c>
      <c r="E15" s="7">
        <v>200</v>
      </c>
    </row>
    <row r="16" spans="1:8" ht="12.75" customHeight="1">
      <c r="A16" s="8" t="str">
        <f t="shared" si="0"/>
        <v>954231 701-01</v>
      </c>
      <c r="B16" s="7" t="s">
        <v>90</v>
      </c>
      <c r="C16" s="7">
        <v>954231</v>
      </c>
      <c r="D16" s="7" t="s">
        <v>94</v>
      </c>
      <c r="E16" s="7">
        <v>300</v>
      </c>
    </row>
    <row r="17" spans="1:5" ht="12.75" customHeight="1">
      <c r="A17" s="8" t="str">
        <f t="shared" si="0"/>
        <v>953321 702</v>
      </c>
      <c r="B17" s="7" t="s">
        <v>97</v>
      </c>
      <c r="C17" s="7">
        <v>953321</v>
      </c>
      <c r="D17" s="7">
        <v>702</v>
      </c>
      <c r="E17" s="7">
        <v>300</v>
      </c>
    </row>
    <row r="18" spans="1:5" ht="12.75" customHeight="1">
      <c r="A18" s="8" t="str">
        <f t="shared" si="0"/>
        <v>954100 001-1</v>
      </c>
      <c r="B18" s="7" t="s">
        <v>97</v>
      </c>
      <c r="C18" s="7">
        <v>954100</v>
      </c>
      <c r="D18" s="7" t="s">
        <v>79</v>
      </c>
      <c r="E18" s="7">
        <v>200</v>
      </c>
    </row>
    <row r="19" spans="1:5" ht="12.75" customHeight="1">
      <c r="A19" s="8" t="str">
        <f t="shared" si="0"/>
        <v>954241 701</v>
      </c>
      <c r="B19" s="7" t="s">
        <v>97</v>
      </c>
      <c r="C19" s="7">
        <v>954241</v>
      </c>
      <c r="D19" s="7">
        <v>701</v>
      </c>
      <c r="E19" s="7">
        <v>300</v>
      </c>
    </row>
    <row r="20" spans="1:5" ht="12.75" customHeight="1">
      <c r="A20" s="8" t="str">
        <f t="shared" si="0"/>
        <v>954443 001</v>
      </c>
      <c r="B20" s="7" t="s">
        <v>97</v>
      </c>
      <c r="C20" s="7">
        <v>954443</v>
      </c>
      <c r="D20" s="7" t="s">
        <v>55</v>
      </c>
      <c r="E20" s="7">
        <v>200</v>
      </c>
    </row>
    <row r="21" spans="1:5" ht="12.75" customHeight="1">
      <c r="A21" s="8" t="str">
        <f t="shared" si="0"/>
        <v>958225 001</v>
      </c>
      <c r="B21" s="7" t="s">
        <v>106</v>
      </c>
      <c r="C21" s="7">
        <v>958225</v>
      </c>
      <c r="D21" s="7" t="s">
        <v>55</v>
      </c>
      <c r="E21" s="7">
        <v>200</v>
      </c>
    </row>
    <row r="22" spans="1:5" ht="12.75" customHeight="1">
      <c r="A22" s="8" t="str">
        <f t="shared" si="0"/>
        <v>958481 001</v>
      </c>
      <c r="B22" s="7" t="s">
        <v>109</v>
      </c>
      <c r="C22" s="7">
        <v>958481</v>
      </c>
      <c r="D22" s="7" t="s">
        <v>55</v>
      </c>
      <c r="E22" s="7">
        <v>200</v>
      </c>
    </row>
    <row r="23" spans="1:5" ht="12.75" customHeight="1">
      <c r="A23" s="8" t="str">
        <f t="shared" si="0"/>
        <v>958321 002</v>
      </c>
      <c r="B23" s="7" t="s">
        <v>112</v>
      </c>
      <c r="C23" s="7">
        <v>958321</v>
      </c>
      <c r="D23" s="7" t="s">
        <v>113</v>
      </c>
      <c r="E23" s="7">
        <v>200</v>
      </c>
    </row>
    <row r="24" spans="1:5" ht="12.75" customHeight="1">
      <c r="A24" s="8" t="str">
        <f t="shared" si="0"/>
        <v>958341 001</v>
      </c>
      <c r="B24" s="7" t="s">
        <v>112</v>
      </c>
      <c r="C24" s="7">
        <v>958341</v>
      </c>
      <c r="D24" s="7" t="s">
        <v>55</v>
      </c>
      <c r="E24" s="7">
        <v>200</v>
      </c>
    </row>
    <row r="25" spans="1:5" ht="12.75" customHeight="1">
      <c r="A25" s="8" t="str">
        <f t="shared" si="0"/>
        <v>960212 001</v>
      </c>
      <c r="B25" s="7" t="s">
        <v>118</v>
      </c>
      <c r="C25" s="7">
        <v>960212</v>
      </c>
      <c r="D25" s="7" t="s">
        <v>55</v>
      </c>
      <c r="E25" s="7">
        <v>200</v>
      </c>
    </row>
    <row r="26" spans="1:5" ht="12.75" customHeight="1">
      <c r="A26" s="8" t="str">
        <f t="shared" si="0"/>
        <v>954100 001-2</v>
      </c>
      <c r="B26" s="7" t="s">
        <v>121</v>
      </c>
      <c r="C26" s="7">
        <v>954100</v>
      </c>
      <c r="D26" s="7" t="s">
        <v>122</v>
      </c>
      <c r="E26" s="7">
        <v>200</v>
      </c>
    </row>
    <row r="27" spans="1:5" ht="12.75" customHeight="1">
      <c r="A27" s="8" t="str">
        <f t="shared" si="0"/>
        <v>954140 702</v>
      </c>
      <c r="B27" s="7" t="s">
        <v>121</v>
      </c>
      <c r="C27" s="7">
        <v>954140</v>
      </c>
      <c r="D27" s="7">
        <v>702</v>
      </c>
      <c r="E27" s="7">
        <v>300</v>
      </c>
    </row>
    <row r="28" spans="1:5" ht="12.75" customHeight="1">
      <c r="A28" s="8" t="str">
        <f t="shared" si="0"/>
        <v>957331 001</v>
      </c>
      <c r="B28" s="7" t="s">
        <v>121</v>
      </c>
      <c r="C28" s="7">
        <v>957331</v>
      </c>
      <c r="D28" s="7" t="s">
        <v>55</v>
      </c>
      <c r="E28" s="7">
        <v>200</v>
      </c>
    </row>
    <row r="29" spans="1:5" ht="12.75" customHeight="1">
      <c r="A29" s="8" t="str">
        <f t="shared" si="0"/>
        <v>957335 001</v>
      </c>
      <c r="B29" s="7" t="s">
        <v>121</v>
      </c>
      <c r="C29" s="7">
        <v>957335</v>
      </c>
      <c r="D29" s="7" t="s">
        <v>55</v>
      </c>
      <c r="E29" s="7">
        <v>200</v>
      </c>
    </row>
    <row r="30" spans="1:5" ht="12.75" customHeight="1">
      <c r="A30" s="8" t="str">
        <f t="shared" si="0"/>
        <v>958111 002</v>
      </c>
      <c r="B30" s="7" t="s">
        <v>121</v>
      </c>
      <c r="C30" s="7">
        <v>958111</v>
      </c>
      <c r="D30" s="7" t="s">
        <v>113</v>
      </c>
      <c r="E30" s="7">
        <v>200</v>
      </c>
    </row>
    <row r="31" spans="1:5" ht="12.75" customHeight="1">
      <c r="A31" s="8" t="str">
        <f t="shared" si="0"/>
        <v>958261 002</v>
      </c>
      <c r="B31" s="7" t="s">
        <v>121</v>
      </c>
      <c r="C31" s="7">
        <v>958261</v>
      </c>
      <c r="D31" s="7" t="s">
        <v>113</v>
      </c>
      <c r="E31" s="7">
        <v>200</v>
      </c>
    </row>
    <row r="32" spans="1:5" ht="12.75" customHeight="1">
      <c r="A32" s="8" t="str">
        <f t="shared" si="0"/>
        <v>954449 701</v>
      </c>
      <c r="B32" s="7" t="s">
        <v>135</v>
      </c>
      <c r="C32" s="7">
        <v>954449</v>
      </c>
      <c r="D32" s="7">
        <v>701</v>
      </c>
      <c r="E32" s="7">
        <v>300</v>
      </c>
    </row>
    <row r="33" spans="1:5" ht="12.75" customHeight="1">
      <c r="A33" s="8" t="str">
        <f t="shared" si="0"/>
        <v>958331 002</v>
      </c>
      <c r="B33" s="7" t="s">
        <v>138</v>
      </c>
      <c r="C33" s="7">
        <v>958331</v>
      </c>
      <c r="D33" s="7" t="s">
        <v>113</v>
      </c>
      <c r="E33" s="7">
        <v>200</v>
      </c>
    </row>
    <row r="34" spans="1:5" ht="12.75" customHeight="1">
      <c r="A34" s="8" t="str">
        <f t="shared" si="0"/>
        <v>954100 001-3</v>
      </c>
      <c r="B34" s="7" t="s">
        <v>140</v>
      </c>
      <c r="C34" s="7">
        <v>954100</v>
      </c>
      <c r="D34" s="7" t="s">
        <v>141</v>
      </c>
      <c r="E34" s="7">
        <v>200</v>
      </c>
    </row>
    <row r="35" spans="1:5" ht="12.75" customHeight="1">
      <c r="A35" s="8" t="str">
        <f t="shared" si="0"/>
        <v>955102 702</v>
      </c>
      <c r="B35" s="7" t="s">
        <v>140</v>
      </c>
      <c r="C35" s="7">
        <v>955102</v>
      </c>
      <c r="D35" s="7">
        <v>702</v>
      </c>
      <c r="E35" s="7">
        <v>300</v>
      </c>
    </row>
    <row r="36" spans="1:5" ht="12.75" customHeight="1">
      <c r="A36" s="8" t="str">
        <f t="shared" si="0"/>
        <v>958102 001</v>
      </c>
      <c r="B36" s="7" t="s">
        <v>142</v>
      </c>
      <c r="C36" s="7">
        <v>958102</v>
      </c>
      <c r="D36" s="7" t="s">
        <v>55</v>
      </c>
      <c r="E36" s="7">
        <v>200</v>
      </c>
    </row>
    <row r="37" spans="1:5" ht="12.75" customHeight="1">
      <c r="A37" s="8" t="str">
        <f t="shared" si="0"/>
        <v>958261 003</v>
      </c>
      <c r="B37" s="7" t="s">
        <v>142</v>
      </c>
      <c r="C37" s="7">
        <v>958261</v>
      </c>
      <c r="D37" s="7" t="s">
        <v>143</v>
      </c>
      <c r="E37" s="7">
        <v>200</v>
      </c>
    </row>
    <row r="38" spans="1:5" ht="12.75" customHeight="1">
      <c r="A38" s="8" t="str">
        <f t="shared" si="0"/>
        <v>954140 002</v>
      </c>
      <c r="B38" s="7" t="s">
        <v>145</v>
      </c>
      <c r="C38" s="7">
        <v>954140</v>
      </c>
      <c r="D38" s="7" t="s">
        <v>113</v>
      </c>
      <c r="E38" s="7">
        <v>200</v>
      </c>
    </row>
    <row r="39" spans="1:5" ht="12.75" customHeight="1">
      <c r="A39" s="8" t="str">
        <f t="shared" si="0"/>
        <v>958481 003</v>
      </c>
      <c r="B39" s="7" t="s">
        <v>145</v>
      </c>
      <c r="C39" s="7">
        <v>958481</v>
      </c>
      <c r="D39" s="7" t="s">
        <v>143</v>
      </c>
      <c r="E39" s="7">
        <v>200</v>
      </c>
    </row>
    <row r="40" spans="1:5" ht="12.75" customHeight="1">
      <c r="A40" s="8" t="str">
        <f t="shared" si="0"/>
        <v>957213 001</v>
      </c>
      <c r="B40" s="7" t="s">
        <v>146</v>
      </c>
      <c r="C40" s="7">
        <v>957213</v>
      </c>
      <c r="D40" s="7" t="s">
        <v>55</v>
      </c>
      <c r="E40" s="7">
        <v>200</v>
      </c>
    </row>
    <row r="41" spans="1:5" ht="12.75" customHeight="1">
      <c r="A41" s="8" t="str">
        <f t="shared" si="0"/>
        <v>958441 001</v>
      </c>
      <c r="B41" s="7" t="s">
        <v>147</v>
      </c>
      <c r="C41" s="7">
        <v>958441</v>
      </c>
      <c r="D41" s="7" t="s">
        <v>55</v>
      </c>
      <c r="E41" s="7">
        <v>200</v>
      </c>
    </row>
    <row r="42" spans="1:5" ht="12.75" customHeight="1">
      <c r="A42" s="8" t="str">
        <f t="shared" si="0"/>
        <v>954140 001</v>
      </c>
      <c r="B42" s="7" t="s">
        <v>148</v>
      </c>
      <c r="C42" s="7">
        <v>954140</v>
      </c>
      <c r="D42" s="7" t="s">
        <v>55</v>
      </c>
      <c r="E42" s="7">
        <v>200</v>
      </c>
    </row>
    <row r="43" spans="1:5" ht="12.75" customHeight="1">
      <c r="A43" s="8" t="str">
        <f t="shared" si="0"/>
        <v>954340 004</v>
      </c>
      <c r="B43" s="7" t="s">
        <v>148</v>
      </c>
      <c r="C43" s="7">
        <v>954340</v>
      </c>
      <c r="D43" s="7" t="s">
        <v>63</v>
      </c>
      <c r="E43" s="7">
        <v>200</v>
      </c>
    </row>
    <row r="44" spans="1:5" ht="12.75" customHeight="1">
      <c r="A44" s="8" t="str">
        <f t="shared" si="0"/>
        <v>954348 001</v>
      </c>
      <c r="B44" s="7" t="s">
        <v>148</v>
      </c>
      <c r="C44" s="7">
        <v>954348</v>
      </c>
      <c r="D44" s="7" t="s">
        <v>55</v>
      </c>
      <c r="E44" s="7">
        <v>200</v>
      </c>
    </row>
    <row r="45" spans="1:5" ht="12.75" customHeight="1">
      <c r="A45" s="8" t="str">
        <f t="shared" si="0"/>
        <v>951107 020-1</v>
      </c>
      <c r="B45" s="7" t="s">
        <v>149</v>
      </c>
      <c r="C45" s="7">
        <v>951107</v>
      </c>
      <c r="D45" s="7" t="s">
        <v>150</v>
      </c>
      <c r="E45" s="7">
        <v>200</v>
      </c>
    </row>
    <row r="46" spans="1:5" ht="12.75" customHeight="1">
      <c r="A46" s="8" t="str">
        <f t="shared" si="0"/>
        <v>957213 002</v>
      </c>
      <c r="B46" s="7" t="s">
        <v>151</v>
      </c>
      <c r="C46" s="7">
        <v>957213</v>
      </c>
      <c r="D46" s="7" t="s">
        <v>113</v>
      </c>
      <c r="E46" s="7">
        <v>200</v>
      </c>
    </row>
    <row r="47" spans="1:5" ht="12.75" customHeight="1">
      <c r="A47" s="8" t="str">
        <f t="shared" si="0"/>
        <v>955103 702</v>
      </c>
      <c r="B47" s="7" t="s">
        <v>152</v>
      </c>
      <c r="C47" s="7">
        <v>955103</v>
      </c>
      <c r="D47" s="7">
        <v>702</v>
      </c>
      <c r="E47" s="7">
        <v>300</v>
      </c>
    </row>
    <row r="48" spans="1:5" ht="12.75" customHeight="1">
      <c r="A48" s="8" t="str">
        <f t="shared" si="0"/>
        <v>958111 001</v>
      </c>
      <c r="B48" s="7" t="s">
        <v>152</v>
      </c>
      <c r="C48" s="7">
        <v>958111</v>
      </c>
      <c r="D48" s="7" t="s">
        <v>55</v>
      </c>
      <c r="E48" s="7">
        <v>200</v>
      </c>
    </row>
    <row r="49" spans="1:5" ht="12.75" customHeight="1">
      <c r="A49" s="8" t="str">
        <f t="shared" si="0"/>
        <v>958331 001</v>
      </c>
      <c r="B49" s="7" t="s">
        <v>152</v>
      </c>
      <c r="C49" s="7">
        <v>958331</v>
      </c>
      <c r="D49" s="7" t="s">
        <v>55</v>
      </c>
      <c r="E49" s="7">
        <v>200</v>
      </c>
    </row>
    <row r="50" spans="1:5" ht="12.75" customHeight="1">
      <c r="A50" s="8" t="str">
        <f t="shared" si="0"/>
        <v>960141 001-2</v>
      </c>
      <c r="B50" s="7" t="s">
        <v>153</v>
      </c>
      <c r="C50" s="7">
        <v>960141</v>
      </c>
      <c r="D50" s="7" t="s">
        <v>122</v>
      </c>
      <c r="E50" s="7">
        <v>200</v>
      </c>
    </row>
    <row r="51" spans="1:5" ht="12.75" customHeight="1">
      <c r="A51" s="8" t="str">
        <f t="shared" si="0"/>
        <v>951215 001</v>
      </c>
      <c r="B51" s="7" t="s">
        <v>154</v>
      </c>
      <c r="C51" s="7">
        <v>951215</v>
      </c>
      <c r="D51" s="7" t="s">
        <v>55</v>
      </c>
      <c r="E51" s="7">
        <v>200</v>
      </c>
    </row>
    <row r="52" spans="1:5" ht="12.75" customHeight="1">
      <c r="A52" s="8" t="str">
        <f t="shared" si="0"/>
        <v>951215 002</v>
      </c>
      <c r="B52" s="7" t="s">
        <v>154</v>
      </c>
      <c r="C52" s="7">
        <v>951215</v>
      </c>
      <c r="D52" s="7" t="s">
        <v>113</v>
      </c>
      <c r="E52" s="7">
        <v>200</v>
      </c>
    </row>
    <row r="53" spans="1:5" ht="12.75" customHeight="1">
      <c r="A53" s="8" t="str">
        <f t="shared" si="0"/>
        <v>951352 001</v>
      </c>
      <c r="B53" s="7" t="s">
        <v>154</v>
      </c>
      <c r="C53" s="7">
        <v>951352</v>
      </c>
      <c r="D53" s="7" t="s">
        <v>55</v>
      </c>
      <c r="E53" s="7">
        <v>200</v>
      </c>
    </row>
    <row r="54" spans="1:5" ht="12.75" customHeight="1">
      <c r="A54" s="8" t="str">
        <f t="shared" si="0"/>
        <v>954340 002</v>
      </c>
      <c r="B54" s="7" t="s">
        <v>154</v>
      </c>
      <c r="C54" s="7">
        <v>954340</v>
      </c>
      <c r="D54" s="7" t="s">
        <v>113</v>
      </c>
      <c r="E54" s="7">
        <v>200</v>
      </c>
    </row>
    <row r="55" spans="1:5" ht="12.75" customHeight="1">
      <c r="A55" s="8" t="str">
        <f t="shared" si="0"/>
        <v>951212 030</v>
      </c>
      <c r="B55" s="7" t="s">
        <v>155</v>
      </c>
      <c r="C55" s="7">
        <v>951212</v>
      </c>
      <c r="D55" s="7" t="s">
        <v>156</v>
      </c>
      <c r="E55" s="7">
        <v>200</v>
      </c>
    </row>
    <row r="56" spans="1:5" ht="12.75" customHeight="1">
      <c r="A56" s="8" t="str">
        <f t="shared" si="0"/>
        <v>954140 003</v>
      </c>
      <c r="B56" s="7" t="s">
        <v>155</v>
      </c>
      <c r="C56" s="7">
        <v>954140</v>
      </c>
      <c r="D56" s="7" t="s">
        <v>143</v>
      </c>
      <c r="E56" s="7">
        <v>200</v>
      </c>
    </row>
    <row r="57" spans="1:5" ht="12.75" customHeight="1"/>
    <row r="58" spans="1:5" ht="12.75" customHeight="1"/>
    <row r="59" spans="1:5" ht="12.75" customHeight="1"/>
    <row r="60" spans="1:5" ht="12.75" customHeight="1"/>
    <row r="61" spans="1:5" ht="12.75" customHeight="1"/>
    <row r="62" spans="1:5" ht="12.75" customHeight="1"/>
    <row r="63" spans="1:5" ht="12.75" customHeight="1"/>
    <row r="64" spans="1: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1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2.5" defaultRowHeight="15" customHeight="1"/>
  <cols>
    <col min="1" max="1" width="16.1640625" customWidth="1"/>
    <col min="2" max="2" width="13.5" customWidth="1"/>
    <col min="3" max="3" width="17.5" customWidth="1"/>
    <col min="4" max="4" width="14.5" customWidth="1"/>
    <col min="5" max="5" width="12.5" customWidth="1"/>
    <col min="6" max="6" width="14.5" customWidth="1"/>
    <col min="7" max="7" width="10.5" customWidth="1"/>
    <col min="8" max="26" width="10.1640625" customWidth="1"/>
  </cols>
  <sheetData>
    <row r="1" spans="1:26" ht="24.75" customHeight="1">
      <c r="A1" s="56" t="s">
        <v>158</v>
      </c>
      <c r="B1" s="57"/>
      <c r="C1" s="57"/>
      <c r="D1" s="57"/>
      <c r="E1" s="57"/>
      <c r="F1" s="57"/>
      <c r="G1" s="5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4.75" customHeight="1">
      <c r="A2" s="56" t="s">
        <v>159</v>
      </c>
      <c r="B2" s="57"/>
      <c r="C2" s="57"/>
      <c r="D2" s="57"/>
      <c r="E2" s="57"/>
      <c r="F2" s="57"/>
      <c r="G2" s="5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4.75" customHeight="1">
      <c r="A3" s="56" t="s">
        <v>160</v>
      </c>
      <c r="B3" s="57"/>
      <c r="C3" s="57"/>
      <c r="D3" s="57"/>
      <c r="E3" s="57"/>
      <c r="F3" s="57"/>
      <c r="G3" s="57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8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8" customHeight="1">
      <c r="A5" s="18" t="s">
        <v>161</v>
      </c>
      <c r="B5" s="18"/>
      <c r="C5" s="18"/>
      <c r="D5" s="18" t="s">
        <v>162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8" customHeight="1">
      <c r="A6" s="18" t="s">
        <v>163</v>
      </c>
      <c r="B6" s="18"/>
      <c r="C6" s="18"/>
      <c r="D6" s="18" t="s">
        <v>164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8" customHeight="1">
      <c r="A7" s="18"/>
      <c r="B7" s="18"/>
      <c r="C7" s="18"/>
      <c r="D7" s="18" t="s">
        <v>165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8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8" customHeight="1">
      <c r="A9" s="19" t="s">
        <v>166</v>
      </c>
      <c r="B9" s="19" t="s">
        <v>167</v>
      </c>
      <c r="C9" s="19" t="s">
        <v>168</v>
      </c>
      <c r="D9" s="19" t="s">
        <v>169</v>
      </c>
      <c r="E9" s="19" t="s">
        <v>170</v>
      </c>
      <c r="F9" s="19" t="s">
        <v>171</v>
      </c>
      <c r="G9" s="19" t="s">
        <v>172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8" customHeight="1">
      <c r="A10" s="21"/>
      <c r="B10" s="21"/>
      <c r="C10" s="21"/>
      <c r="D10" s="21"/>
      <c r="E10" s="21"/>
      <c r="F10" s="21"/>
      <c r="G10" s="21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8" customHeight="1">
      <c r="A11" s="21"/>
      <c r="B11" s="21"/>
      <c r="C11" s="21"/>
      <c r="D11" s="21"/>
      <c r="E11" s="21"/>
      <c r="F11" s="21"/>
      <c r="G11" s="21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8" customHeight="1">
      <c r="A12" s="21"/>
      <c r="B12" s="21"/>
      <c r="C12" s="21"/>
      <c r="D12" s="21"/>
      <c r="E12" s="21"/>
      <c r="F12" s="21"/>
      <c r="G12" s="21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8" customHeight="1">
      <c r="A13" s="21"/>
      <c r="B13" s="21"/>
      <c r="C13" s="21"/>
      <c r="D13" s="21"/>
      <c r="E13" s="21"/>
      <c r="F13" s="21"/>
      <c r="G13" s="21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8" customHeight="1">
      <c r="A14" s="21"/>
      <c r="B14" s="21"/>
      <c r="C14" s="21"/>
      <c r="D14" s="21"/>
      <c r="E14" s="21"/>
      <c r="F14" s="21"/>
      <c r="G14" s="21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8" customHeight="1">
      <c r="A15" s="21"/>
      <c r="B15" s="21"/>
      <c r="C15" s="21"/>
      <c r="D15" s="21"/>
      <c r="E15" s="21"/>
      <c r="F15" s="21"/>
      <c r="G15" s="21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8" customHeight="1">
      <c r="A16" s="21"/>
      <c r="B16" s="21"/>
      <c r="C16" s="21"/>
      <c r="D16" s="21"/>
      <c r="E16" s="21"/>
      <c r="F16" s="21"/>
      <c r="G16" s="21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8" customHeight="1">
      <c r="A17" s="21"/>
      <c r="B17" s="21"/>
      <c r="C17" s="21"/>
      <c r="D17" s="21"/>
      <c r="E17" s="21"/>
      <c r="F17" s="21"/>
      <c r="G17" s="21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8" customHeight="1">
      <c r="A18" s="21"/>
      <c r="B18" s="21"/>
      <c r="C18" s="21"/>
      <c r="D18" s="21"/>
      <c r="E18" s="21"/>
      <c r="F18" s="21"/>
      <c r="G18" s="2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8" customHeight="1">
      <c r="A19" s="21"/>
      <c r="B19" s="21"/>
      <c r="C19" s="21"/>
      <c r="D19" s="21"/>
      <c r="E19" s="21"/>
      <c r="F19" s="21"/>
      <c r="G19" s="21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8" customHeight="1">
      <c r="A20" s="21"/>
      <c r="B20" s="21"/>
      <c r="C20" s="21"/>
      <c r="D20" s="21"/>
      <c r="E20" s="21"/>
      <c r="F20" s="21"/>
      <c r="G20" s="21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8" customHeight="1">
      <c r="A21" s="21"/>
      <c r="B21" s="21"/>
      <c r="C21" s="21"/>
      <c r="D21" s="21"/>
      <c r="E21" s="21"/>
      <c r="F21" s="21"/>
      <c r="G21" s="21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8" customHeight="1">
      <c r="A22" s="21"/>
      <c r="B22" s="21"/>
      <c r="C22" s="21"/>
      <c r="D22" s="21"/>
      <c r="E22" s="21"/>
      <c r="F22" s="21"/>
      <c r="G22" s="21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8" customHeight="1">
      <c r="A23" s="21"/>
      <c r="B23" s="21"/>
      <c r="C23" s="21"/>
      <c r="D23" s="21"/>
      <c r="E23" s="21"/>
      <c r="F23" s="21"/>
      <c r="G23" s="2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30.75" customHeight="1">
      <c r="A24" s="21" t="s">
        <v>173</v>
      </c>
      <c r="B24" s="21"/>
      <c r="C24" s="21"/>
      <c r="D24" s="21"/>
      <c r="E24" s="21"/>
      <c r="F24" s="21"/>
      <c r="G24" s="21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8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8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8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8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8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8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8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8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8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8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8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8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8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8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8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8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8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8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8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8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8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8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8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8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8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8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8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8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8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8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8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8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8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8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8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8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8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8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8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8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8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8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8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8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8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8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8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8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8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8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8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8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8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8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8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8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8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8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8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8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8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8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8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8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8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8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8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8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8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8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8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8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8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8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8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8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8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8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8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8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8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8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8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8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8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8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8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8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8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8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8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8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8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8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8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8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8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8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8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8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8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8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8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8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8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8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8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8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8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8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8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8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8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8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8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8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8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8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8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8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8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8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8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8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8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8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8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8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8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8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8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8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8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8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8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8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8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8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8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8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8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8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8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8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8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8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8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8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8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8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8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8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8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8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8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8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8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8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8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8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8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8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8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8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8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8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8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8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8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8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8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8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8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8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8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8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8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8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8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8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8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8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8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8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8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8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8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8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8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8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8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8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8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8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8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8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8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8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8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8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ageMargins left="0.31496062992125984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manual</vt:lpstr>
      <vt:lpstr>Maintable</vt:lpstr>
      <vt:lpstr>Course_list</vt:lpstr>
      <vt:lpstr>F-12 ใบเบิกค่าสอน(Eng Version)</vt:lpstr>
      <vt:lpstr>manual!Print_Area</vt:lpstr>
      <vt:lpstr>นางสาว_Chen_Yang</vt:lpstr>
      <vt:lpstr>นางสาว_Haitao_Liu</vt:lpstr>
      <vt:lpstr>นาย_Shengzhe_Huang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CAMT</dc:creator>
  <cp:keywords/>
  <dc:description/>
  <cp:lastModifiedBy>Patcharaphon Sribunthankul</cp:lastModifiedBy>
  <cp:revision/>
  <cp:lastPrinted>2026-06-15T09:34:03Z</cp:lastPrinted>
  <dcterms:created xsi:type="dcterms:W3CDTF">2026-06-15T06:27:51Z</dcterms:created>
  <dcterms:modified xsi:type="dcterms:W3CDTF">2026-06-15T09:35:16Z</dcterms:modified>
  <cp:category/>
  <cp:contentStatus/>
</cp:coreProperties>
</file>