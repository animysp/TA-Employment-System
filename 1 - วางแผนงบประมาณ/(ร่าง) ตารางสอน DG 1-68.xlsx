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"/>
    </mc:Choice>
  </mc:AlternateContent>
  <xr:revisionPtr revIDLastSave="445" documentId="11_750EA47BCB8DE202E97E75958BFF1B7CDB96EF42" xr6:coauthVersionLast="47" xr6:coauthVersionMax="47" xr10:uidLastSave="{4BA8D67D-91B5-40D4-A993-C6E685BB2BD4}"/>
  <bookViews>
    <workbookView xWindow="-120" yWindow="-120" windowWidth="29040" windowHeight="15720" activeTab="5" xr2:uid="{00000000-000D-0000-FFFF-FFFF00000000}"/>
  </bookViews>
  <sheets>
    <sheet name="ปี1 (รหัส68) เทอม1-68 (56)" sheetId="2" r:id="rId1"/>
    <sheet name="ปี2 (รหัส67) เทอม1-68 (55)" sheetId="3" r:id="rId2"/>
    <sheet name="ปี3 (รหัส66) เทอม1-68 (66)" sheetId="4" r:id="rId3"/>
    <sheet name="สำเนาของ ปี2 (รหัส66) เทอม1-67 " sheetId="5" state="hidden" r:id="rId4"/>
    <sheet name="สำเนาของ ปี3 (รหัส65) เทอม1-67 " sheetId="6" state="hidden" r:id="rId5"/>
    <sheet name="ตารางเปรียบเทียบเวลาเรียน" sheetId="12" r:id="rId6"/>
    <sheet name="ปี4 (รหัส65) เทอม1-68 (48)" sheetId="7" r:id="rId7"/>
    <sheet name="Workload" sheetId="8" r:id="rId8"/>
    <sheet name="DG2562V1.2Courses" sheetId="9" r:id="rId9"/>
    <sheet name="DG2562V1.1Courses" sheetId="10" r:id="rId10"/>
    <sheet name="สำเนาของ  เทอม 1-65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1" l="1"/>
  <c r="P4" i="8"/>
  <c r="P6" i="8" s="1"/>
  <c r="O4" i="8"/>
  <c r="O6" i="8" s="1"/>
  <c r="N4" i="8"/>
  <c r="N6" i="8" s="1"/>
  <c r="M4" i="8"/>
  <c r="M6" i="8" s="1"/>
  <c r="L4" i="8"/>
  <c r="L6" i="8" s="1"/>
  <c r="K4" i="8"/>
  <c r="K6" i="8" s="1"/>
  <c r="J4" i="8"/>
  <c r="J6" i="8" s="1"/>
  <c r="I4" i="8"/>
  <c r="I6" i="8" s="1"/>
  <c r="K32" i="7"/>
  <c r="D43" i="6"/>
  <c r="J35" i="6"/>
  <c r="N26" i="6"/>
  <c r="L5" i="6" s="1"/>
  <c r="L13" i="6"/>
  <c r="D30" i="5"/>
  <c r="K28" i="5"/>
  <c r="D28" i="5"/>
  <c r="K27" i="5"/>
  <c r="D27" i="5"/>
  <c r="K26" i="5"/>
  <c r="D26" i="5"/>
  <c r="K25" i="5"/>
  <c r="D25" i="5"/>
  <c r="K24" i="5"/>
  <c r="D24" i="5"/>
  <c r="K23" i="5"/>
  <c r="D23" i="5"/>
  <c r="D47" i="4"/>
  <c r="J39" i="4"/>
  <c r="L15" i="4"/>
  <c r="L5" i="4"/>
  <c r="D32" i="3"/>
  <c r="K30" i="3"/>
  <c r="D30" i="3"/>
  <c r="K29" i="3"/>
  <c r="D29" i="3"/>
  <c r="K28" i="3"/>
  <c r="D28" i="3"/>
  <c r="K27" i="3"/>
  <c r="D27" i="3"/>
  <c r="K26" i="3"/>
  <c r="D26" i="3"/>
  <c r="K25" i="3"/>
  <c r="D25" i="3"/>
  <c r="K31" i="2"/>
  <c r="D31" i="2"/>
  <c r="K30" i="2"/>
  <c r="D30" i="2"/>
  <c r="K29" i="2"/>
  <c r="D29" i="2"/>
  <c r="K28" i="2"/>
  <c r="D28" i="2"/>
  <c r="K27" i="2"/>
  <c r="D27" i="2"/>
  <c r="K26" i="2"/>
  <c r="K32" i="5" l="1"/>
  <c r="K33" i="2"/>
  <c r="K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100-000001000000}">
      <text>
        <r>
          <rPr>
            <sz val="10"/>
            <color rgb="FF000000"/>
            <rFont val="Calibri"/>
            <scheme val="minor"/>
          </rPr>
          <t xml:space="preserve">สามารถแยกLAB LEC
</t>
        </r>
      </text>
    </comment>
    <comment ref="L9" authorId="0" shapeId="0" xr:uid="{00000000-0006-0000-0100-000002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  <comment ref="L11" authorId="0" shapeId="0" xr:uid="{00000000-0006-0000-0100-000003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  <comment ref="L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 xml:space="preserve">สามารถแยกLAB LEC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2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7" authorId="0" shapeId="0" xr:uid="{00000000-0006-0000-02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15" authorId="0" shapeId="0" xr:uid="{00000000-0006-0000-0200-000003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5" authorId="0" shapeId="0" xr:uid="{00000000-0006-0000-02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04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4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A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O5" authorId="0" shapeId="0" xr:uid="{00000000-0006-0000-0A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R5" authorId="0" shapeId="0" xr:uid="{00000000-0006-0000-0A00-000003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9" authorId="0" shapeId="0" xr:uid="{00000000-0006-0000-0A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A00-000005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17" authorId="0" shapeId="0" xr:uid="{00000000-0006-0000-0A00-000006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N24" authorId="0" shapeId="0" xr:uid="{00000000-0006-0000-0A00-000007000000}">
      <text>
        <r>
          <rPr>
            <sz val="10"/>
            <color rgb="FF000000"/>
            <rFont val="Calibri"/>
            <scheme val="minor"/>
          </rPr>
          <t>ประสบการณ์, ชื่อเสียง
ป.ตรี 
ป.โท 1000-1500
ป.เอก</t>
        </r>
      </text>
    </comment>
    <comment ref="N27" authorId="0" shapeId="0" xr:uid="{00000000-0006-0000-0A00-000008000000}">
      <text>
        <r>
          <rPr>
            <sz val="10"/>
            <color rgb="FF000000"/>
            <rFont val="Calibri"/>
            <scheme val="minor"/>
          </rPr>
          <t xml:space="preserve">Richmond </t>
        </r>
      </text>
    </comment>
  </commentList>
</comments>
</file>

<file path=xl/sharedStrings.xml><?xml version="1.0" encoding="utf-8"?>
<sst xmlns="http://schemas.openxmlformats.org/spreadsheetml/2006/main" count="1120" uniqueCount="536">
  <si>
    <t>ภาคการศึกษาที่ 1 ปีการศึกษา 2567</t>
  </si>
  <si>
    <t>(จำนวนนักศึกษา 55 คน)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</si>
  <si>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</si>
  <si>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</si>
  <si>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</si>
  <si>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</si>
  <si>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</si>
  <si>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</si>
  <si>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</si>
  <si>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</si>
  <si>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</si>
  <si>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</si>
  <si>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</si>
  <si>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</si>
  <si>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t>tuesday</t>
  </si>
  <si>
    <t xml:space="preserve"> </t>
  </si>
  <si>
    <t>wednesday</t>
  </si>
  <si>
    <t>thursday</t>
  </si>
  <si>
    <t>Friday</t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</si>
  <si>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</si>
  <si>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</si>
  <si>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</si>
  <si>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</si>
  <si>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</si>
  <si>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</si>
  <si>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</si>
  <si>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</si>
  <si>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</si>
  <si>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</si>
  <si>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</si>
  <si>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</si>
  <si>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</si>
  <si>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</si>
  <si>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อ.ผู้สอน</t>
  </si>
  <si>
    <t>ห้องเรียน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</si>
  <si>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</si>
  <si>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</si>
  <si>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</si>
  <si>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</si>
  <si>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</si>
  <si>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</si>
  <si>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</si>
  <si>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</si>
  <si>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</si>
  <si>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955103</t>
  </si>
  <si>
    <t>113,c307,c208</t>
  </si>
  <si>
    <t>958111</t>
  </si>
  <si>
    <t>ผศ.ดร.กฤติยา</t>
  </si>
  <si>
    <t>113,c204,c206,C208</t>
  </si>
  <si>
    <t>013110</t>
  </si>
  <si>
    <t>140104</t>
  </si>
  <si>
    <t>801100</t>
  </si>
  <si>
    <t>001101</t>
  </si>
  <si>
    <t>001101 ภาษาอังกฤษ
***เวลาไม่แน่นอน***</t>
  </si>
  <si>
    <t>รวม</t>
  </si>
  <si>
    <t>ตารางเรียนสาขาวิชาดิจิทัลเกม สำหรับนักศึกษาชั้นปีที่ 1 (รหัส68)</t>
  </si>
  <si>
    <t>ภาคการศึกษาที่ 1 ปีการศึกษา 2568</t>
  </si>
  <si>
    <t>(จำนวนนักศึกษา 56 คน)</t>
  </si>
  <si>
    <r>
      <rPr>
        <b/>
        <sz val="11"/>
        <color rgb="FF000000"/>
        <rFont val="Sarabun"/>
        <family val="2"/>
        <charset val="222"/>
      </rPr>
      <t>013110</t>
    </r>
    <r>
      <rPr>
        <sz val="11"/>
        <color rgb="FF000000"/>
        <rFont val="Sarabun"/>
        <family val="2"/>
        <charset val="222"/>
      </rPr>
      <t xml:space="preserve">
Psychology and Daily Life </t>
    </r>
  </si>
  <si>
    <r>
      <rPr>
        <b/>
        <sz val="11"/>
        <color rgb="FF000000"/>
        <rFont val="Sarabun"/>
        <family val="2"/>
        <charset val="222"/>
      </rPr>
      <t>001101</t>
    </r>
    <r>
      <rPr>
        <sz val="11"/>
        <color rgb="FF000000"/>
        <rFont val="Sarabun"/>
        <family val="2"/>
        <charset val="222"/>
      </rPr>
      <t xml:space="preserve">
Fundamental English 1</t>
    </r>
  </si>
  <si>
    <r>
      <rPr>
        <b/>
        <strike/>
        <sz val="11"/>
        <color rgb="FF000000"/>
        <rFont val="Sarabun"/>
        <family val="2"/>
        <charset val="222"/>
      </rPr>
      <t>958111</t>
    </r>
    <r>
      <rPr>
        <strike/>
        <sz val="11"/>
        <color rgb="FF000000"/>
        <rFont val="Sarabun"/>
        <family val="2"/>
        <charset val="222"/>
      </rPr>
      <t xml:space="preserve">/001
COMP &amp; PROGRAM FOR GAME 1
25 คน (และมีเด็กตกค้างรวมประมาณ 30 คน)
ผศ.ดร.กฤติยา
ห้อง ILC B304-306 
</t>
    </r>
    <r>
      <rPr>
        <sz val="11"/>
        <color rgb="FF980000"/>
        <rFont val="Sarabun"/>
        <family val="2"/>
        <charset val="222"/>
      </rPr>
      <t>ย้ายไปเรียนวันพุธ เนื่องจาก ห้องมีไม่เพียงพอ</t>
    </r>
  </si>
  <si>
    <r>
      <rPr>
        <b/>
        <strike/>
        <sz val="11"/>
        <color rgb="FF000000"/>
        <rFont val="Sarabun"/>
        <family val="2"/>
        <charset val="222"/>
      </rPr>
      <t>958111</t>
    </r>
    <r>
      <rPr>
        <strike/>
        <sz val="11"/>
        <color rgb="FF000000"/>
        <rFont val="Sarabun"/>
        <family val="2"/>
        <charset val="222"/>
      </rPr>
      <t xml:space="preserve">/001 
COMP &amp; PROGRAM FOR GAME 1
ผศ.ดร.กฤติยา 001
(จองห้อง LAB C204+C206)
</t>
    </r>
    <r>
      <rPr>
        <sz val="11"/>
        <color rgb="FF980000"/>
        <rFont val="Sarabun"/>
        <family val="2"/>
        <charset val="222"/>
      </rPr>
      <t>ย้ายไปเรียนวันพุธ เนื่องจาก ห้องมีไม่เพียงพอ</t>
    </r>
  </si>
  <si>
    <r>
      <rPr>
        <b/>
        <strike/>
        <sz val="11"/>
        <color rgb="FF000000"/>
        <rFont val="Sarabun"/>
        <family val="2"/>
        <charset val="222"/>
      </rPr>
      <t>958111</t>
    </r>
    <r>
      <rPr>
        <strike/>
        <sz val="11"/>
        <color rgb="FF000000"/>
        <rFont val="Sarabun"/>
        <family val="2"/>
        <charset val="222"/>
      </rPr>
      <t xml:space="preserve">/002 
COMP &amp; PROGRAM FOR GAME 1
อ.นพพล คณาจารย์ เปลี่ยนเป็น </t>
    </r>
    <r>
      <rPr>
        <strike/>
        <sz val="11"/>
        <color rgb="FF0000FF"/>
        <rFont val="Sarabun"/>
        <family val="2"/>
        <charset val="222"/>
      </rPr>
      <t xml:space="preserve">ผศ.ดร.ธีรวัฒน์ </t>
    </r>
    <r>
      <rPr>
        <strike/>
        <sz val="11"/>
        <color rgb="FF000000"/>
        <rFont val="Sarabun"/>
        <family val="2"/>
        <charset val="222"/>
      </rPr>
      <t xml:space="preserve"> 001 
</t>
    </r>
    <r>
      <rPr>
        <strike/>
        <sz val="11"/>
        <color rgb="FF980000"/>
        <rFont val="Sarabun"/>
        <family val="2"/>
        <charset val="222"/>
      </rPr>
      <t xml:space="preserve">(จองห้อง LAB C204+C206)
</t>
    </r>
    <r>
      <rPr>
        <strike/>
        <sz val="11"/>
        <color rgb="FF000000"/>
        <rFont val="Sarabun"/>
        <family val="2"/>
        <charset val="222"/>
      </rPr>
      <t>ย้ายไปเรียนวันพุธ เนื่องจาก ห้องมีไม่เพียงพอ</t>
    </r>
  </si>
  <si>
    <r>
      <rPr>
        <b/>
        <sz val="11"/>
        <color rgb="FF000000"/>
        <rFont val="Sarabun"/>
        <family val="2"/>
        <charset val="222"/>
      </rPr>
      <t xml:space="preserve">801100
</t>
    </r>
    <r>
      <rPr>
        <sz val="11"/>
        <color rgb="FF000000"/>
        <rFont val="Sarabun"/>
        <family val="2"/>
        <charset val="222"/>
      </rPr>
      <t xml:space="preserve">Architecture in Everyday Life </t>
    </r>
  </si>
  <si>
    <r>
      <rPr>
        <b/>
        <sz val="11"/>
        <color rgb="FF000000"/>
        <rFont val="Sarabun"/>
        <family val="2"/>
        <charset val="222"/>
      </rPr>
      <t>140104</t>
    </r>
    <r>
      <rPr>
        <sz val="11"/>
        <color rgb="FF000000"/>
        <rFont val="Sarabun"/>
        <family val="2"/>
        <charset val="222"/>
      </rPr>
      <t xml:space="preserve">
Citizenship</t>
    </r>
  </si>
  <si>
    <r>
      <rPr>
        <b/>
        <sz val="11"/>
        <color rgb="FF000000"/>
        <rFont val="Sarabun"/>
        <family val="2"/>
        <charset val="222"/>
      </rPr>
      <t>958102</t>
    </r>
    <r>
      <rPr>
        <sz val="11"/>
        <color rgb="FF000000"/>
        <rFont val="Sarabun"/>
        <family val="2"/>
        <charset val="222"/>
      </rPr>
      <t xml:space="preserve">/001
Introduction to Digital Games
60 คน
อ.ดร. ศุภรา </t>
    </r>
    <r>
      <rPr>
        <sz val="11"/>
        <color rgb="FF0000FF"/>
        <rFont val="Sarabun"/>
        <family val="2"/>
        <charset val="222"/>
      </rPr>
      <t>เปลี่ยนเป็น ผศ.ดร.ธีรวัฒน์</t>
    </r>
    <r>
      <rPr>
        <sz val="11"/>
        <color rgb="FF000000"/>
        <rFont val="Sarabun"/>
        <family val="2"/>
        <charset val="222"/>
      </rPr>
      <t xml:space="preserve">
</t>
    </r>
    <r>
      <rPr>
        <sz val="11"/>
        <color rgb="FF980000"/>
        <rFont val="Sarabun"/>
        <family val="2"/>
        <charset val="222"/>
      </rPr>
      <t>ILC B304+B306</t>
    </r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</si>
  <si>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>/001
COMP &amp; PROGRAM FOR GAME 1
25 คน (และมีเด็กตกค้างรวมประมาณ 30 คน)
ผศ.ดร.กฤติยา
ห้อง ILC B304-306</t>
    </r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</si>
  <si>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 xml:space="preserve">/001 
COMP &amp; PROGRAM FOR GAME 1
ผศ.ดร.กฤติยา 001 
</t>
    </r>
    <r>
      <rPr>
        <sz val="11"/>
        <color rgb="FF980000"/>
        <rFont val="Sarabun"/>
        <family val="2"/>
        <charset val="222"/>
      </rPr>
      <t>(จองห้อง LAB C204+C206)</t>
    </r>
  </si>
  <si>
    <r>
      <rPr>
        <sz val="11"/>
        <color rgb="FF000000"/>
        <rFont val="Sarabun"/>
        <family val="2"/>
        <charset val="222"/>
      </rPr>
      <t xml:space="preserve">958111/002
COMP &amp; PROGRAM FOR GAME 1
30 คน
</t>
    </r>
    <r>
      <rPr>
        <strike/>
        <sz val="11"/>
        <color rgb="FF000000"/>
        <rFont val="Sarabun"/>
        <family val="2"/>
        <charset val="222"/>
      </rPr>
      <t xml:space="preserve">อ.นพพล  </t>
    </r>
    <r>
      <rPr>
        <sz val="11"/>
        <color rgb="FF980000"/>
        <rFont val="Sarabun"/>
        <family val="2"/>
        <charset val="222"/>
      </rPr>
      <t xml:space="preserve">คณาจารย์ เปลี่ยนเป็น 
</t>
    </r>
    <r>
      <rPr>
        <sz val="11"/>
        <color rgb="FF0000FF"/>
        <rFont val="Sarabun"/>
        <family val="2"/>
        <charset val="222"/>
      </rPr>
      <t>ผศ.ดร.ธีรวัฒน์</t>
    </r>
    <r>
      <rPr>
        <sz val="11"/>
        <color rgb="FF000000"/>
        <rFont val="Sarabun"/>
        <family val="2"/>
        <charset val="222"/>
      </rPr>
      <t xml:space="preserve">
ILC B304-306</t>
    </r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</si>
  <si>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 xml:space="preserve">/002 
COMP &amp; PROGRAM FOR GAME 1
</t>
    </r>
    <r>
      <rPr>
        <strike/>
        <sz val="11"/>
        <color rgb="FF000000"/>
        <rFont val="Sarabun"/>
        <family val="2"/>
        <charset val="222"/>
      </rPr>
      <t>อ.นพพล</t>
    </r>
    <r>
      <rPr>
        <sz val="11"/>
        <color rgb="FF000000"/>
        <rFont val="Sarabun"/>
        <family val="2"/>
        <charset val="222"/>
      </rPr>
      <t xml:space="preserve"> คณาจารย์ เปลี่ยนเป็น </t>
    </r>
    <r>
      <rPr>
        <sz val="11"/>
        <color rgb="FF0000FF"/>
        <rFont val="Sarabun"/>
        <family val="2"/>
        <charset val="222"/>
      </rPr>
      <t xml:space="preserve">ผศ.ดร.ธีรวัฒน์ </t>
    </r>
    <r>
      <rPr>
        <sz val="11"/>
        <color rgb="FF000000"/>
        <rFont val="Sarabun"/>
        <family val="2"/>
        <charset val="222"/>
      </rPr>
      <t xml:space="preserve"> 
</t>
    </r>
    <r>
      <rPr>
        <sz val="11"/>
        <color rgb="FF980000"/>
        <rFont val="Sarabun"/>
        <family val="2"/>
        <charset val="222"/>
      </rPr>
      <t>(จองห้อง LAB C204+C206)</t>
    </r>
  </si>
  <si>
    <r>
      <rPr>
        <b/>
        <sz val="11"/>
        <color rgb="FF000000"/>
        <rFont val="Sarabun"/>
        <family val="2"/>
        <charset val="222"/>
      </rPr>
      <t>013110</t>
    </r>
    <r>
      <rPr>
        <sz val="11"/>
        <color rgb="FF000000"/>
        <rFont val="Sarabun"/>
        <family val="2"/>
        <charset val="222"/>
      </rPr>
      <t xml:space="preserve">
Psychology and Daily Life </t>
    </r>
  </si>
  <si>
    <r>
      <rPr>
        <b/>
        <sz val="11"/>
        <color rgb="FF000000"/>
        <rFont val="Sarabun"/>
        <family val="2"/>
        <charset val="222"/>
      </rPr>
      <t>001101</t>
    </r>
    <r>
      <rPr>
        <sz val="11"/>
        <color rgb="FF000000"/>
        <rFont val="Sarabun"/>
        <family val="2"/>
        <charset val="222"/>
      </rPr>
      <t xml:space="preserve">
Fundamental English 1</t>
    </r>
  </si>
  <si>
    <r>
      <rPr>
        <b/>
        <sz val="11"/>
        <color rgb="FF000000"/>
        <rFont val="Sarabun"/>
        <family val="2"/>
        <charset val="222"/>
      </rPr>
      <t xml:space="preserve">801100
</t>
    </r>
    <r>
      <rPr>
        <sz val="11"/>
        <color rgb="FF000000"/>
        <rFont val="Sarabun"/>
        <family val="2"/>
        <charset val="222"/>
      </rPr>
      <t xml:space="preserve">Architecture in Everyday Life </t>
    </r>
  </si>
  <si>
    <r>
      <rPr>
        <b/>
        <sz val="11"/>
        <color rgb="FF000000"/>
        <rFont val="Sarabun"/>
        <family val="2"/>
        <charset val="222"/>
      </rPr>
      <t>140104</t>
    </r>
    <r>
      <rPr>
        <sz val="11"/>
        <color rgb="FF000000"/>
        <rFont val="Sarabun"/>
        <family val="2"/>
        <charset val="222"/>
      </rPr>
      <t xml:space="preserve">
Citizenship</t>
    </r>
  </si>
  <si>
    <r>
      <rPr>
        <b/>
        <strike/>
        <sz val="11"/>
        <color rgb="FF000000"/>
        <rFont val="Sarabun"/>
        <family val="2"/>
        <charset val="222"/>
      </rPr>
      <t>958102</t>
    </r>
    <r>
      <rPr>
        <strike/>
        <sz val="11"/>
        <color rgb="FF000000"/>
        <rFont val="Sarabun"/>
        <family val="2"/>
        <charset val="222"/>
      </rPr>
      <t xml:space="preserve">/001
Introduction to Digital Games
60 คน
อ.ดร. ศุภรา </t>
    </r>
    <r>
      <rPr>
        <strike/>
        <sz val="11"/>
        <color rgb="FF0000FF"/>
        <rFont val="Sarabun"/>
        <family val="2"/>
        <charset val="222"/>
      </rPr>
      <t>เปลี่ยนเป็น อ.เอ๋</t>
    </r>
    <r>
      <rPr>
        <strike/>
        <sz val="11"/>
        <color rgb="FF000000"/>
        <rFont val="Sarabun"/>
        <family val="2"/>
        <charset val="222"/>
      </rPr>
      <t xml:space="preserve">
ILC B304 + 306</t>
    </r>
    <r>
      <rPr>
        <sz val="11"/>
        <color rgb="FF000000"/>
        <rFont val="Sarabun"/>
        <family val="2"/>
        <charset val="222"/>
      </rPr>
      <t xml:space="preserve">
</t>
    </r>
    <r>
      <rPr>
        <sz val="11"/>
        <color rgb="FF980000"/>
        <rFont val="Sarabun"/>
        <family val="2"/>
        <charset val="222"/>
      </rPr>
      <t>ไม่สามารถสอน อังคาร/ศุกร์ ได้ เนื่องจาก เวลาชนกับการสอนวิชาปี 3 ของ อ.เอ๋ 958441 ดังนั้น จึงเรียนวันอังคารยาว 3 ชม</t>
    </r>
    <r>
      <rPr>
        <sz val="11"/>
        <color rgb="FF000000"/>
        <rFont val="Sarabun"/>
        <family val="2"/>
        <charset val="222"/>
      </rPr>
      <t>. (17 มิย.68)</t>
    </r>
  </si>
  <si>
    <t>ถาม อ.เอม อีกที</t>
  </si>
  <si>
    <t>958102</t>
  </si>
  <si>
    <t>Introduction to Digital Games</t>
  </si>
  <si>
    <t>อ.ดร.ศุภรา</t>
  </si>
  <si>
    <t>ตารางเรียนสาขาวิชาดิจิทัลเกม สำหรับนักศึกษาชั้นปีที่ 2 (รหัส67)</t>
  </si>
  <si>
    <r>
      <rPr>
        <b/>
        <sz val="11"/>
        <color rgb="FF000000"/>
        <rFont val="Sarabun"/>
        <family val="2"/>
        <charset val="222"/>
      </rPr>
      <t>958201
MATH FOR COMP GRAPH &amp; GAME</t>
    </r>
    <r>
      <rPr>
        <sz val="11"/>
        <color rgb="FF000000"/>
        <rFont val="Sarabun"/>
        <family val="2"/>
        <charset val="222"/>
      </rPr>
      <t xml:space="preserve">
60 คน
ผศ.ดร.กฤติยา 
(ฺB303)</t>
    </r>
  </si>
  <si>
    <r>
      <rPr>
        <b/>
        <strike/>
        <sz val="11"/>
        <color rgb="FF000000"/>
        <rFont val="Sarabun"/>
        <family val="2"/>
        <charset val="222"/>
      </rPr>
      <t>มช. มีการเปลี่ยนแปลงให้ 001201 เรียนในเทอม 2</t>
    </r>
    <r>
      <rPr>
        <strike/>
        <sz val="11"/>
        <color rgb="FF000000"/>
        <rFont val="Sarabun"/>
        <family val="2"/>
        <charset val="222"/>
      </rPr>
      <t xml:space="preserve">
Critical Reading and Effective Writin</t>
    </r>
    <r>
      <rPr>
        <sz val="11"/>
        <color rgb="FF000000"/>
        <rFont val="Sarabun"/>
        <family val="2"/>
        <charset val="222"/>
      </rPr>
      <t xml:space="preserve">g
</t>
    </r>
    <r>
      <rPr>
        <b/>
        <sz val="11"/>
        <color rgb="FF980000"/>
        <rFont val="Sarabun"/>
        <family val="2"/>
        <charset val="222"/>
      </rPr>
      <t>สำหรับเทอม 1 เรียน 001229</t>
    </r>
  </si>
  <si>
    <t>955104 (Sec.001)
20 คน
อ.ดร. ศุภรา (เปิดสำหรับเด็กตกค้าง รหัส 65)
ILC - B202</t>
  </si>
  <si>
    <t>ฺ</t>
  </si>
  <si>
    <r>
      <rPr>
        <b/>
        <strike/>
        <sz val="11"/>
        <color rgb="FFCC0000"/>
        <rFont val="Sarabun"/>
        <family val="2"/>
        <charset val="222"/>
      </rPr>
      <t>958373
GAMIFICATION</t>
    </r>
    <r>
      <rPr>
        <strike/>
        <sz val="11"/>
        <color rgb="FF000000"/>
        <rFont val="Sarabun"/>
        <family val="2"/>
        <charset val="222"/>
      </rPr>
      <t xml:space="preserve">
30 คน
ผศ.ดร.ธีรวัฒน์
b305 (Sec001)</t>
    </r>
  </si>
  <si>
    <r>
      <rPr>
        <b/>
        <sz val="11"/>
        <color rgb="FFCC0000"/>
        <rFont val="Sarabun"/>
        <family val="2"/>
        <charset val="222"/>
      </rPr>
      <t>958211
Data Structure for Game Development</t>
    </r>
    <r>
      <rPr>
        <sz val="11"/>
        <color rgb="FF000000"/>
        <rFont val="Sarabun"/>
        <family val="2"/>
        <charset val="222"/>
      </rPr>
      <t xml:space="preserve">
60 คน
ผศ.ดร.เกียรติกร
b303 (Sec001)</t>
    </r>
  </si>
  <si>
    <r>
      <rPr>
        <sz val="11"/>
        <color rgb="FF000000"/>
        <rFont val="Sarabun"/>
        <family val="2"/>
        <charset val="222"/>
      </rPr>
      <t>958225 
Digital Game Production
sec.001
(</t>
    </r>
    <r>
      <rPr>
        <strike/>
        <sz val="11"/>
        <color rgb="FF000000"/>
        <rFont val="Sarabun"/>
        <family val="2"/>
        <charset val="222"/>
      </rPr>
      <t>อ.นพพล</t>
    </r>
    <r>
      <rPr>
        <sz val="11"/>
        <color rgb="FF000000"/>
        <rFont val="Sarabun"/>
        <family val="2"/>
        <charset val="222"/>
      </rPr>
      <t xml:space="preserve"> </t>
    </r>
    <r>
      <rPr>
        <sz val="11"/>
        <color rgb="FF980000"/>
        <rFont val="Sarabun"/>
        <family val="2"/>
        <charset val="222"/>
      </rPr>
      <t>เปลี่ยนเป็น อ.ดร.ศุภรา เป็นผู้สอน)</t>
    </r>
    <r>
      <rPr>
        <sz val="11"/>
        <color rgb="FF000000"/>
        <rFont val="Sarabun"/>
        <family val="2"/>
        <charset val="222"/>
      </rPr>
      <t xml:space="preserve">
ILC - B302 ,C208 + C209</t>
    </r>
  </si>
  <si>
    <r>
      <rPr>
        <b/>
        <strike/>
        <sz val="11"/>
        <color rgb="FF000000"/>
        <rFont val="Sarabun"/>
        <family val="2"/>
        <charset val="222"/>
      </rPr>
      <t>958261</t>
    </r>
    <r>
      <rPr>
        <strike/>
        <sz val="11"/>
        <color rgb="FF000000"/>
        <rFont val="Sarabun"/>
        <family val="2"/>
        <charset val="222"/>
      </rPr>
      <t>/001
GRAPHICS DESIGN FOR 2D GAMES
60คน
อ.ปฏิสนธิ์ 
(อ.พิเศษ) (b303)</t>
    </r>
  </si>
  <si>
    <r>
      <rPr>
        <b/>
        <strike/>
        <sz val="11"/>
        <color rgb="FF000000"/>
        <rFont val="Sarabun"/>
        <family val="2"/>
        <charset val="222"/>
      </rPr>
      <t>958261</t>
    </r>
    <r>
      <rPr>
        <strike/>
        <sz val="11"/>
        <color rgb="FF000000"/>
        <rFont val="Sarabun"/>
        <family val="2"/>
        <charset val="222"/>
      </rPr>
      <t>/001 อ.ปฏิสนธิ์ (อ.พิเศษ)
GRAPHICS DESIGN FOR 2D GAMES
 (c207),
/002 TA C208,
/003ILC-C209
sec30คน</t>
    </r>
  </si>
  <si>
    <r>
      <rPr>
        <strike/>
        <sz val="11"/>
        <color rgb="FF000000"/>
        <rFont val="Sarabun"/>
        <family val="2"/>
        <charset val="222"/>
      </rPr>
      <t xml:space="preserve">958205 
Basic Game Design
sec.001 (จำนวน 55 คน)
(อ.มอง เป็นผู้สอน)
</t>
    </r>
    <r>
      <rPr>
        <strike/>
        <sz val="11"/>
        <color rgb="FF000000"/>
        <rFont val="Sarabun"/>
        <family val="2"/>
        <charset val="222"/>
      </rPr>
      <t>CAMT 113,c207,c305</t>
    </r>
    <r>
      <rPr>
        <strike/>
        <sz val="11"/>
        <color rgb="FF000000"/>
        <rFont val="Sarabun"/>
        <family val="2"/>
        <charset val="222"/>
      </rPr>
      <t xml:space="preserve">
</t>
    </r>
    <r>
      <rPr>
        <strike/>
        <sz val="11"/>
        <color rgb="FFE69138"/>
        <rFont val="Sarabun"/>
        <family val="2"/>
        <charset val="222"/>
      </rPr>
      <t xml:space="preserve">เดิม สอนวันศุกร์ ย้ายมาสอนเป็นวันพุธ ได้ห้อง C208+209
</t>
    </r>
    <r>
      <rPr>
        <strike/>
        <sz val="11"/>
        <color rgb="FF000000"/>
        <rFont val="Sarabun"/>
        <family val="2"/>
        <charset val="222"/>
      </rPr>
      <t>เนื่องจาก ห้องเรียนไม่เพียงพอ</t>
    </r>
  </si>
  <si>
    <r>
      <rPr>
        <b/>
        <sz val="11"/>
        <color rgb="FF000000"/>
        <rFont val="Sarabun"/>
        <family val="2"/>
        <charset val="222"/>
      </rPr>
      <t>958201
MATH FOR COMP GRAPH &amp; GAME</t>
    </r>
    <r>
      <rPr>
        <sz val="11"/>
        <color rgb="FF000000"/>
        <rFont val="Sarabun"/>
        <family val="2"/>
        <charset val="222"/>
      </rPr>
      <t xml:space="preserve">
60 คน
ผศ.ดร.กฤติยา 
(ฺB303)</t>
    </r>
  </si>
  <si>
    <r>
      <rPr>
        <strike/>
        <sz val="11"/>
        <color rgb="FF000000"/>
        <rFont val="Sarabun"/>
        <family val="2"/>
        <charset val="222"/>
      </rPr>
      <t>มช. มีการเปลี่ยนแปลงให้ 001201 เรียนในเทอม 2
Critical Reading and Effective Writing</t>
    </r>
    <r>
      <rPr>
        <sz val="11"/>
        <color rgb="FF000000"/>
        <rFont val="Sarabun"/>
        <family val="2"/>
        <charset val="222"/>
      </rPr>
      <t xml:space="preserve">
</t>
    </r>
    <r>
      <rPr>
        <b/>
        <sz val="11"/>
        <color rgb="FF980000"/>
        <rFont val="Sarabun"/>
        <family val="2"/>
        <charset val="222"/>
      </rPr>
      <t>สำหรับเทอม 1 เรียน 001229</t>
    </r>
  </si>
  <si>
    <r>
      <rPr>
        <b/>
        <sz val="12"/>
        <color rgb="FF000000"/>
        <rFont val="Sarabun"/>
        <family val="2"/>
        <charset val="222"/>
      </rPr>
      <t xml:space="preserve">958221 
</t>
    </r>
    <r>
      <rPr>
        <sz val="12"/>
        <color rgb="FF000000"/>
        <rFont val="Sarabun"/>
        <family val="2"/>
        <charset val="222"/>
      </rPr>
      <t xml:space="preserve">เปิดเป็น 2 Sec. 001/002 
55 คน
ผศ.ดร.ปฏิสนธิ์
</t>
    </r>
    <r>
      <rPr>
        <strike/>
        <sz val="12"/>
        <color rgb="FF000000"/>
        <rFont val="Sarabun"/>
        <family val="2"/>
        <charset val="222"/>
      </rPr>
      <t>(ฺB303)</t>
    </r>
    <r>
      <rPr>
        <sz val="12"/>
        <color rgb="FF000000"/>
        <rFont val="Sarabun"/>
        <family val="2"/>
        <charset val="222"/>
      </rPr>
      <t xml:space="preserve"> ขอใช้ห้อง COM C207/208-209</t>
    </r>
  </si>
  <si>
    <r>
      <rPr>
        <b/>
        <sz val="12"/>
        <color rgb="FF000000"/>
        <rFont val="Sarabun"/>
        <family val="2"/>
        <charset val="222"/>
      </rPr>
      <t>958221 เปิดเป็น 2 Sec.</t>
    </r>
    <r>
      <rPr>
        <sz val="12"/>
        <color rgb="FF000000"/>
        <rFont val="Sarabun"/>
        <family val="2"/>
        <charset val="222"/>
      </rPr>
      <t xml:space="preserve">001/002 ผศ.ดร.ปฏิสนธิ์ Lab.001 ได้ห้อง (C207 และ C208-209) 
</t>
    </r>
  </si>
  <si>
    <r>
      <rPr>
        <b/>
        <strike/>
        <sz val="11"/>
        <color rgb="FFCC0000"/>
        <rFont val="Sarabun"/>
        <family val="2"/>
        <charset val="222"/>
      </rPr>
      <t>958373
GAMIFICATION</t>
    </r>
    <r>
      <rPr>
        <strike/>
        <sz val="11"/>
        <color rgb="FF000000"/>
        <rFont val="Sarabun"/>
        <family val="2"/>
        <charset val="222"/>
      </rPr>
      <t xml:space="preserve">
30 คน
ผศ.ดร.ธีรวัฒน์
b305 (Sec001)</t>
    </r>
  </si>
  <si>
    <r>
      <rPr>
        <b/>
        <sz val="11"/>
        <color rgb="FFCC0000"/>
        <rFont val="Sarabun"/>
        <family val="2"/>
        <charset val="222"/>
      </rPr>
      <t>958211
Data Structure for Game Development</t>
    </r>
    <r>
      <rPr>
        <sz val="11"/>
        <color rgb="FF000000"/>
        <rFont val="Sarabun"/>
        <family val="2"/>
        <charset val="222"/>
      </rPr>
      <t xml:space="preserve">
60 คน
ผศ.ดร.เกียรติกร
b303 (Sec001)</t>
    </r>
  </si>
  <si>
    <r>
      <rPr>
        <sz val="11"/>
        <color rgb="FF000000"/>
        <rFont val="Sarabun"/>
        <family val="2"/>
        <charset val="222"/>
      </rPr>
      <t xml:space="preserve">958205 
Basic Game Design
sec.001 (จำนวน 55 คน)
(อ.มอง เป็นผู้สอน)
</t>
    </r>
    <r>
      <rPr>
        <strike/>
        <sz val="11"/>
        <color rgb="FF000000"/>
        <rFont val="Sarabun"/>
        <family val="2"/>
        <charset val="222"/>
      </rPr>
      <t>CAMT 113,c207,c305</t>
    </r>
    <r>
      <rPr>
        <sz val="11"/>
        <color rgb="FF000000"/>
        <rFont val="Sarabun"/>
        <family val="2"/>
        <charset val="222"/>
      </rPr>
      <t xml:space="preserve">
</t>
    </r>
    <r>
      <rPr>
        <sz val="11"/>
        <color rgb="FFE69138"/>
        <rFont val="Sarabun"/>
        <family val="2"/>
        <charset val="222"/>
      </rPr>
      <t xml:space="preserve">เดิม สอนวันศุกร์ ย้ายมาสอนเป็นวันพุธ ได้ห้อง C208+209
</t>
    </r>
    <r>
      <rPr>
        <sz val="11"/>
        <color theme="0"/>
        <rFont val="Sarabun"/>
        <family val="2"/>
        <charset val="222"/>
      </rPr>
      <t>หมายเหตุ : สอนวันเดิม (วันศุกร์) เพราะว่า ได้ห้องแล้วๆ (04/04/2025)</t>
    </r>
  </si>
  <si>
    <t>ผู้สอน</t>
  </si>
  <si>
    <t>ห้อง</t>
  </si>
  <si>
    <t>001201</t>
  </si>
  <si>
    <t>955104</t>
  </si>
  <si>
    <t>958201</t>
  </si>
  <si>
    <t>b302</t>
  </si>
  <si>
    <t>958221</t>
  </si>
  <si>
    <t>อ.ดร.ปฏิสนธิ์</t>
  </si>
  <si>
    <t>C204,C206</t>
  </si>
  <si>
    <t>1(น้องมาย)</t>
  </si>
  <si>
    <t>958225</t>
  </si>
  <si>
    <t>อ.เอม</t>
  </si>
  <si>
    <t>B302, c204,c206</t>
  </si>
  <si>
    <t>958261</t>
  </si>
  <si>
    <t>อ.ศุภรา</t>
  </si>
  <si>
    <t>เอกเลือก</t>
  </si>
  <si>
    <t>***ให้นักศึกษาเลือกเพิ่ม</t>
  </si>
  <si>
    <t>958373</t>
  </si>
  <si>
    <t>ผศ.ดร.ธีรวัฒน์</t>
  </si>
  <si>
    <t>อ.ดร.เทพฤทธิ์</t>
  </si>
  <si>
    <t>C308 หรือ C309</t>
  </si>
  <si>
    <t>4ชม.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</si>
  <si>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</si>
  <si>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66)</t>
  </si>
  <si>
    <t xml:space="preserve">(จำนวนนักศึกษา 47 คน)                                </t>
  </si>
  <si>
    <t>(จำนวนนักศึกษา 66 คน)</t>
  </si>
  <si>
    <r>
      <rPr>
        <b/>
        <sz val="10"/>
        <color theme="1"/>
        <rFont val="Sarabun"/>
        <family val="2"/>
        <charset val="222"/>
      </rPr>
      <t xml:space="preserve">(เอกเลือก)   
958481/sec.003  </t>
    </r>
    <r>
      <rPr>
        <b/>
        <strike/>
        <sz val="10"/>
        <color theme="1"/>
        <rFont val="Sarabun"/>
        <family val="2"/>
        <charset val="222"/>
      </rPr>
      <t>C207</t>
    </r>
    <r>
      <rPr>
        <b/>
        <sz val="10"/>
        <color theme="1"/>
        <rFont val="Sarabun"/>
        <family val="2"/>
        <charset val="222"/>
      </rPr>
      <t xml:space="preserve">  </t>
    </r>
    <r>
      <rPr>
        <b/>
        <sz val="10"/>
        <color rgb="FF980000"/>
        <rFont val="Sarabun"/>
        <family val="2"/>
        <charset val="222"/>
      </rPr>
      <t>ได้ห้อง B201 หรือ C205 รอถาม อ.ก้อย ใช้ห้องไหน</t>
    </r>
    <r>
      <rPr>
        <b/>
        <sz val="10"/>
        <color theme="1"/>
        <rFont val="Sarabun"/>
        <family val="2"/>
        <charset val="222"/>
      </rPr>
      <t xml:space="preserve"> จำนวน 30 คน
Sel Topic in Game Dev1 (Social Network Games)  
 อ.ดร.สุมาลี                       </t>
    </r>
  </si>
  <si>
    <t xml:space="preserve">(เอกเลือก)   
958481/sec.002     จำนวน   66  คน
Sel Topic in Game Dev1 (Basic Game Design)   อ.ดร.ศุภรา   
lab C203, C204 - C206    </t>
  </si>
  <si>
    <r>
      <rPr>
        <b/>
        <sz val="11"/>
        <color rgb="FF000000"/>
        <rFont val="Sarabun"/>
        <family val="2"/>
        <charset val="222"/>
      </rPr>
      <t xml:space="preserve">951212      </t>
    </r>
    <r>
      <rPr>
        <sz val="11"/>
        <color rgb="FF000000"/>
        <rFont val="Sarabun"/>
        <family val="2"/>
        <charset val="222"/>
      </rPr>
      <t xml:space="preserve">  
3D Modeling and Animation Design 2                                                 
อ.ดร.กลวัชร  ได้ห้อง C205</t>
    </r>
  </si>
  <si>
    <r>
      <rPr>
        <b/>
        <sz val="11"/>
        <color rgb="FF000000"/>
        <rFont val="Sarabun"/>
        <family val="2"/>
        <charset val="222"/>
      </rPr>
      <t xml:space="preserve">951212      </t>
    </r>
    <r>
      <rPr>
        <sz val="11"/>
        <color rgb="FF000000"/>
        <rFont val="Sarabun"/>
        <family val="2"/>
        <charset val="222"/>
      </rPr>
      <t xml:space="preserve">  
3D Modeling and Animation Design 2
อ.กลวัชร (Sec. 030, C205)</t>
    </r>
  </si>
  <si>
    <r>
      <rPr>
        <sz val="11"/>
        <color rgb="FF980000"/>
        <rFont val="Sarabun,Arial"/>
      </rPr>
      <t xml:space="preserve">(เอกเลือก)   </t>
    </r>
    <r>
      <rPr>
        <sz val="11"/>
        <color rgb="FF000000"/>
        <rFont val="Sarabun,Arial"/>
      </rPr>
      <t>ขวัญ PR ยังไม่ได้ติดต่อมาหา อ.จอห์น</t>
    </r>
    <r>
      <rPr>
        <sz val="11"/>
        <color rgb="FF980000"/>
        <rFont val="Sarabun,Arial"/>
      </rPr>
      <t xml:space="preserve">
</t>
    </r>
    <r>
      <rPr>
        <b/>
        <sz val="11"/>
        <color rgb="FF980000"/>
        <rFont val="Sarabun,Arial"/>
      </rPr>
      <t>958481/sec.006 เวลาเรียน และห้องเรียน TBA. จำนวน 15 คน</t>
    </r>
    <r>
      <rPr>
        <sz val="11"/>
        <color rgb="FF980000"/>
        <rFont val="Sarabun,Arial"/>
      </rPr>
      <t xml:space="preserve">
Sel Topic in Game Dev1 (E-sport management </t>
    </r>
    <r>
      <rPr>
        <sz val="11"/>
        <color rgb="FF274E13"/>
        <rFont val="Sarabun,Arial"/>
      </rPr>
      <t>or activity</t>
    </r>
    <r>
      <rPr>
        <sz val="11"/>
        <color rgb="FF980000"/>
        <rFont val="Sarabun,Arial"/>
      </rPr>
      <t xml:space="preserve">)   อ.ดร.เทพฤทธิ์ 
                             </t>
    </r>
  </si>
  <si>
    <r>
      <rPr>
        <b/>
        <strike/>
        <sz val="11"/>
        <color rgb="FF000000"/>
        <rFont val="Sarabun"/>
        <family val="2"/>
        <charset val="222"/>
      </rPr>
      <t>958331 (Lec)/sec.001 จำนวน 66 คน</t>
    </r>
    <r>
      <rPr>
        <strike/>
        <sz val="11"/>
        <color rgb="FF000000"/>
        <rFont val="Sarabun"/>
        <family val="2"/>
        <charset val="222"/>
      </rPr>
      <t xml:space="preserve">
Database and Network for Game Dev 
อ.ดร.สุมาลี C203, C204- C206  </t>
    </r>
    <r>
      <rPr>
        <sz val="11"/>
        <color rgb="FFFF00FF"/>
        <rFont val="Sarabun"/>
        <family val="2"/>
        <charset val="222"/>
      </rPr>
      <t>ย้ายไปสอนเช้าๆๆๆ</t>
    </r>
  </si>
  <si>
    <r>
      <rPr>
        <b/>
        <strike/>
        <sz val="11"/>
        <color rgb="FF000000"/>
        <rFont val="Sarabun"/>
        <family val="2"/>
        <charset val="222"/>
      </rPr>
      <t>958331 (Lab)/sec.001/sec.002 จำนวน 66 คน</t>
    </r>
    <r>
      <rPr>
        <strike/>
        <sz val="11"/>
        <color rgb="FF000000"/>
        <rFont val="Sarabun"/>
        <family val="2"/>
        <charset val="222"/>
      </rPr>
      <t xml:space="preserve">
Database and Network for Game Dev
อ.ดร.สุมาลี C203, C204- C206   </t>
    </r>
    <r>
      <rPr>
        <sz val="11"/>
        <color rgb="FFFF00FF"/>
        <rFont val="Sarabun"/>
        <family val="2"/>
        <charset val="222"/>
      </rPr>
      <t>ย้ายไปสอนเช้าๆๆๆ</t>
    </r>
  </si>
  <si>
    <r>
      <rPr>
        <b/>
        <sz val="11"/>
        <color rgb="FF000000"/>
        <rFont val="Sarabun"/>
        <family val="2"/>
        <charset val="222"/>
      </rPr>
      <t>958331 (Lec)/sec.001 จำนวน 66 คน</t>
    </r>
    <r>
      <rPr>
        <sz val="11"/>
        <color rgb="FF000000"/>
        <rFont val="Sarabun"/>
        <family val="2"/>
        <charset val="222"/>
      </rPr>
      <t xml:space="preserve">
Database and Network for Game Dev 
อ.ดร.สุมาลี C203, C204- C206</t>
    </r>
  </si>
  <si>
    <r>
      <rPr>
        <b/>
        <sz val="11"/>
        <color rgb="FF000000"/>
        <rFont val="Sarabun"/>
        <family val="2"/>
        <charset val="222"/>
      </rPr>
      <t>958331 (Lab)/sec.001/sec.002 จำนวน 66 คน</t>
    </r>
    <r>
      <rPr>
        <sz val="11"/>
        <color rgb="FF000000"/>
        <rFont val="Sarabun"/>
        <family val="2"/>
        <charset val="222"/>
      </rPr>
      <t xml:space="preserve">
Database and Network for Game Dev
อ.ดร.สุมาลี C203, C204- C206</t>
    </r>
  </si>
  <si>
    <r>
      <rPr>
        <strike/>
        <sz val="11"/>
        <color rgb="FF000000"/>
        <rFont val="Sarabun"/>
        <family val="2"/>
        <charset val="222"/>
      </rPr>
      <t xml:space="preserve"> (เอกเลือก)   จำนวน 30 คน
 </t>
    </r>
    <r>
      <rPr>
        <b/>
        <strike/>
        <sz val="11"/>
        <color rgb="FF000000"/>
        <rFont val="Sarabun"/>
        <family val="2"/>
        <charset val="222"/>
      </rPr>
      <t xml:space="preserve">958341  </t>
    </r>
    <r>
      <rPr>
        <strike/>
        <sz val="11"/>
        <color rgb="FF000000"/>
        <rFont val="Sarabun"/>
        <family val="2"/>
        <charset val="222"/>
      </rPr>
      <t xml:space="preserve">
Realistic Game Development
 อ.ดร.เกียรติกร (C309) </t>
    </r>
  </si>
  <si>
    <t>958321/001 (C203, C204-C206) 
Game Development 3
อ.ดร.เกียรติกร
 Sec 66 คน</t>
  </si>
  <si>
    <r>
      <rPr>
        <b/>
        <sz val="10"/>
        <color theme="1"/>
        <rFont val="Sarabun"/>
        <family val="2"/>
        <charset val="222"/>
      </rPr>
      <t xml:space="preserve">(เอกเลือก)   
958481/sec.003  </t>
    </r>
    <r>
      <rPr>
        <b/>
        <strike/>
        <sz val="10"/>
        <color theme="1"/>
        <rFont val="Sarabun"/>
        <family val="2"/>
        <charset val="222"/>
      </rPr>
      <t>C207</t>
    </r>
    <r>
      <rPr>
        <b/>
        <sz val="10"/>
        <color theme="1"/>
        <rFont val="Sarabun"/>
        <family val="2"/>
        <charset val="222"/>
      </rPr>
      <t xml:space="preserve"> </t>
    </r>
    <r>
      <rPr>
        <b/>
        <sz val="10"/>
        <color rgb="FF980000"/>
        <rFont val="Sarabun"/>
        <family val="2"/>
        <charset val="222"/>
      </rPr>
      <t>ได้ห้อง B201</t>
    </r>
    <r>
      <rPr>
        <b/>
        <sz val="10"/>
        <color theme="1"/>
        <rFont val="Sarabun"/>
        <family val="2"/>
        <charset val="222"/>
      </rPr>
      <t xml:space="preserve"> จำนวน 30 คน
Sel Topic in Game Dev1 (Social Network Games)  
 อ.ดร.สุมาลี                             </t>
    </r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</si>
  <si>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958481/sec.004 </t>
    </r>
    <r>
      <rPr>
        <sz val="11"/>
        <color theme="1"/>
        <rFont val="Sarabun"/>
        <family val="2"/>
        <charset val="222"/>
      </rPr>
      <t xml:space="preserve">    C305  จำนวน  30 คน
  Sel Topic in Game Dev1 (Adv UE)
 Unreal Engine5 อ.ดร.เทพฤทธิ์    
                             </t>
    </r>
  </si>
  <si>
    <t>เอกบังคับ</t>
  </si>
  <si>
    <t>จำนวนรับ Sec001</t>
  </si>
  <si>
    <t>Game Development 3</t>
  </si>
  <si>
    <t>001</t>
  </si>
  <si>
    <t>อ.ดร.เกียรติกร</t>
  </si>
  <si>
    <t>C203, C204-C206</t>
  </si>
  <si>
    <t>Artificial Intelligence for Game Development</t>
  </si>
  <si>
    <t>C203,C204 - C206</t>
  </si>
  <si>
    <t>เด็กตกแผน (รวมใน 75 คนแล้ว)</t>
  </si>
  <si>
    <t>Database and Network for Game Development</t>
  </si>
  <si>
    <t>อ.ดร. สุมาลี</t>
  </si>
  <si>
    <t>C206,C207</t>
  </si>
  <si>
    <t>60 (ห้องรับได้ถึง 68)</t>
  </si>
  <si>
    <t>เด็กตกแผนเพิ่มมา 13 คน (รวมใน 60 คนแล้ว)</t>
  </si>
  <si>
    <t>1คน 3ชม.</t>
  </si>
  <si>
    <t>Realistic Game Development (เอกเลือก)</t>
  </si>
  <si>
    <t>C309</t>
  </si>
  <si>
    <t>ปิดกระบวนวิชา</t>
  </si>
  <si>
    <t>002</t>
  </si>
  <si>
    <t>เปิดกระบวนวิชานี้แทน</t>
  </si>
  <si>
    <t>Motion Capture for Game Development(เอกเลือก)</t>
  </si>
  <si>
    <t>112 ,C309</t>
  </si>
  <si>
    <t>1คน 10ชม.(2ครั้ง)</t>
  </si>
  <si>
    <t>ตรวจสอบแล้ว (เทพฤทธิ์)</t>
  </si>
  <si>
    <t>Sel Topic in Game Dev1 (AdvUE)</t>
  </si>
  <si>
    <t>XXX</t>
  </si>
  <si>
    <t>Sel Topic in Game Dev1 (Basic Game Design) (เอกเลือก)</t>
  </si>
  <si>
    <t>003</t>
  </si>
  <si>
    <t xml:space="preserve"> B302</t>
  </si>
  <si>
    <t>1(น้องยู้)</t>
  </si>
  <si>
    <t xml:space="preserve">Three Dimensional Modeling and Animation Design 2 </t>
  </si>
  <si>
    <t>อ.ดร.กลวัชร</t>
  </si>
  <si>
    <t>C205</t>
  </si>
  <si>
    <t xml:space="preserve"> 1/69 เปลี่ยนรหัส ให้เปิดกระบวนวิชา 958263</t>
  </si>
  <si>
    <t>test</t>
  </si>
  <si>
    <t>ตารางเรียนสาขาวิชาดิจิทัลเกม สำหรับนักศึกษาชั้นปีที่ 2 (รหัส66)</t>
  </si>
  <si>
    <t>(จำนวนนักศึกษา 65 คน)</t>
  </si>
  <si>
    <r>
      <rPr>
        <b/>
        <sz val="11"/>
        <color rgb="FF000000"/>
        <rFont val="Sarabun"/>
        <family val="2"/>
        <charset val="222"/>
      </rPr>
      <t>958201
MATH FOR COMP GRAPH &amp; GAME</t>
    </r>
    <r>
      <rPr>
        <sz val="11"/>
        <color rgb="FF000000"/>
        <rFont val="Sarabun"/>
        <family val="2"/>
        <charset val="222"/>
      </rPr>
      <t xml:space="preserve">
80 คน
ผศ.ดร.กฤติยา 
CAMT 113</t>
    </r>
  </si>
  <si>
    <r>
      <rPr>
        <b/>
        <sz val="11"/>
        <color rgb="FF000000"/>
        <rFont val="Sarabun"/>
        <family val="2"/>
        <charset val="222"/>
      </rPr>
      <t>001201</t>
    </r>
    <r>
      <rPr>
        <sz val="11"/>
        <color rgb="FF000000"/>
        <rFont val="Sarabun"/>
        <family val="2"/>
        <charset val="222"/>
      </rPr>
      <t xml:space="preserve">
Critical Reading and Effective Writing</t>
    </r>
  </si>
  <si>
    <t>955104 (Sec.001)
60คน
อ.ศุภรา
113</t>
  </si>
  <si>
    <r>
      <rPr>
        <b/>
        <sz val="11"/>
        <color rgb="FFCC0000"/>
        <rFont val="Sarabun"/>
        <family val="2"/>
        <charset val="222"/>
      </rPr>
      <t>958373
GAMIFICATION</t>
    </r>
    <r>
      <rPr>
        <sz val="11"/>
        <color rgb="FF000000"/>
        <rFont val="Sarabun"/>
        <family val="2"/>
        <charset val="222"/>
      </rPr>
      <t xml:space="preserve">
30 คน
ผศ.ดร.ธีรวัฒน์
b302 (Sec001)</t>
    </r>
  </si>
  <si>
    <t xml:space="preserve">958225 
Digital Game Production
sec.001
อ.ศุภรา (อ.เอม เป็นผู้สอน)
c201,c202
</t>
  </si>
  <si>
    <r>
      <rPr>
        <b/>
        <sz val="11"/>
        <color rgb="FF000000"/>
        <rFont val="Sarabun"/>
        <family val="2"/>
        <charset val="222"/>
      </rPr>
      <t>958261</t>
    </r>
    <r>
      <rPr>
        <sz val="11"/>
        <color rgb="FF000000"/>
        <rFont val="Sarabun"/>
        <family val="2"/>
        <charset val="222"/>
      </rPr>
      <t>/001
GRAPHICS DESIGN FOR 2D GAMES
60คน
อ.ศุภรา
(อ.พิเศษ) (b302)</t>
    </r>
  </si>
  <si>
    <r>
      <rPr>
        <b/>
        <sz val="11"/>
        <color rgb="FF000000"/>
        <rFont val="Sarabun"/>
        <family val="2"/>
        <charset val="222"/>
      </rPr>
      <t>958261</t>
    </r>
    <r>
      <rPr>
        <sz val="11"/>
        <color rgb="FF000000"/>
        <rFont val="Sarabun"/>
        <family val="2"/>
        <charset val="222"/>
      </rPr>
      <t>/001 อ.ศุภรา (อ.พิเศษ)
GRAPHICS DESIGN FOR 2D GAMES
 (c207),
/002 TA C208,
/003ILC-C209
sec30คน</t>
    </r>
  </si>
  <si>
    <r>
      <rPr>
        <b/>
        <sz val="11"/>
        <color rgb="FF000000"/>
        <rFont val="Sarabun"/>
        <family val="2"/>
        <charset val="222"/>
      </rPr>
      <t>958201
MATH FOR COMP GRAPH &amp; GAME</t>
    </r>
    <r>
      <rPr>
        <sz val="11"/>
        <color rgb="FF000000"/>
        <rFont val="Sarabun"/>
        <family val="2"/>
        <charset val="222"/>
      </rPr>
      <t xml:space="preserve">
80 คน
ผศ.ดร.กฤติยา 
CAMT 113</t>
    </r>
  </si>
  <si>
    <r>
      <rPr>
        <b/>
        <sz val="11"/>
        <color rgb="FF000000"/>
        <rFont val="Sarabun"/>
        <family val="2"/>
        <charset val="222"/>
      </rPr>
      <t>001201</t>
    </r>
    <r>
      <rPr>
        <sz val="11"/>
        <color rgb="FF000000"/>
        <rFont val="Sarabun"/>
        <family val="2"/>
        <charset val="222"/>
      </rPr>
      <t xml:space="preserve">
Critical Reading and Effective Writing</t>
    </r>
  </si>
  <si>
    <r>
      <rPr>
        <b/>
        <sz val="11"/>
        <color rgb="FF000000"/>
        <rFont val="Sarabun"/>
        <family val="2"/>
        <charset val="222"/>
      </rPr>
      <t>958221</t>
    </r>
    <r>
      <rPr>
        <sz val="11"/>
        <color rgb="FF000000"/>
        <rFont val="Sarabun"/>
        <family val="2"/>
        <charset val="222"/>
      </rPr>
      <t xml:space="preserve">/001
60คน
อ.ดร.ปฏิสนธิ์
(b302) </t>
    </r>
  </si>
  <si>
    <r>
      <rPr>
        <b/>
        <sz val="11"/>
        <color rgb="FF000000"/>
        <rFont val="Sarabun"/>
        <family val="2"/>
        <charset val="222"/>
      </rPr>
      <t>958221</t>
    </r>
    <r>
      <rPr>
        <sz val="11"/>
        <color rgb="FF000000"/>
        <rFont val="Sarabun"/>
        <family val="2"/>
        <charset val="222"/>
      </rPr>
      <t>/001 อ.ดร.ปฏิสนธิ์ (c204),
/002 TA (c206),
sec30คน</t>
    </r>
  </si>
  <si>
    <r>
      <rPr>
        <b/>
        <sz val="11"/>
        <color rgb="FFCC0000"/>
        <rFont val="Sarabun"/>
        <family val="2"/>
        <charset val="222"/>
      </rPr>
      <t>958373
GAMIFICATION</t>
    </r>
    <r>
      <rPr>
        <sz val="11"/>
        <color rgb="FF000000"/>
        <rFont val="Sarabun"/>
        <family val="2"/>
        <charset val="222"/>
      </rPr>
      <t xml:space="preserve">
30 คน
ผศ.ดร.ธีรวัฒน์
b302 (Sec001)</t>
    </r>
  </si>
  <si>
    <t>C207,C208</t>
  </si>
  <si>
    <t>อ.ศุภรา (เอมสอน)</t>
  </si>
  <si>
    <t>c201,c202</t>
  </si>
  <si>
    <t>ตารางเรียนสาขาวิชาดิจิทัลเกม สำหรับนักศึกษาชั้นปีที่ 3 (รหัส 65)</t>
  </si>
  <si>
    <t>(จำนวนนักศึกษา 58 คน)</t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</si>
  <si>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958481/sec.003    </t>
    </r>
    <r>
      <rPr>
        <sz val="11"/>
        <color theme="1"/>
        <rFont val="Sarabun"/>
        <family val="2"/>
        <charset val="222"/>
      </rPr>
      <t xml:space="preserve"> (ฺCAMT 112)   
Sel Topic in Game Dev1 (Basic Game Design)   อ.ศุภรา   
lab notebook C305,C306                                        </t>
    </r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</si>
  <si>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958481/sec.001 </t>
    </r>
    <r>
      <rPr>
        <sz val="11"/>
        <color theme="1"/>
        <rFont val="Sarabun"/>
        <family val="2"/>
        <charset val="222"/>
      </rPr>
      <t xml:space="preserve">    C308 
Sel Topic in Game Dev1 (Adv UE )   อ.ดร.เทพฤทธิ์    
                             </t>
    </r>
  </si>
  <si>
    <r>
      <rPr>
        <b/>
        <sz val="11"/>
        <color rgb="FF000000"/>
        <rFont val="Sarabun"/>
        <family val="2"/>
        <charset val="222"/>
      </rPr>
      <t xml:space="preserve">951212      </t>
    </r>
    <r>
      <rPr>
        <sz val="11"/>
        <color rgb="FF000000"/>
        <rFont val="Sarabun"/>
        <family val="2"/>
        <charset val="222"/>
      </rPr>
      <t xml:space="preserve">  
3D Modeling and Animation Design 2                                                 
อ.ดร.กลวัชร (C204) ได้ห้อง C209</t>
    </r>
  </si>
  <si>
    <r>
      <rPr>
        <b/>
        <sz val="11"/>
        <color rgb="FF000000"/>
        <rFont val="Sarabun"/>
        <family val="2"/>
        <charset val="222"/>
      </rPr>
      <t xml:space="preserve">951212      </t>
    </r>
    <r>
      <rPr>
        <sz val="11"/>
        <color rgb="FF000000"/>
        <rFont val="Sarabun"/>
        <family val="2"/>
        <charset val="222"/>
      </rPr>
      <t xml:space="preserve">  
3D Modeling and Animation Design 2
อ.กลวัชร (Sec. 030, C209)</t>
    </r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</si>
  <si>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958481/sec.004 </t>
    </r>
    <r>
      <rPr>
        <sz val="11"/>
        <color theme="1"/>
        <rFont val="Sarabun"/>
        <family val="2"/>
        <charset val="222"/>
      </rPr>
      <t xml:space="preserve">    C309 
Sel Topic in Game Dev1 (Adv UE )   อ.ดร.เทพฤทธิ์    
                             </t>
    </r>
  </si>
  <si>
    <r>
      <rPr>
        <b/>
        <sz val="11"/>
        <color rgb="FF000000"/>
        <rFont val="Sarabun"/>
        <family val="2"/>
        <charset val="222"/>
      </rPr>
      <t>958331/sec.001</t>
    </r>
    <r>
      <rPr>
        <sz val="11"/>
        <color rgb="FF000000"/>
        <rFont val="Sarabun"/>
        <family val="2"/>
        <charset val="222"/>
      </rPr>
      <t xml:space="preserve">
Database and Network for Game Development 
อ.ดร.สุมาลี lec.113 (lab C204,c206) ได้ห้อง c203/c204</t>
    </r>
  </si>
  <si>
    <r>
      <rPr>
        <sz val="11"/>
        <color rgb="FF000000"/>
        <rFont val="Sarabun"/>
        <family val="2"/>
        <charset val="222"/>
      </rPr>
      <t xml:space="preserve"> (เอกเลือก)   
 </t>
    </r>
    <r>
      <rPr>
        <b/>
        <strike/>
        <sz val="11"/>
        <color rgb="FF980000"/>
        <rFont val="Sarabun"/>
        <family val="2"/>
        <charset val="222"/>
      </rPr>
      <t xml:space="preserve">958341 </t>
    </r>
    <r>
      <rPr>
        <b/>
        <sz val="11"/>
        <color rgb="FF980000"/>
        <rFont val="Sarabun"/>
        <family val="2"/>
        <charset val="222"/>
      </rPr>
      <t xml:space="preserve"> (ปิดกระบวนวิชานี้)</t>
    </r>
    <r>
      <rPr>
        <b/>
        <sz val="11"/>
        <color rgb="FF000000"/>
        <rFont val="Sarabun"/>
        <family val="2"/>
        <charset val="222"/>
      </rPr>
      <t xml:space="preserve"> แล้วเปิดกระบวนวิชา 958481  (ตอนที่ 002)</t>
    </r>
    <r>
      <rPr>
        <sz val="11"/>
        <color rgb="FF000000"/>
        <rFont val="Sarabun"/>
        <family val="2"/>
        <charset val="222"/>
      </rPr>
      <t xml:space="preserve">
</t>
    </r>
    <r>
      <rPr>
        <strike/>
        <sz val="10"/>
        <color rgb="FF980000"/>
        <rFont val="Sarabun"/>
        <family val="2"/>
        <charset val="222"/>
      </rPr>
      <t>Realistic Game</t>
    </r>
    <r>
      <rPr>
        <sz val="10"/>
        <color rgb="FF980000"/>
        <rFont val="Sarabun"/>
        <family val="2"/>
        <charset val="222"/>
      </rPr>
      <t xml:space="preserve">  </t>
    </r>
    <r>
      <rPr>
        <sz val="10"/>
        <color rgb="FF000000"/>
        <rFont val="Sarabun"/>
        <family val="2"/>
        <charset val="222"/>
      </rPr>
      <t xml:space="preserve">Sel Topic in Game  prog patterns  </t>
    </r>
    <r>
      <rPr>
        <sz val="10"/>
        <color rgb="FF980000"/>
        <rFont val="Sarabun"/>
        <family val="2"/>
        <charset val="222"/>
      </rPr>
      <t xml:space="preserve">
</t>
    </r>
    <r>
      <rPr>
        <strike/>
        <sz val="10"/>
        <color rgb="FF980000"/>
        <rFont val="Sarabun"/>
        <family val="2"/>
        <charset val="222"/>
      </rPr>
      <t>Development</t>
    </r>
    <r>
      <rPr>
        <sz val="10"/>
        <color rgb="FF000000"/>
        <rFont val="Sarabun"/>
        <family val="2"/>
        <charset val="222"/>
      </rPr>
      <t xml:space="preserve">
 อ.ดร.เกียรติกร (C309)                      </t>
    </r>
    <r>
      <rPr>
        <sz val="11"/>
        <color rgb="FF000000"/>
        <rFont val="Sarabun"/>
        <family val="2"/>
        <charset val="222"/>
      </rPr>
      <t xml:space="preserve">                </t>
    </r>
  </si>
  <si>
    <t>958321/001 (C307) 
Game Development 3
อ.ดร.เกียรติกร
 Sec.002/(C308), TA Sec.003 (C309),อานน 
Sec 25 คน</t>
  </si>
  <si>
    <r>
      <rPr>
        <sz val="11"/>
        <color rgb="FF000000"/>
        <rFont val="Sarabun"/>
        <family val="2"/>
        <charset val="222"/>
      </rPr>
      <t xml:space="preserve">(เอกเลือก)  
</t>
    </r>
    <r>
      <rPr>
        <b/>
        <sz val="11"/>
        <color rgb="FF000000"/>
        <rFont val="Sarabun"/>
        <family val="2"/>
        <charset val="222"/>
      </rPr>
      <t xml:space="preserve">958441       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   (112)                         </t>
    </r>
    <r>
      <rPr>
        <sz val="11"/>
        <color rgb="FF000000"/>
        <rFont val="Sarabun"/>
        <family val="2"/>
        <charset val="222"/>
      </rPr>
      <t xml:space="preserve">    </t>
    </r>
  </si>
  <si>
    <r>
      <rPr>
        <sz val="11"/>
        <color rgb="FF000000"/>
        <rFont val="Sarabun"/>
        <family val="2"/>
        <charset val="222"/>
      </rPr>
      <t xml:space="preserve">(เอกเลือก)  
</t>
    </r>
    <r>
      <rPr>
        <b/>
        <sz val="11"/>
        <color rgb="FF000000"/>
        <rFont val="Sarabun"/>
        <family val="2"/>
        <charset val="222"/>
      </rPr>
      <t xml:space="preserve">958441 LAB  / 001    </t>
    </r>
    <r>
      <rPr>
        <sz val="11"/>
        <color rgb="FF000000"/>
        <rFont val="Sarabun"/>
        <family val="2"/>
        <charset val="222"/>
      </rPr>
      <t xml:space="preserve"> (จำนวนที่รองรับได้ 30 คน)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   (C202) </t>
    </r>
    <r>
      <rPr>
        <b/>
        <sz val="10"/>
        <color rgb="FF980000"/>
        <rFont val="Sarabun"/>
        <family val="2"/>
        <charset val="222"/>
      </rPr>
      <t>แลกห้องกับ อ.แนท SE เป็นห้อง C206 เรียบร้อยแล้ว</t>
    </r>
    <r>
      <rPr>
        <b/>
        <sz val="10"/>
        <color rgb="FFFF0000"/>
        <rFont val="Sarabun"/>
        <family val="2"/>
        <charset val="222"/>
      </rPr>
      <t xml:space="preserve"> </t>
    </r>
    <r>
      <rPr>
        <sz val="10"/>
        <color rgb="FFFF0000"/>
        <rFont val="Sarabun"/>
        <family val="2"/>
        <charset val="222"/>
      </rPr>
      <t xml:space="preserve">  </t>
    </r>
    <r>
      <rPr>
        <sz val="10"/>
        <color rgb="FF000000"/>
        <rFont val="Sarabun"/>
        <family val="2"/>
        <charset val="222"/>
      </rPr>
      <t xml:space="preserve">                     </t>
    </r>
    <r>
      <rPr>
        <sz val="11"/>
        <color rgb="FF000000"/>
        <rFont val="Sarabun"/>
        <family val="2"/>
        <charset val="222"/>
      </rPr>
      <t xml:space="preserve">    </t>
    </r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</si>
  <si>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958481/sec.001 </t>
    </r>
    <r>
      <rPr>
        <sz val="11"/>
        <color theme="1"/>
        <rFont val="Sarabun"/>
        <family val="2"/>
        <charset val="222"/>
      </rPr>
      <t xml:space="preserve">    C205 (เดิมเป็น C308)
Sel Topic in Game Dev1 (Adv UE )   อ.ดร.เทพฤทธิ์    
                             </t>
    </r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</si>
  <si>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958481/sec.004 </t>
    </r>
    <r>
      <rPr>
        <sz val="11"/>
        <color theme="1"/>
        <rFont val="Sarabun"/>
        <family val="2"/>
        <charset val="222"/>
      </rPr>
      <t xml:space="preserve">    C205 (เดิมเป็น C308)
Sel Topic in Game Dev1 (VR)   อ.ดร.เทพฤทธิ์    
                             </t>
    </r>
  </si>
  <si>
    <t>C308,C309,307</t>
  </si>
  <si>
    <t xml:space="preserve">เด็กตกแผนเพิ่มมา 13 คน </t>
  </si>
  <si>
    <t>C308,C309</t>
  </si>
  <si>
    <t>112 ,C202,C206</t>
  </si>
  <si>
    <t>อ.ดร.อรุษ</t>
  </si>
  <si>
    <t>C208</t>
  </si>
  <si>
    <t>ตารางเรียนสาขาวิชาดิจิทัลเกม สำหรับนักศึกษาชั้นปีที่ 4 (รหัส65)</t>
  </si>
  <si>
    <t xml:space="preserve">(จำนวนนักศึกษา 48 คน)   </t>
  </si>
  <si>
    <t>Section</t>
  </si>
  <si>
    <t>คน</t>
  </si>
  <si>
    <t>Work integrated Lerning for Digital Game 1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</si>
  <si>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</si>
  <si>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</si>
  <si>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</si>
  <si>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</si>
  <si>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</si>
  <si>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</si>
  <si>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</si>
  <si>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รายละเอียดข้อมูล ภาระงานสอนของอาจารย์ในสาขาวิชาดิจิทัลเกม ในภาคการศึกษาที่ 1 ปีการศึกษา 2568</t>
  </si>
  <si>
    <t>ชื่ออาจารย์ผู้สอน</t>
  </si>
  <si>
    <t>จำนวนกระบวนวิชาที่สอน</t>
  </si>
  <si>
    <t xml:space="preserve">รหัสกระบวนวิชา </t>
  </si>
  <si>
    <t xml:space="preserve">สอนนักศึกษาชั้นปีที่ </t>
  </si>
  <si>
    <t>จำนวนนักศึกษา (คน)</t>
  </si>
  <si>
    <t>โครงสร้างหลักสูตร</t>
  </si>
  <si>
    <t>ผศ.ดร.เกียรติกร</t>
  </si>
  <si>
    <t>ผศ.ดร.ปฏิสนธิ์</t>
  </si>
  <si>
    <t>ผศ.ดร.สุมาลี</t>
  </si>
  <si>
    <t>อ.นพพล</t>
  </si>
  <si>
    <t xml:space="preserve">- 958211 :  DATA STRUCTURE FOR GAME DEVELOPMENT  
</t>
  </si>
  <si>
    <t>หมวดวิชาแกน</t>
  </si>
  <si>
    <t>จำนวนวิชา</t>
  </si>
  <si>
    <t xml:space="preserve">- 958321 :  GAME DEVELOPMENT 3
</t>
  </si>
  <si>
    <t>วิชาเอกบังคับ</t>
  </si>
  <si>
    <t>WIL</t>
  </si>
  <si>
    <t xml:space="preserve">- 958111 : COMP &amp; PROGRAM FOR GAME 1 (Sec.002)  </t>
  </si>
  <si>
    <t xml:space="preserve">- 958102 :  INTRODUCTION TO DIGITAL GAMES  
</t>
  </si>
  <si>
    <t xml:space="preserve">- 958441 :  MOTION CAPTURE FOR GAME DEVELOPMENT 
</t>
  </si>
  <si>
    <t>วิชาเอกเลือก</t>
  </si>
  <si>
    <t xml:space="preserve">- 955104 :  INTRODUCTION TO DIGITAL BUSINESS  </t>
  </si>
  <si>
    <t>ทุกชั้นปีที่ตกค้าง 
(หลักสูตร พ.ศ.2562)</t>
  </si>
  <si>
    <t>- 958205 :  BASIC GAME DESIGN</t>
  </si>
  <si>
    <t>- 958225 :  DIGITAL GAME PRODUCTION สอน นศ.ชั้นปีที่ 2 (55 คน) วิชาเอกบังคับ</t>
  </si>
  <si>
    <t>- 958481 :  SELECTED TOPICS IN GAME DEVELOPMENT1 (BASIC GAME DESIGN) sec.002</t>
  </si>
  <si>
    <t>วิชาเอกเลืือก</t>
  </si>
  <si>
    <t xml:space="preserve">- 958111 : COMP &amp; PROGRAM FOR GAME 1 (Sec.001)
</t>
  </si>
  <si>
    <t xml:space="preserve">- 958201 : MATH FOR COMP GRAPH &amp; GAME  </t>
  </si>
  <si>
    <t xml:space="preserve">- 958221 :  GAME DEVELOPMENT 1  
</t>
  </si>
  <si>
    <t xml:space="preserve">- 958325 :  ARTIFICAIAL INTELLIGENCE FOR GAME DEVELOPMENT 
</t>
  </si>
  <si>
    <t>3 และเด็กตกแผน</t>
  </si>
  <si>
    <t>วิิชาเอกบังคับ</t>
  </si>
  <si>
    <t xml:space="preserve">- 958331 :  DATABASE AND NETWORK FOR GAME DEV
</t>
  </si>
  <si>
    <t xml:space="preserve">- 958481 :  SELECTED TOPICS IN GAME DEVELOPMENT1 (ADV HYPER CASUAL GAMES) sec.003
</t>
  </si>
  <si>
    <t xml:space="preserve">- 958481 :  SELECTED TOPICS IN GAME DEVELOPMENT1 (VIRTUAL REALITY) sec.001
</t>
  </si>
  <si>
    <t xml:space="preserve">- 958481 :  SELECTED TOPICS IN GAME DEVELOPMENT1 (ADV UE) UNREAL ENGINE sec.004
</t>
  </si>
  <si>
    <t>ลาศึกษาต่อ</t>
  </si>
  <si>
    <t>(1) General Education</t>
  </si>
  <si>
    <t>Course Code</t>
  </si>
  <si>
    <t>Course Abbrev</t>
  </si>
  <si>
    <t>Course Name</t>
  </si>
  <si>
    <t>Course Credits</t>
  </si>
  <si>
    <t>Credits Structure</t>
  </si>
  <si>
    <t>1.1 Required Courses</t>
  </si>
  <si>
    <t>ENGL 101</t>
  </si>
  <si>
    <t>Fundamental English 1</t>
  </si>
  <si>
    <t>3-0-6</t>
  </si>
  <si>
    <t>001102</t>
  </si>
  <si>
    <t>ENGL 102</t>
  </si>
  <si>
    <t>Fundamental English 2</t>
  </si>
  <si>
    <t>ENGL 201</t>
  </si>
  <si>
    <t>Critical Reading and Effective Writing</t>
  </si>
  <si>
    <t>001229</t>
  </si>
  <si>
    <t>ENGL 229</t>
  </si>
  <si>
    <t>English for Media Arts</t>
  </si>
  <si>
    <t>261111</t>
  </si>
  <si>
    <t>Internet and Online Community</t>
  </si>
  <si>
    <t>1.2 Innovative Co-Creator</t>
  </si>
  <si>
    <t>PSY 100</t>
  </si>
  <si>
    <t>Psychology and Daily Life</t>
  </si>
  <si>
    <t>206100</t>
  </si>
  <si>
    <t>Mathematics in Everyday Life</t>
  </si>
  <si>
    <t>356102</t>
  </si>
  <si>
    <t>Ornamental Aquatic Animals</t>
  </si>
  <si>
    <t>852100</t>
  </si>
  <si>
    <t>Introduction to Film</t>
  </si>
  <si>
    <t>888107</t>
  </si>
  <si>
    <t>Business Startup on Digital Platform</t>
  </si>
  <si>
    <t>1.3 Active Citizen</t>
  </si>
  <si>
    <t>Citizenship</t>
  </si>
  <si>
    <t>1.4 Elective Courses</t>
  </si>
  <si>
    <t>057137</t>
  </si>
  <si>
    <t>Sports for Health</t>
  </si>
  <si>
    <t>011155</t>
  </si>
  <si>
    <t>Philosophy of Happiness</t>
  </si>
  <si>
    <t>011100</t>
  </si>
  <si>
    <t>Man and Philosophy</t>
  </si>
  <si>
    <t>012200</t>
  </si>
  <si>
    <t>Mind Volunteer</t>
  </si>
  <si>
    <t>154100</t>
  </si>
  <si>
    <t>Introduction to Geography</t>
  </si>
  <si>
    <t>259108</t>
  </si>
  <si>
    <t>Electricity in Everyday Life</t>
  </si>
  <si>
    <t>Architecture in Everyday Life</t>
  </si>
  <si>
    <t>(2) Field of Specialization</t>
  </si>
  <si>
    <t>(2.1) Core Courses</t>
  </si>
  <si>
    <t>955102</t>
  </si>
  <si>
    <t>Digital Literacy</t>
  </si>
  <si>
    <t>1-2-3</t>
  </si>
  <si>
    <t>Programming and Logical Thinking</t>
  </si>
  <si>
    <t>Introduction to Digital Business</t>
  </si>
  <si>
    <t>2-0-4</t>
  </si>
  <si>
    <t>955105</t>
  </si>
  <si>
    <t>Fundamental Design in Digital Arts</t>
  </si>
  <si>
    <t>Computer and Programming for Game 1</t>
  </si>
  <si>
    <t>1-4-4</t>
  </si>
  <si>
    <t>958112</t>
  </si>
  <si>
    <t>Computer and Programming for Game 2</t>
  </si>
  <si>
    <t>(2.2) Major Courses</t>
  </si>
  <si>
    <t>(2.2.1) Required Courses</t>
  </si>
  <si>
    <t xml:space="preserve">Introduction to Digital Games                                                </t>
  </si>
  <si>
    <t>Mathematics for Computer Graphics and Game</t>
  </si>
  <si>
    <t>958202</t>
  </si>
  <si>
    <t>Computer Graphic Programming</t>
  </si>
  <si>
    <t>Game Development 1</t>
  </si>
  <si>
    <t>958222</t>
  </si>
  <si>
    <t>Game Development 2</t>
  </si>
  <si>
    <t>Digital Game Production</t>
  </si>
  <si>
    <t>Graphics Design for Two Dimensional Games</t>
  </si>
  <si>
    <t>958321</t>
  </si>
  <si>
    <t>958322</t>
  </si>
  <si>
    <t>Game Development 4</t>
  </si>
  <si>
    <t>958325</t>
  </si>
  <si>
    <t>958331</t>
  </si>
  <si>
    <t>958421</t>
  </si>
  <si>
    <t>Advanced Game Design</t>
  </si>
  <si>
    <t>958453</t>
  </si>
  <si>
    <t>Digital Game Industry and Distribution</t>
  </si>
  <si>
    <t>958491</t>
  </si>
  <si>
    <t>Work Integrated Learning for Digital Game 1</t>
  </si>
  <si>
    <t>958492</t>
  </si>
  <si>
    <t>Work Integrated Learning for Digital Game 2</t>
  </si>
  <si>
    <t>(2.2.2) Major Electives</t>
  </si>
  <si>
    <t>958332</t>
  </si>
  <si>
    <t>Mobile Game Development</t>
  </si>
  <si>
    <t>958333</t>
  </si>
  <si>
    <t>Multiplayer Online Game Development</t>
  </si>
  <si>
    <t>958341</t>
  </si>
  <si>
    <t xml:space="preserve">Realistic Game Development </t>
  </si>
  <si>
    <t>958361</t>
  </si>
  <si>
    <t>Advanced Modeling for Game</t>
  </si>
  <si>
    <t>958371</t>
  </si>
  <si>
    <t>Interactive Applications</t>
  </si>
  <si>
    <t>958372</t>
  </si>
  <si>
    <t>Serious Games Design and Applications</t>
  </si>
  <si>
    <t>Gamification</t>
  </si>
  <si>
    <t>958441</t>
  </si>
  <si>
    <t>Motion Capture for Game Development</t>
  </si>
  <si>
    <t>951103</t>
  </si>
  <si>
    <t>Sketch Drawing</t>
  </si>
  <si>
    <t>951106</t>
  </si>
  <si>
    <t>Screenwriting and Digital Storytelling</t>
  </si>
  <si>
    <t>951211</t>
  </si>
  <si>
    <t>Three Dimensional Modelling and Animation Design 1</t>
  </si>
  <si>
    <t>951212</t>
  </si>
  <si>
    <t>Three Dimensional Modelling and Animation Design 2</t>
  </si>
  <si>
    <t>951215</t>
  </si>
  <si>
    <t>Storyboarding</t>
  </si>
  <si>
    <t>951301</t>
  </si>
  <si>
    <t>Advanced Animation and Rendering Techniques</t>
  </si>
  <si>
    <t>951411</t>
  </si>
  <si>
    <t>Advanced Three Dimensional Character Design</t>
  </si>
  <si>
    <t>951412</t>
  </si>
  <si>
    <t>Advanced Three Dimensional Scene Design</t>
  </si>
  <si>
    <t>957211</t>
  </si>
  <si>
    <t>Photoshop 1</t>
  </si>
  <si>
    <t>958451</t>
  </si>
  <si>
    <t>Electronics Sports 1</t>
  </si>
  <si>
    <t>958452</t>
  </si>
  <si>
    <t>Electronics Sports 2</t>
  </si>
  <si>
    <t>958481</t>
  </si>
  <si>
    <t>Selected Topics in Game Development 1</t>
  </si>
  <si>
    <t>958482</t>
  </si>
  <si>
    <t>Selected Topics in Game Development 2</t>
  </si>
  <si>
    <t>Language and Communication</t>
  </si>
  <si>
    <t>Humanities and Social Sciences</t>
  </si>
  <si>
    <t>050100</t>
  </si>
  <si>
    <t>HUGE 100</t>
  </si>
  <si>
    <t>Usage of The Thai Language</t>
  </si>
  <si>
    <t>109115</t>
  </si>
  <si>
    <t>FAGE 115</t>
  </si>
  <si>
    <t>Life and Aesthetics</t>
  </si>
  <si>
    <t>176100</t>
  </si>
  <si>
    <t>LAGE 100</t>
  </si>
  <si>
    <t>Law and Modern World</t>
  </si>
  <si>
    <t>703103</t>
  </si>
  <si>
    <t>MGMT 103</t>
  </si>
  <si>
    <t>Introduction to Enterpreneurship and Business</t>
  </si>
  <si>
    <t>751100</t>
  </si>
  <si>
    <t>ECON 100</t>
  </si>
  <si>
    <t>Economics for Everyday Life</t>
  </si>
  <si>
    <t>851100</t>
  </si>
  <si>
    <t>MC 100</t>
  </si>
  <si>
    <t>Introduction to Communication</t>
  </si>
  <si>
    <t>207110</t>
  </si>
  <si>
    <t>Physics : The Science that Changed the World</t>
  </si>
  <si>
    <t>208101</t>
  </si>
  <si>
    <t>Statistics for Everyday Life and Work</t>
  </si>
  <si>
    <t>953111</t>
  </si>
  <si>
    <t>Software for Everyday Life</t>
  </si>
  <si>
    <t>955100</t>
  </si>
  <si>
    <t>Learning through Activities 1</t>
  </si>
  <si>
    <t>0-3-1</t>
  </si>
  <si>
    <t>955101</t>
  </si>
  <si>
    <t>Learning through Activities 2</t>
  </si>
  <si>
    <t>057121</t>
  </si>
  <si>
    <t>Football for Life and Exercise</t>
  </si>
  <si>
    <t xml:space="preserve">057122 </t>
  </si>
  <si>
    <t>Swimming for Life and Exercise</t>
  </si>
  <si>
    <t>057125</t>
  </si>
  <si>
    <t>Rhythmic Activities for Life and Exercise</t>
  </si>
  <si>
    <t>057126</t>
  </si>
  <si>
    <t>Basketball for Life and Exercise</t>
  </si>
  <si>
    <t>057127</t>
  </si>
  <si>
    <t>Badminton for Life and Exercise</t>
  </si>
  <si>
    <t>057128</t>
  </si>
  <si>
    <t>Tennis for Life and Exercise</t>
  </si>
  <si>
    <t>057129</t>
  </si>
  <si>
    <t>Table Tennis for Life and Exercise</t>
  </si>
  <si>
    <t>057130</t>
  </si>
  <si>
    <t>Golf for Life and Exercise</t>
  </si>
  <si>
    <t>057131</t>
  </si>
  <si>
    <t>Exercise and Health</t>
  </si>
  <si>
    <t>057133</t>
  </si>
  <si>
    <t>Recreation for Quality of Life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</si>
  <si>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</si>
  <si>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</si>
  <si>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</si>
  <si>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 B302                                          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</si>
  <si>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112</t>
    </r>
  </si>
  <si>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Programming)
อ.ดร.เกียรติกร           C208                                     </t>
    </r>
  </si>
  <si>
    <r>
      <rPr>
        <b/>
        <sz val="11"/>
        <color theme="1"/>
        <rFont val="Sarabun"/>
        <family val="2"/>
        <charset val="222"/>
      </rPr>
      <t xml:space="preserve">958482     </t>
    </r>
    <r>
      <rPr>
        <sz val="11"/>
        <color theme="1"/>
        <rFont val="Sarabun"/>
        <family val="2"/>
        <charset val="222"/>
      </rPr>
      <t xml:space="preserve">   
Sel Topic in Game Dev 2 
(Shader Programming) 
อ.ดร.เกียรติกร              C209                                  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</si>
  <si>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  
114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</si>
  <si>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</si>
  <si>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47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</si>
  <si>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 xml:space="preserve">Game Development 4   /001 (C208),  /002 (C209)                                
47 คน
อ.ดร.เกียรติกร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</si>
  <si>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B302      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</si>
  <si>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958421 
</t>
    </r>
    <r>
      <rPr>
        <sz val="11"/>
        <color rgb="FF000000"/>
        <rFont val="Sarabun"/>
        <family val="2"/>
        <charset val="222"/>
      </rPr>
      <t>Advanced Game Design
อ.ดร.ศุภรา
112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</si>
  <si>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
114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</si>
  <si>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</si>
  <si>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</si>
  <si>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</si>
  <si>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>ชื่อ อ.</t>
  </si>
  <si>
    <t>เวลา</t>
  </si>
  <si>
    <t>ประมาณการอัตรา</t>
  </si>
  <si>
    <t>ผู้สอน/ผู้ดูแล</t>
  </si>
  <si>
    <t xml:space="preserve">วิทยากร </t>
  </si>
  <si>
    <t>Lec</t>
  </si>
  <si>
    <t>Lab</t>
  </si>
  <si>
    <t xml:space="preserve">อ.ดร.เกียรติกร     </t>
  </si>
  <si>
    <t>C208,C209</t>
  </si>
  <si>
    <t>Digital Game industry and Distribution</t>
  </si>
  <si>
    <t>12 ชม.</t>
  </si>
  <si>
    <t>อ.อั๋น กับ บ....ทั้งวิชา</t>
  </si>
  <si>
    <t>1500 / ชม.</t>
  </si>
  <si>
    <t>Serious Games Design and Applications (อ.แจ๋ว)</t>
  </si>
  <si>
    <t xml:space="preserve">อ.ดร.กฤติยา  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</si>
  <si>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</si>
  <si>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</si>
  <si>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</si>
  <si>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</si>
  <si>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</si>
  <si>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</si>
  <si>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>Interactive Applications (UX UI) (อ.มอง)</t>
  </si>
  <si>
    <t xml:space="preserve"> B302  </t>
  </si>
  <si>
    <t>Multiplayer Online Game Development (อ.เอม)</t>
  </si>
  <si>
    <t>เอม Lec Only</t>
  </si>
  <si>
    <t>2 คน</t>
  </si>
  <si>
    <t>Electronics Sports 1(อ.ก้อย)</t>
  </si>
  <si>
    <t>Close</t>
  </si>
  <si>
    <t>Free</t>
  </si>
  <si>
    <t>XXXXXX</t>
  </si>
  <si>
    <t>----------------</t>
  </si>
  <si>
    <t>ขาด</t>
  </si>
  <si>
    <t>ตารางเปรียบเทียบเวลาเรียน นักศึกษาสาขาวิชาดิจิทัลเกม (DG)</t>
  </si>
  <si>
    <t>วัน</t>
  </si>
  <si>
    <t>ชั้นปี</t>
  </si>
  <si>
    <t>จันทร์</t>
  </si>
  <si>
    <t>ปี 1
(56 คน)</t>
  </si>
  <si>
    <t>013110
Psychology and Daily Life</t>
  </si>
  <si>
    <t>001101
Fundamental English 1</t>
  </si>
  <si>
    <t>ปี 2
(55 คน)</t>
  </si>
  <si>
    <t>ปี 3
(56 คน)</t>
  </si>
  <si>
    <t>ปี 4
(48 คน)</t>
  </si>
  <si>
    <t>อังคาร</t>
  </si>
  <si>
    <t>801100
Architecture in Everyday Life</t>
  </si>
  <si>
    <t>140104
Citizenship</t>
  </si>
  <si>
    <t>พุธ</t>
  </si>
  <si>
    <t>พฤหัสบดี</t>
  </si>
  <si>
    <t>ศุกร์</t>
  </si>
  <si>
    <t>958201
MATH FOR COMP GRAPH &amp; GAME
60 คน
ผศ.ดร.กฤติยา
B303</t>
  </si>
  <si>
    <t>001229
Critical Reading &amp; Effective Writing
(เทอม 1)</t>
  </si>
  <si>
    <t>958491 Work Integrated Learning for Digital Game 1
(สหกิจศึกษา 9 หน่วยกิต) — ไม่มีคาบเรียนตายตัว</t>
  </si>
  <si>
    <t>958111/001 &amp; /002
COMP &amp; PROGRAM FOR GAME 1 (Lec)
/001 ผศ.ดร.กฤติยา · /002 ผศ.ดร.ธีรวัฒน์
ILC B304-306</t>
  </si>
  <si>
    <t>958111/001 &amp; /002
COMP &amp; PROGRAM FOR GAME 1 (Lab)
LAB C204+C206</t>
  </si>
  <si>
    <t>958331 (Lec)/sec.001
Database and Network for Game Dev
66 คน · อ.ดร.สุมาลี · C203, C204-C206</t>
  </si>
  <si>
    <t>958221 (Lec)
เปิด 2 Sec. 001/002
55 คน · ผศ.ดร.ปฏิสนธิ์ · B303 / C207, C208-209</t>
  </si>
  <si>
    <t>958221 (Lab)/sec.001-002
ผศ.ดร.ปฏิสนธิ์
C207, C208-209</t>
  </si>
  <si>
    <t>958102/001
Introduction to Digital Games
60 คน
อ.เอ๋ · ILC B304+306
(เรียนยาว 3 ชม. วันอังคารแทน)</t>
  </si>
  <si>
    <t>958211
Data Structure for Game Development
60 คน · ผศ.ดร.เกียรติกร · B303</t>
  </si>
  <si>
    <t>958205
Basic Game Design (Sec.001)
55 คน · อ.มอง · 113, C207, C305</t>
  </si>
  <si>
    <t>958481/003 (เอกเลือก)
Sel Topic in Game Dev1 (Social Network Games)
30 คน · อ.ดร.สุมาลี · B201</t>
  </si>
  <si>
    <t>958441 (เอกเลือก) (Lab)/001
Motion Capture for Game Development
30 คน · ผศ.ดร.ธีรวัฒน์ · Lab 309</t>
  </si>
  <si>
    <r>
      <t xml:space="preserve">958111/002
COMP &amp; PROGRAM FOR GAME 1
30 คน
อ.นพพล  </t>
    </r>
    <r>
      <rPr>
        <strike/>
        <sz val="11"/>
        <color rgb="FF980000"/>
        <rFont val="Sarabun"/>
        <family val="2"/>
        <charset val="222"/>
      </rPr>
      <t xml:space="preserve">คณาจารย์ เปลี่ยนเป็น 
</t>
    </r>
    <r>
      <rPr>
        <strike/>
        <sz val="11"/>
        <color rgb="FF0000FF"/>
        <rFont val="Sarabun"/>
        <family val="2"/>
        <charset val="222"/>
      </rPr>
      <t>ผศ.ดร.ธีรวัฒน์</t>
    </r>
    <r>
      <rPr>
        <strike/>
        <sz val="11"/>
        <color rgb="FF000000"/>
        <rFont val="Sarabun"/>
        <family val="2"/>
        <charset val="222"/>
      </rPr>
      <t xml:space="preserve">
ILC B304-306
ย้ายไปเรียนวันพุธ เนื่องจาก ห้องมีไม่เพียงพอ</t>
    </r>
  </si>
  <si>
    <t>001229
English for Media Arts
(เทอม 1)</t>
  </si>
  <si>
    <t xml:space="preserve">958481/sec.002 (เอกเลือก) 
Sel Topic in Game Dev1 (Basic Game Design)
อ.ดร.ศุภรา · 66 คน · lab C203, C204 - C206    </t>
  </si>
  <si>
    <r>
      <t xml:space="preserve"> (เอกเลือก)   จำนวน 30 คน
 </t>
    </r>
    <r>
      <rPr>
        <b/>
        <strike/>
        <sz val="11"/>
        <color rgb="FF000000"/>
        <rFont val="Sarabun"/>
        <family val="2"/>
        <charset val="222"/>
      </rPr>
      <t>กระบวนวิชา 958481  (ตอนที่ 002)</t>
    </r>
    <r>
      <rPr>
        <strike/>
        <sz val="11"/>
        <color rgb="FF000000"/>
        <rFont val="Sarabun"/>
        <family val="2"/>
        <charset val="222"/>
      </rPr>
      <t xml:space="preserve">
 Sel Topic in Game  Dev1 ( prog patterns )
 อ.ดร.เกียรติกร (C309)  ย้ายไปห้อง C307</t>
    </r>
  </si>
  <si>
    <t>951212
3D Modeling and Animation Design 2 (Lec)
อ.ดร.กลวัชร · C205</t>
  </si>
  <si>
    <t xml:space="preserve">958331 (Lab)/sec.001/sec.002
Database and Network for Game Dev
อ.ดร.สุมาลี · 66 คน · lab C203, C204 - C206    </t>
  </si>
  <si>
    <t>958321/sec.001
Game Development 3 (Lec)
66 คน · อ.ดร.เกียรติกร · C203, C204-C206</t>
  </si>
  <si>
    <t>958321/sec.001
Game Development 3 (Lab)
66 คน · อ.ดร.เกียรติกร · C203, C204-C206</t>
  </si>
  <si>
    <t>958481/003 (เอกเลือก)
Sel Topic in Game Dev1 (Social Network Games)
อ.ดร.สุมาลี · 30 คน · B201</t>
  </si>
  <si>
    <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958481/sec.001 </t>
    </r>
    <r>
      <rPr>
        <sz val="11"/>
        <color theme="1"/>
        <rFont val="Sarabun"/>
        <family val="2"/>
        <charset val="222"/>
      </rPr>
      <t xml:space="preserve">    C305 จำนวน 30 คน 
</t>
    </r>
    <r>
      <rPr>
        <b/>
        <sz val="11"/>
        <color rgb="FF980000"/>
        <rFont val="Sarabun"/>
        <family val="2"/>
        <charset val="222"/>
      </rPr>
      <t>ปรับแก้ไข จำนวน จาก 30 คน เป็น 25 คน (19 พค.68)</t>
    </r>
    <r>
      <rPr>
        <sz val="11"/>
        <color theme="1"/>
        <rFont val="Sarabun"/>
        <family val="2"/>
        <charset val="222"/>
      </rPr>
      <t xml:space="preserve">
Sel Topic in Game Dev1 (Virtual Reality) (VR)  อ.ดร.เทพฤทธิ์    
                           </t>
    </r>
  </si>
  <si>
    <t>958481/sec.001 (เอกเลือก)   
Sel Topic in Game Dev1 (Virtual Reality) (VR)  
อ.ดร.เทพฤทธิ์ · 25 คน ·  C305</t>
  </si>
  <si>
    <r>
      <t xml:space="preserve">(เอกเลือก)  
</t>
    </r>
    <r>
      <rPr>
        <b/>
        <sz val="11"/>
        <color rgb="FF000000"/>
        <rFont val="Sarabun"/>
        <family val="2"/>
        <charset val="222"/>
      </rPr>
      <t xml:space="preserve">958441  (รับเด็ก 30 คน)    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   (112)                         </t>
    </r>
    <r>
      <rPr>
        <sz val="11"/>
        <color rgb="FF000000"/>
        <rFont val="Sarabun"/>
        <family val="2"/>
        <charset val="222"/>
      </rPr>
      <t xml:space="preserve">    </t>
    </r>
  </si>
  <si>
    <r>
      <t xml:space="preserve">(เอกเลือก)  
</t>
    </r>
    <r>
      <rPr>
        <b/>
        <sz val="11"/>
        <color rgb="FF000000"/>
        <rFont val="Sarabun"/>
        <family val="2"/>
        <charset val="222"/>
      </rPr>
      <t xml:space="preserve">958441 LAB  / 001    </t>
    </r>
    <r>
      <rPr>
        <sz val="11"/>
        <color rgb="FF000000"/>
        <rFont val="Sarabun"/>
        <family val="2"/>
        <charset val="222"/>
      </rPr>
      <t xml:space="preserve"> </t>
    </r>
    <r>
      <rPr>
        <b/>
        <sz val="11"/>
        <color rgb="FF000000"/>
        <rFont val="Sarabun"/>
        <family val="2"/>
        <charset val="222"/>
      </rPr>
      <t>(จำนวนที่รองรับได้ 30 คน)</t>
    </r>
    <r>
      <rPr>
        <sz val="11"/>
        <color rgb="FF000000"/>
        <rFont val="Sarabun"/>
        <family val="2"/>
        <charset val="222"/>
      </rPr>
      <t xml:space="preserve">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   (Lab : 309) </t>
    </r>
  </si>
  <si>
    <t xml:space="preserve">958441 (เอกเลือก) (Lec)/001
Motion Capture for Game Development
30 คน · ผศ.ดร.ธีรวัฒน์ · 112       </t>
  </si>
  <si>
    <t>958481/004 (เอกเลือก)
Sel Topic (Adv UE5)
อ.ดร.เทพฤทธิ์ · C305 · 30 คน</t>
  </si>
  <si>
    <t>958201
MATH FOR COMP GRAPH &amp; GAME
ผศ.ดร.กฤติยา · 60 คน · B303</t>
  </si>
  <si>
    <t>951212
3D Modeling and Animation Design 2 (Lab)
อ.ดร.กลวัชร · C205</t>
  </si>
  <si>
    <t>955104 (Sec.001)
อ.ดร.ศุภรา · 20 คน (เด็กตกค้าง รหัส 65) ·ILC B202</t>
  </si>
  <si>
    <t>958325/001
Artificial Intelligence for Game Development
อ.ดร.ปฏิสนธิ์ · 75 คน · C203, C204-C206</t>
  </si>
  <si>
    <t>958211
Data Structure for Game Development
ผศ.ดร.เกียรติกร 60 คน B303 (Sec001)</t>
  </si>
  <si>
    <t>958225
Digital Game Production (Sec.001)
อ.ดร.ศุภรา ILC B302, C208+C209</t>
  </si>
  <si>
    <t>958102/001
Introduction to Digital Games
ผศ.ดร.ธีรวัฒน์ 60 คน ILC B304+B306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</si>
</sst>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89">
    <font>
      <sz val="10"/>
      <color rgb="FF000000"/>
      <name val="Calibri"/>
      <scheme val="minor"/>
    </font>
    <font>
      <b/>
      <sz val="11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0"/>
      <color rgb="FF000000"/>
      <name val="Arial"/>
      <family val="2"/>
    </font>
    <font>
      <b/>
      <sz val="11"/>
      <color rgb="FF000000"/>
      <name val="Sarabun"/>
      <family val="2"/>
      <charset val="222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  <family val="2"/>
      <charset val="22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  <family val="2"/>
      <charset val="222"/>
    </font>
    <font>
      <sz val="10"/>
      <color theme="1"/>
      <name val="Calibri"/>
      <family val="2"/>
      <scheme val="minor"/>
    </font>
    <font>
      <b/>
      <sz val="10"/>
      <color theme="1"/>
      <name val="Sarabun"/>
      <family val="2"/>
      <charset val="222"/>
    </font>
    <font>
      <b/>
      <sz val="9"/>
      <color theme="1"/>
      <name val="Sarabun"/>
      <family val="2"/>
      <charset val="222"/>
    </font>
    <font>
      <sz val="9"/>
      <color rgb="FF000000"/>
      <name val="Tahoma"/>
      <family val="2"/>
    </font>
    <font>
      <sz val="11"/>
      <color theme="1"/>
      <name val="Sarabun"/>
      <family val="2"/>
      <charset val="222"/>
    </font>
    <font>
      <sz val="9"/>
      <color theme="1"/>
      <name val="Sarabun"/>
      <family val="2"/>
      <charset val="222"/>
    </font>
    <font>
      <sz val="9"/>
      <color rgb="FF000000"/>
      <name val="Cordia New"/>
      <family val="2"/>
    </font>
    <font>
      <sz val="10"/>
      <color theme="1"/>
      <name val="Sarabun"/>
      <family val="2"/>
      <charset val="222"/>
    </font>
    <font>
      <sz val="9"/>
      <color theme="1"/>
      <name val="Calibri"/>
      <family val="2"/>
    </font>
    <font>
      <sz val="8"/>
      <color theme="1"/>
      <name val="Sarabun"/>
      <family val="2"/>
      <charset val="222"/>
    </font>
    <font>
      <sz val="9"/>
      <color rgb="FF000000"/>
      <name val="Sarabun"/>
      <family val="2"/>
      <charset val="222"/>
    </font>
    <font>
      <strike/>
      <sz val="11"/>
      <color rgb="FF000000"/>
      <name val="Sarabun"/>
      <family val="2"/>
      <charset val="222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b/>
      <sz val="14"/>
      <color rgb="FF000000"/>
      <name val="Sarabun"/>
      <family val="2"/>
      <charset val="222"/>
    </font>
    <font>
      <b/>
      <sz val="12"/>
      <color theme="1"/>
      <name val="Sarabun"/>
      <family val="2"/>
      <charset val="222"/>
    </font>
    <font>
      <sz val="14"/>
      <color theme="1"/>
      <name val="Sarabun"/>
      <family val="2"/>
      <charset val="222"/>
    </font>
    <font>
      <b/>
      <sz val="14"/>
      <color theme="1"/>
      <name val="Sarabun"/>
      <family val="2"/>
      <charset val="222"/>
    </font>
    <font>
      <sz val="14"/>
      <color theme="1"/>
      <name val="Calibri"/>
      <family val="2"/>
      <scheme val="minor"/>
    </font>
    <font>
      <sz val="10"/>
      <color rgb="FFFF0000"/>
      <name val="Sarabun"/>
      <family val="2"/>
      <charset val="222"/>
    </font>
    <font>
      <sz val="14"/>
      <color rgb="FF000000"/>
      <name val="Sarabun"/>
      <family val="2"/>
      <charset val="222"/>
    </font>
    <font>
      <sz val="14"/>
      <color rgb="FFFF0000"/>
      <name val="Sarabun"/>
      <family val="2"/>
      <charset val="222"/>
    </font>
    <font>
      <sz val="10"/>
      <color rgb="FF000000"/>
      <name val="Sarabun"/>
      <family val="2"/>
      <charset val="222"/>
    </font>
    <font>
      <sz val="11"/>
      <color rgb="FFFF0000"/>
      <name val="Sarabun"/>
      <family val="2"/>
      <charset val="222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00"/>
      <name val="Cordia New"/>
      <family val="2"/>
    </font>
    <font>
      <b/>
      <sz val="10"/>
      <color theme="1"/>
      <name val="Sarabun"/>
      <family val="2"/>
      <charset val="222"/>
    </font>
    <font>
      <sz val="11"/>
      <color rgb="FF980000"/>
      <name val="Sarabun"/>
      <family val="2"/>
      <charset val="222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trike/>
      <sz val="14"/>
      <color rgb="FF980000"/>
      <name val="Sarabun"/>
      <family val="2"/>
      <charset val="222"/>
    </font>
    <font>
      <strike/>
      <sz val="14"/>
      <color rgb="FF980000"/>
      <name val="Sarabun"/>
      <family val="2"/>
      <charset val="222"/>
    </font>
    <font>
      <b/>
      <sz val="12"/>
      <color rgb="FFFF0000"/>
      <name val="Sarabun"/>
      <family val="2"/>
      <charset val="222"/>
    </font>
    <font>
      <sz val="8"/>
      <color rgb="FFFF0000"/>
      <name val="Sarabun"/>
      <family val="2"/>
      <charset val="222"/>
    </font>
    <font>
      <b/>
      <sz val="18"/>
      <color rgb="FF98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rgb="FF980000"/>
      <name val="TH SarabunPSK"/>
      <family val="2"/>
    </font>
    <font>
      <b/>
      <sz val="10"/>
      <color theme="1"/>
      <name val="Calibri"/>
      <family val="2"/>
      <scheme val="minor"/>
    </font>
    <font>
      <sz val="8"/>
      <color rgb="FF000000"/>
      <name val="Sarabun"/>
      <family val="2"/>
      <charset val="222"/>
    </font>
    <font>
      <sz val="12"/>
      <color rgb="FFFF0000"/>
      <name val="Sarabun"/>
      <family val="2"/>
      <charset val="222"/>
    </font>
    <font>
      <b/>
      <sz val="10"/>
      <color rgb="FFFFFFFF"/>
      <name val="Sarabun"/>
      <family val="2"/>
      <charset val="222"/>
    </font>
    <font>
      <sz val="10"/>
      <color rgb="FFFFFFFF"/>
      <name val="Calibri"/>
      <family val="2"/>
    </font>
    <font>
      <sz val="11"/>
      <color rgb="FFFFFFFF"/>
      <name val="Sarabun"/>
      <family val="2"/>
      <charset val="222"/>
    </font>
    <font>
      <b/>
      <strike/>
      <sz val="11"/>
      <color rgb="FF000000"/>
      <name val="Sarabun"/>
      <family val="2"/>
      <charset val="222"/>
    </font>
    <font>
      <strike/>
      <sz val="11"/>
      <color rgb="FF980000"/>
      <name val="Sarabun"/>
      <family val="2"/>
      <charset val="222"/>
    </font>
    <font>
      <strike/>
      <sz val="11"/>
      <color rgb="FF0000FF"/>
      <name val="Sarabun"/>
      <family val="2"/>
      <charset val="222"/>
    </font>
    <font>
      <sz val="11"/>
      <color rgb="FF0000FF"/>
      <name val="Sarabun"/>
      <family val="2"/>
      <charset val="222"/>
    </font>
    <font>
      <b/>
      <sz val="11"/>
      <color rgb="FF980000"/>
      <name val="Sarabun"/>
      <family val="2"/>
      <charset val="222"/>
    </font>
    <font>
      <b/>
      <strike/>
      <sz val="11"/>
      <color rgb="FFCC0000"/>
      <name val="Sarabun"/>
      <family val="2"/>
      <charset val="222"/>
    </font>
    <font>
      <b/>
      <sz val="11"/>
      <color rgb="FFCC0000"/>
      <name val="Sarabun"/>
      <family val="2"/>
      <charset val="222"/>
    </font>
    <font>
      <strike/>
      <sz val="11"/>
      <color rgb="FFE69138"/>
      <name val="Sarabun"/>
      <family val="2"/>
      <charset val="222"/>
    </font>
    <font>
      <strike/>
      <sz val="12"/>
      <color rgb="FF000000"/>
      <name val="Sarabun"/>
      <family val="2"/>
      <charset val="222"/>
    </font>
    <font>
      <sz val="11"/>
      <color rgb="FFE69138"/>
      <name val="Sarabun"/>
      <family val="2"/>
      <charset val="222"/>
    </font>
    <font>
      <sz val="11"/>
      <color theme="0"/>
      <name val="Sarabun"/>
      <family val="2"/>
      <charset val="222"/>
    </font>
    <font>
      <b/>
      <strike/>
      <sz val="10"/>
      <color theme="1"/>
      <name val="Sarabun"/>
      <family val="2"/>
      <charset val="222"/>
    </font>
    <font>
      <b/>
      <sz val="10"/>
      <color rgb="FF980000"/>
      <name val="Sarabun"/>
      <family val="2"/>
      <charset val="222"/>
    </font>
    <font>
      <sz val="11"/>
      <color rgb="FF980000"/>
      <name val="Sarabun,Arial"/>
    </font>
    <font>
      <sz val="11"/>
      <color rgb="FF000000"/>
      <name val="Sarabun,Arial"/>
    </font>
    <font>
      <b/>
      <sz val="11"/>
      <color rgb="FF980000"/>
      <name val="Sarabun,Arial"/>
    </font>
    <font>
      <sz val="11"/>
      <color rgb="FF274E13"/>
      <name val="Sarabun,Arial"/>
    </font>
    <font>
      <sz val="11"/>
      <color rgb="FFFF00FF"/>
      <name val="Sarabun"/>
      <family val="2"/>
      <charset val="222"/>
    </font>
    <font>
      <b/>
      <strike/>
      <sz val="11"/>
      <color rgb="FF980000"/>
      <name val="Sarabun"/>
      <family val="2"/>
      <charset val="222"/>
    </font>
    <font>
      <strike/>
      <sz val="10"/>
      <color rgb="FF980000"/>
      <name val="Sarabun"/>
      <family val="2"/>
      <charset val="222"/>
    </font>
    <font>
      <sz val="10"/>
      <color rgb="FF980000"/>
      <name val="Sarabun"/>
      <family val="2"/>
      <charset val="222"/>
    </font>
    <font>
      <b/>
      <sz val="10"/>
      <color rgb="FFFF0000"/>
      <name val="Sarabun"/>
      <family val="2"/>
      <charset val="222"/>
    </font>
    <font>
      <sz val="10"/>
      <color rgb="FF000000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rgb="FF000000"/>
      <name val="Calibri"/>
      <family val="2"/>
    </font>
    <font>
      <sz val="8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000000"/>
      </left>
      <right style="thin">
        <color rgb="FF888888"/>
      </right>
      <top style="medium">
        <color rgb="FF000000"/>
      </top>
      <bottom/>
      <diagonal/>
    </border>
    <border>
      <left style="medium">
        <color rgb="FF000000"/>
      </left>
      <right style="thin">
        <color rgb="FF888888"/>
      </right>
      <top/>
      <bottom/>
      <diagonal/>
    </border>
    <border>
      <left style="medium">
        <color rgb="FF000000"/>
      </left>
      <right style="thin">
        <color rgb="FF888888"/>
      </right>
      <top/>
      <bottom style="medium">
        <color rgb="FF000000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rgb="FF888888"/>
      </right>
      <top style="medium">
        <color indexed="64"/>
      </top>
      <bottom/>
      <diagonal/>
    </border>
    <border>
      <left style="medium">
        <color indexed="64"/>
      </left>
      <right style="thin">
        <color rgb="FF888888"/>
      </right>
      <top/>
      <bottom/>
      <diagonal/>
    </border>
    <border>
      <left style="medium">
        <color indexed="64"/>
      </left>
      <right style="thin">
        <color rgb="FF888888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rgb="FF888888"/>
      </bottom>
      <diagonal/>
    </border>
    <border>
      <left style="medium">
        <color rgb="FF000000"/>
      </left>
      <right style="thin">
        <color rgb="FF888888"/>
      </right>
      <top/>
      <bottom style="medium">
        <color indexed="64"/>
      </bottom>
      <diagonal/>
    </border>
    <border>
      <left style="thin">
        <color rgb="FF888888"/>
      </left>
      <right/>
      <top style="medium">
        <color rgb="FF000000"/>
      </top>
      <bottom/>
      <diagonal/>
    </border>
    <border>
      <left/>
      <right/>
      <top style="thin">
        <color rgb="FF888888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thin">
        <color rgb="FF888888"/>
      </left>
      <right style="medium">
        <color indexed="64"/>
      </right>
      <top style="thin">
        <color rgb="FF888888"/>
      </top>
      <bottom/>
      <diagonal/>
    </border>
    <border>
      <left style="thin">
        <color rgb="FF888888"/>
      </left>
      <right style="medium">
        <color indexed="64"/>
      </right>
      <top/>
      <bottom style="thin">
        <color rgb="FF888888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FF0000"/>
      </left>
      <right style="thin">
        <color theme="0" tint="-0.499984740745262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rgb="FFFF0000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rgb="FFFF0000"/>
      </top>
      <bottom style="thin">
        <color theme="0" tint="-0.34998626667073579"/>
      </bottom>
      <diagonal/>
    </border>
    <border>
      <left/>
      <right/>
      <top style="medium">
        <color rgb="FFFF0000"/>
      </top>
      <bottom style="thin">
        <color theme="0" tint="-0.34998626667073579"/>
      </bottom>
      <diagonal/>
    </border>
    <border>
      <left/>
      <right style="medium">
        <color rgb="FFFF0000"/>
      </right>
      <top style="medium">
        <color rgb="FFFF0000"/>
      </top>
      <bottom style="thin">
        <color theme="0" tint="-0.34998626667073579"/>
      </bottom>
      <diagonal/>
    </border>
    <border>
      <left style="medium">
        <color rgb="FFFF0000"/>
      </left>
      <right/>
      <top style="thin">
        <color theme="0" tint="-0.34998626667073579"/>
      </top>
      <bottom style="medium">
        <color rgb="FFFF0000"/>
      </bottom>
      <diagonal/>
    </border>
    <border>
      <left/>
      <right/>
      <top style="thin">
        <color theme="0" tint="-0.34998626667073579"/>
      </top>
      <bottom style="medium">
        <color rgb="FFFF0000"/>
      </bottom>
      <diagonal/>
    </border>
    <border>
      <left/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FF0000"/>
      </right>
      <top style="medium">
        <color rgb="FFFF0000"/>
      </top>
      <bottom style="thin">
        <color theme="0" tint="-0.34998626667073579"/>
      </bottom>
      <diagonal/>
    </border>
    <border>
      <left style="medium">
        <color rgb="FFFF000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FF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FF0000"/>
      </bottom>
      <diagonal/>
    </border>
  </borders>
  <cellStyleXfs count="1">
    <xf numFmtId="0" fontId="0" fillId="0" borderId="0"/>
  </cellStyleXfs>
  <cellXfs count="557"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10" fillId="0" borderId="0" xfId="0" applyFont="1" applyAlignment="1">
      <alignment horizontal="center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wrapText="1"/>
    </xf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0" xfId="0" applyFont="1" applyAlignment="1">
      <alignment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wrapText="1"/>
    </xf>
    <xf numFmtId="0" fontId="11" fillId="0" borderId="17" xfId="0" applyFont="1" applyBorder="1" applyAlignment="1">
      <alignment horizontal="center"/>
    </xf>
    <xf numFmtId="0" fontId="11" fillId="0" borderId="0" xfId="0" applyFont="1"/>
    <xf numFmtId="0" fontId="11" fillId="0" borderId="20" xfId="0" applyFont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3" xfId="0" applyFont="1" applyBorder="1"/>
    <xf numFmtId="0" fontId="11" fillId="0" borderId="14" xfId="0" applyFont="1" applyBorder="1"/>
    <xf numFmtId="0" fontId="11" fillId="0" borderId="17" xfId="0" applyFont="1" applyBorder="1"/>
    <xf numFmtId="0" fontId="11" fillId="0" borderId="7" xfId="0" applyFont="1" applyBorder="1" applyAlignment="1">
      <alignment horizontal="center" vertical="center" wrapText="1"/>
    </xf>
    <xf numFmtId="0" fontId="8" fillId="0" borderId="0" xfId="0" applyFont="1"/>
    <xf numFmtId="0" fontId="11" fillId="0" borderId="16" xfId="0" applyFont="1" applyBorder="1" applyAlignment="1">
      <alignment horizontal="center" vertical="center" wrapText="1"/>
    </xf>
    <xf numFmtId="0" fontId="2" fillId="14" borderId="2" xfId="0" applyFont="1" applyFill="1" applyBorder="1"/>
    <xf numFmtId="0" fontId="2" fillId="0" borderId="3" xfId="0" applyFont="1" applyBorder="1"/>
    <xf numFmtId="0" fontId="2" fillId="0" borderId="23" xfId="0" applyFont="1" applyBorder="1"/>
    <xf numFmtId="0" fontId="2" fillId="0" borderId="10" xfId="0" applyFont="1" applyBorder="1"/>
    <xf numFmtId="0" fontId="2" fillId="0" borderId="13" xfId="0" applyFont="1" applyBorder="1"/>
    <xf numFmtId="0" fontId="15" fillId="0" borderId="0" xfId="0" applyFont="1"/>
    <xf numFmtId="0" fontId="1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7" fillId="15" borderId="12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left" wrapText="1"/>
    </xf>
    <xf numFmtId="0" fontId="11" fillId="6" borderId="0" xfId="0" applyFont="1" applyFill="1" applyAlignment="1">
      <alignment horizontal="right"/>
    </xf>
    <xf numFmtId="0" fontId="1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0" fillId="6" borderId="24" xfId="0" applyFont="1" applyFill="1" applyBorder="1" applyAlignment="1">
      <alignment wrapText="1"/>
    </xf>
    <xf numFmtId="0" fontId="17" fillId="6" borderId="24" xfId="0" applyFont="1" applyFill="1" applyBorder="1" applyAlignment="1">
      <alignment horizontal="center" wrapText="1"/>
    </xf>
    <xf numFmtId="0" fontId="17" fillId="6" borderId="24" xfId="0" applyFont="1" applyFill="1" applyBorder="1" applyAlignment="1">
      <alignment horizontal="right" wrapText="1"/>
    </xf>
    <xf numFmtId="164" fontId="17" fillId="6" borderId="24" xfId="0" applyNumberFormat="1" applyFont="1" applyFill="1" applyBorder="1" applyAlignment="1">
      <alignment horizontal="right" wrapText="1"/>
    </xf>
    <xf numFmtId="0" fontId="11" fillId="13" borderId="0" xfId="0" applyFont="1" applyFill="1" applyAlignment="1">
      <alignment horizontal="center"/>
    </xf>
    <xf numFmtId="49" fontId="1" fillId="13" borderId="0" xfId="0" applyNumberFormat="1" applyFont="1" applyFill="1" applyAlignment="1">
      <alignment horizontal="left" wrapText="1"/>
    </xf>
    <xf numFmtId="0" fontId="11" fillId="13" borderId="0" xfId="0" applyFont="1" applyFill="1" applyAlignment="1">
      <alignment horizontal="right"/>
    </xf>
    <xf numFmtId="0" fontId="21" fillId="0" borderId="0" xfId="0" applyFont="1"/>
    <xf numFmtId="0" fontId="20" fillId="13" borderId="24" xfId="0" applyFont="1" applyFill="1" applyBorder="1" applyAlignment="1">
      <alignment wrapText="1"/>
    </xf>
    <xf numFmtId="164" fontId="17" fillId="13" borderId="24" xfId="0" applyNumberFormat="1" applyFont="1" applyFill="1" applyBorder="1" applyAlignment="1">
      <alignment horizontal="right" wrapText="1"/>
    </xf>
    <xf numFmtId="49" fontId="5" fillId="5" borderId="25" xfId="0" applyNumberFormat="1" applyFont="1" applyFill="1" applyBorder="1" applyAlignment="1">
      <alignment horizontal="left"/>
    </xf>
    <xf numFmtId="0" fontId="11" fillId="5" borderId="0" xfId="0" applyFont="1" applyFill="1" applyAlignment="1">
      <alignment horizontal="right"/>
    </xf>
    <xf numFmtId="0" fontId="21" fillId="0" borderId="0" xfId="0" applyFont="1" applyAlignment="1">
      <alignment wrapText="1"/>
    </xf>
    <xf numFmtId="49" fontId="5" fillId="9" borderId="25" xfId="0" applyNumberFormat="1" applyFont="1" applyFill="1" applyBorder="1" applyAlignment="1">
      <alignment horizontal="left"/>
    </xf>
    <xf numFmtId="0" fontId="11" fillId="9" borderId="0" xfId="0" applyFont="1" applyFill="1" applyAlignment="1">
      <alignment horizontal="right"/>
    </xf>
    <xf numFmtId="49" fontId="5" fillId="17" borderId="25" xfId="0" applyNumberFormat="1" applyFont="1" applyFill="1" applyBorder="1" applyAlignment="1">
      <alignment horizontal="left"/>
    </xf>
    <xf numFmtId="0" fontId="11" fillId="17" borderId="0" xfId="0" applyFont="1" applyFill="1" applyAlignment="1">
      <alignment horizontal="right"/>
    </xf>
    <xf numFmtId="49" fontId="5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7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0" xfId="0" applyFont="1" applyBorder="1" applyAlignment="1">
      <alignment vertical="center"/>
    </xf>
    <xf numFmtId="0" fontId="2" fillId="12" borderId="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12" fillId="0" borderId="0" xfId="0" applyFont="1" applyAlignment="1">
      <alignment wrapText="1"/>
    </xf>
    <xf numFmtId="0" fontId="6" fillId="0" borderId="11" xfId="0" applyFont="1" applyBorder="1"/>
    <xf numFmtId="0" fontId="12" fillId="0" borderId="7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23" fillId="16" borderId="13" xfId="0" applyFont="1" applyFill="1" applyBorder="1" applyAlignment="1">
      <alignment horizontal="center" vertical="center" wrapText="1"/>
    </xf>
    <xf numFmtId="0" fontId="23" fillId="16" borderId="14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23" fillId="16" borderId="17" xfId="0" applyFont="1" applyFill="1" applyBorder="1" applyAlignment="1">
      <alignment horizontal="center" vertical="center" wrapText="1"/>
    </xf>
    <xf numFmtId="0" fontId="9" fillId="0" borderId="0" xfId="0" applyFont="1"/>
    <xf numFmtId="0" fontId="2" fillId="12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" fillId="9" borderId="2" xfId="0" applyFont="1" applyFill="1" applyBorder="1" applyAlignment="1">
      <alignment horizontal="center"/>
    </xf>
    <xf numFmtId="49" fontId="8" fillId="9" borderId="2" xfId="0" applyNumberFormat="1" applyFont="1" applyFill="1" applyBorder="1" applyAlignment="1">
      <alignment horizontal="left" wrapText="1"/>
    </xf>
    <xf numFmtId="49" fontId="2" fillId="9" borderId="2" xfId="0" applyNumberFormat="1" applyFont="1" applyFill="1" applyBorder="1" applyAlignment="1">
      <alignment horizontal="left"/>
    </xf>
    <xf numFmtId="49" fontId="2" fillId="9" borderId="2" xfId="0" applyNumberFormat="1" applyFont="1" applyFill="1" applyBorder="1" applyAlignment="1">
      <alignment horizontal="left" wrapText="1"/>
    </xf>
    <xf numFmtId="49" fontId="30" fillId="0" borderId="2" xfId="0" applyNumberFormat="1" applyFont="1" applyBorder="1" applyAlignment="1">
      <alignment horizontal="center" wrapText="1"/>
    </xf>
    <xf numFmtId="0" fontId="2" fillId="25" borderId="2" xfId="0" applyFont="1" applyFill="1" applyBorder="1" applyAlignment="1">
      <alignment horizontal="center"/>
    </xf>
    <xf numFmtId="49" fontId="8" fillId="25" borderId="2" xfId="0" applyNumberFormat="1" applyFont="1" applyFill="1" applyBorder="1" applyAlignment="1">
      <alignment horizontal="left" wrapText="1"/>
    </xf>
    <xf numFmtId="0" fontId="30" fillId="0" borderId="2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2" fillId="0" borderId="0" xfId="0" applyFont="1" applyAlignment="1">
      <alignment horizontal="center"/>
    </xf>
    <xf numFmtId="0" fontId="12" fillId="0" borderId="24" xfId="0" applyFont="1" applyBorder="1" applyAlignment="1">
      <alignment wrapText="1"/>
    </xf>
    <xf numFmtId="0" fontId="20" fillId="0" borderId="24" xfId="0" applyFont="1" applyBorder="1" applyAlignment="1">
      <alignment wrapText="1"/>
    </xf>
    <xf numFmtId="0" fontId="17" fillId="0" borderId="24" xfId="0" applyFont="1" applyBorder="1" applyAlignment="1">
      <alignment horizontal="center" wrapText="1"/>
    </xf>
    <xf numFmtId="0" fontId="17" fillId="0" borderId="24" xfId="0" applyFont="1" applyBorder="1" applyAlignment="1">
      <alignment horizontal="right" wrapText="1"/>
    </xf>
    <xf numFmtId="164" fontId="17" fillId="0" borderId="24" xfId="0" applyNumberFormat="1" applyFont="1" applyBorder="1" applyAlignment="1">
      <alignment horizontal="right" wrapText="1"/>
    </xf>
    <xf numFmtId="0" fontId="2" fillId="19" borderId="2" xfId="0" applyFont="1" applyFill="1" applyBorder="1" applyAlignment="1">
      <alignment horizontal="center"/>
    </xf>
    <xf numFmtId="49" fontId="8" fillId="19" borderId="2" xfId="0" applyNumberFormat="1" applyFont="1" applyFill="1" applyBorder="1" applyAlignment="1">
      <alignment horizontal="left" wrapText="1"/>
    </xf>
    <xf numFmtId="0" fontId="33" fillId="0" borderId="0" xfId="0" applyFont="1" applyAlignment="1">
      <alignment wrapText="1"/>
    </xf>
    <xf numFmtId="164" fontId="14" fillId="0" borderId="24" xfId="0" applyNumberFormat="1" applyFont="1" applyBorder="1" applyAlignment="1">
      <alignment horizontal="right" wrapText="1"/>
    </xf>
    <xf numFmtId="0" fontId="2" fillId="13" borderId="2" xfId="0" applyFont="1" applyFill="1" applyBorder="1" applyAlignment="1">
      <alignment horizontal="center"/>
    </xf>
    <xf numFmtId="49" fontId="8" fillId="13" borderId="2" xfId="0" applyNumberFormat="1" applyFont="1" applyFill="1" applyBorder="1" applyAlignment="1">
      <alignment horizontal="left" wrapText="1"/>
    </xf>
    <xf numFmtId="0" fontId="34" fillId="0" borderId="0" xfId="0" applyFont="1" applyAlignment="1">
      <alignment horizontal="left" wrapText="1"/>
    </xf>
    <xf numFmtId="0" fontId="32" fillId="13" borderId="24" xfId="0" applyFont="1" applyFill="1" applyBorder="1" applyAlignment="1">
      <alignment horizontal="center"/>
    </xf>
    <xf numFmtId="0" fontId="10" fillId="13" borderId="24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49" fontId="8" fillId="26" borderId="2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3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8" fillId="4" borderId="2" xfId="0" applyNumberFormat="1" applyFont="1" applyFill="1" applyBorder="1" applyAlignment="1">
      <alignment horizontal="left" wrapText="1"/>
    </xf>
    <xf numFmtId="0" fontId="35" fillId="0" borderId="0" xfId="0" applyFont="1"/>
    <xf numFmtId="0" fontId="32" fillId="4" borderId="24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6" fillId="0" borderId="2" xfId="0" applyFont="1" applyBorder="1" applyAlignment="1">
      <alignment wrapText="1"/>
    </xf>
    <xf numFmtId="0" fontId="32" fillId="0" borderId="2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2" fillId="21" borderId="0" xfId="0" applyFont="1" applyFill="1" applyAlignment="1">
      <alignment horizontal="center"/>
    </xf>
    <xf numFmtId="49" fontId="8" fillId="21" borderId="0" xfId="0" applyNumberFormat="1" applyFont="1" applyFill="1" applyAlignment="1">
      <alignment horizontal="center" wrapText="1"/>
    </xf>
    <xf numFmtId="0" fontId="30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3" fillId="27" borderId="0" xfId="0" applyFont="1" applyFill="1" applyAlignment="1">
      <alignment horizontal="center" wrapText="1"/>
    </xf>
    <xf numFmtId="49" fontId="8" fillId="27" borderId="0" xfId="0" applyNumberFormat="1" applyFont="1" applyFill="1" applyAlignment="1">
      <alignment horizontal="center" wrapText="1"/>
    </xf>
    <xf numFmtId="0" fontId="32" fillId="0" borderId="0" xfId="0" applyFont="1" applyAlignment="1">
      <alignment horizontal="left" wrapText="1"/>
    </xf>
    <xf numFmtId="0" fontId="37" fillId="0" borderId="0" xfId="0" applyFont="1"/>
    <xf numFmtId="0" fontId="32" fillId="27" borderId="24" xfId="0" applyFont="1" applyFill="1" applyBorder="1" applyAlignment="1">
      <alignment horizontal="center"/>
    </xf>
    <xf numFmtId="0" fontId="37" fillId="27" borderId="24" xfId="0" applyFont="1" applyFill="1" applyBorder="1"/>
    <xf numFmtId="0" fontId="10" fillId="27" borderId="24" xfId="0" applyFont="1" applyFill="1" applyBorder="1" applyAlignment="1">
      <alignment horizontal="center"/>
    </xf>
    <xf numFmtId="49" fontId="5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38" fillId="0" borderId="0" xfId="0" applyFont="1" applyAlignment="1">
      <alignment vertical="center" wrapText="1"/>
    </xf>
    <xf numFmtId="0" fontId="8" fillId="0" borderId="1" xfId="0" applyFont="1" applyBorder="1" applyAlignment="1">
      <alignment horizontal="right"/>
    </xf>
    <xf numFmtId="0" fontId="11" fillId="0" borderId="0" xfId="0" applyFon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11" fillId="0" borderId="20" xfId="0" applyFont="1" applyBorder="1"/>
    <xf numFmtId="0" fontId="11" fillId="0" borderId="0" xfId="0" applyFont="1" applyAlignment="1">
      <alignment horizontal="center" vertical="center"/>
    </xf>
    <xf numFmtId="0" fontId="41" fillId="0" borderId="0" xfId="0" applyFont="1" applyAlignment="1">
      <alignment wrapText="1"/>
    </xf>
    <xf numFmtId="0" fontId="32" fillId="13" borderId="0" xfId="0" applyFont="1" applyFill="1" applyAlignment="1">
      <alignment horizontal="center"/>
    </xf>
    <xf numFmtId="0" fontId="26" fillId="13" borderId="0" xfId="0" applyFont="1" applyFill="1" applyAlignment="1">
      <alignment horizontal="left" wrapText="1"/>
    </xf>
    <xf numFmtId="0" fontId="32" fillId="13" borderId="0" xfId="0" applyFont="1" applyFill="1" applyAlignment="1">
      <alignment wrapText="1"/>
    </xf>
    <xf numFmtId="49" fontId="32" fillId="13" borderId="0" xfId="0" applyNumberFormat="1" applyFont="1" applyFill="1" applyAlignment="1">
      <alignment wrapText="1"/>
    </xf>
    <xf numFmtId="0" fontId="19" fillId="0" borderId="0" xfId="0" applyFont="1" applyAlignment="1">
      <alignment horizontal="left"/>
    </xf>
    <xf numFmtId="0" fontId="42" fillId="0" borderId="0" xfId="0" applyFont="1"/>
    <xf numFmtId="0" fontId="43" fillId="0" borderId="0" xfId="0" applyFont="1" applyAlignment="1">
      <alignment wrapText="1"/>
    </xf>
    <xf numFmtId="0" fontId="32" fillId="28" borderId="0" xfId="0" applyFont="1" applyFill="1" applyAlignment="1">
      <alignment horizontal="center"/>
    </xf>
    <xf numFmtId="0" fontId="26" fillId="28" borderId="0" xfId="0" applyFont="1" applyFill="1" applyAlignment="1">
      <alignment horizontal="left" wrapText="1"/>
    </xf>
    <xf numFmtId="0" fontId="32" fillId="28" borderId="0" xfId="0" applyFont="1" applyFill="1" applyAlignment="1">
      <alignment wrapText="1"/>
    </xf>
    <xf numFmtId="49" fontId="32" fillId="28" borderId="0" xfId="0" applyNumberFormat="1" applyFont="1" applyFill="1" applyAlignment="1">
      <alignment wrapText="1"/>
    </xf>
    <xf numFmtId="0" fontId="32" fillId="4" borderId="0" xfId="0" applyFont="1" applyFill="1" applyAlignment="1">
      <alignment horizontal="center"/>
    </xf>
    <xf numFmtId="0" fontId="26" fillId="4" borderId="0" xfId="0" applyFont="1" applyFill="1" applyAlignment="1">
      <alignment horizontal="left" wrapText="1"/>
    </xf>
    <xf numFmtId="0" fontId="32" fillId="4" borderId="0" xfId="0" applyFont="1" applyFill="1" applyAlignment="1">
      <alignment wrapText="1"/>
    </xf>
    <xf numFmtId="49" fontId="32" fillId="4" borderId="0" xfId="0" applyNumberFormat="1" applyFont="1" applyFill="1" applyAlignment="1">
      <alignment wrapText="1"/>
    </xf>
    <xf numFmtId="0" fontId="12" fillId="4" borderId="24" xfId="0" applyFont="1" applyFill="1" applyBorder="1" applyAlignment="1">
      <alignment wrapText="1"/>
    </xf>
    <xf numFmtId="49" fontId="2" fillId="0" borderId="0" xfId="0" applyNumberFormat="1" applyFont="1" applyAlignment="1">
      <alignment horizontal="left" wrapText="1"/>
    </xf>
    <xf numFmtId="0" fontId="32" fillId="0" borderId="0" xfId="0" applyFont="1" applyAlignment="1">
      <alignment wrapText="1"/>
    </xf>
    <xf numFmtId="49" fontId="32" fillId="0" borderId="0" xfId="0" applyNumberFormat="1" applyFont="1" applyAlignment="1">
      <alignment wrapText="1"/>
    </xf>
    <xf numFmtId="0" fontId="31" fillId="0" borderId="0" xfId="0" applyFont="1"/>
    <xf numFmtId="0" fontId="32" fillId="5" borderId="0" xfId="0" applyFont="1" applyFill="1" applyAlignment="1">
      <alignment horizontal="center"/>
    </xf>
    <xf numFmtId="0" fontId="44" fillId="5" borderId="0" xfId="0" applyFont="1" applyFill="1" applyAlignment="1">
      <alignment horizontal="left" wrapText="1"/>
    </xf>
    <xf numFmtId="0" fontId="45" fillId="5" borderId="0" xfId="0" applyFont="1" applyFill="1" applyAlignment="1">
      <alignment wrapText="1"/>
    </xf>
    <xf numFmtId="49" fontId="45" fillId="5" borderId="0" xfId="0" applyNumberFormat="1" applyFont="1" applyFill="1" applyAlignment="1">
      <alignment wrapText="1"/>
    </xf>
    <xf numFmtId="0" fontId="26" fillId="5" borderId="0" xfId="0" applyFont="1" applyFill="1" applyAlignment="1">
      <alignment horizontal="left" wrapText="1"/>
    </xf>
    <xf numFmtId="0" fontId="32" fillId="5" borderId="0" xfId="0" applyFont="1" applyFill="1" applyAlignment="1">
      <alignment wrapText="1"/>
    </xf>
    <xf numFmtId="49" fontId="32" fillId="5" borderId="0" xfId="0" applyNumberFormat="1" applyFont="1" applyFill="1" applyAlignment="1">
      <alignment wrapText="1"/>
    </xf>
    <xf numFmtId="0" fontId="32" fillId="32" borderId="0" xfId="0" applyFont="1" applyFill="1" applyAlignment="1">
      <alignment horizontal="center"/>
    </xf>
    <xf numFmtId="0" fontId="26" fillId="32" borderId="0" xfId="0" applyFont="1" applyFill="1" applyAlignment="1">
      <alignment horizontal="left" wrapText="1"/>
    </xf>
    <xf numFmtId="0" fontId="32" fillId="32" borderId="0" xfId="0" applyFont="1" applyFill="1" applyAlignment="1">
      <alignment wrapText="1"/>
    </xf>
    <xf numFmtId="49" fontId="32" fillId="32" borderId="0" xfId="0" applyNumberFormat="1" applyFont="1" applyFill="1" applyAlignment="1">
      <alignment wrapText="1"/>
    </xf>
    <xf numFmtId="0" fontId="12" fillId="33" borderId="24" xfId="0" applyFont="1" applyFill="1" applyBorder="1" applyAlignment="1">
      <alignment wrapText="1"/>
    </xf>
    <xf numFmtId="0" fontId="10" fillId="33" borderId="24" xfId="0" applyFont="1" applyFill="1" applyBorder="1" applyAlignment="1">
      <alignment horizontal="center"/>
    </xf>
    <xf numFmtId="0" fontId="32" fillId="8" borderId="0" xfId="0" applyFont="1" applyFill="1" applyAlignment="1">
      <alignment horizontal="center"/>
    </xf>
    <xf numFmtId="0" fontId="26" fillId="8" borderId="0" xfId="0" applyFont="1" applyFill="1" applyAlignment="1">
      <alignment horizontal="left" wrapText="1"/>
    </xf>
    <xf numFmtId="0" fontId="32" fillId="8" borderId="0" xfId="0" applyFont="1" applyFill="1" applyAlignment="1">
      <alignment wrapText="1"/>
    </xf>
    <xf numFmtId="49" fontId="32" fillId="8" borderId="0" xfId="0" applyNumberFormat="1" applyFont="1" applyFill="1" applyAlignment="1">
      <alignment wrapText="1"/>
    </xf>
    <xf numFmtId="0" fontId="31" fillId="0" borderId="0" xfId="0" applyFont="1" applyAlignment="1">
      <alignment horizontal="left"/>
    </xf>
    <xf numFmtId="0" fontId="32" fillId="9" borderId="0" xfId="0" applyFont="1" applyFill="1" applyAlignment="1">
      <alignment horizontal="center"/>
    </xf>
    <xf numFmtId="0" fontId="26" fillId="9" borderId="0" xfId="0" applyFont="1" applyFill="1" applyAlignment="1">
      <alignment horizontal="left" wrapText="1"/>
    </xf>
    <xf numFmtId="0" fontId="32" fillId="9" borderId="0" xfId="0" applyFont="1" applyFill="1" applyAlignment="1">
      <alignment wrapText="1"/>
    </xf>
    <xf numFmtId="49" fontId="32" fillId="9" borderId="0" xfId="0" applyNumberFormat="1" applyFont="1" applyFill="1" applyAlignment="1">
      <alignment wrapText="1"/>
    </xf>
    <xf numFmtId="0" fontId="35" fillId="0" borderId="0" xfId="0" applyFont="1" applyAlignment="1">
      <alignment wrapText="1"/>
    </xf>
    <xf numFmtId="0" fontId="12" fillId="9" borderId="24" xfId="0" applyFont="1" applyFill="1" applyBorder="1" applyAlignment="1">
      <alignment wrapText="1"/>
    </xf>
    <xf numFmtId="0" fontId="10" fillId="9" borderId="24" xfId="0" applyFont="1" applyFill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26" fillId="30" borderId="0" xfId="0" applyFont="1" applyFill="1" applyAlignment="1">
      <alignment horizontal="left" wrapText="1"/>
    </xf>
    <xf numFmtId="0" fontId="32" fillId="30" borderId="0" xfId="0" applyFont="1" applyFill="1" applyAlignment="1">
      <alignment wrapText="1"/>
    </xf>
    <xf numFmtId="49" fontId="32" fillId="30" borderId="0" xfId="0" applyNumberFormat="1" applyFont="1" applyFill="1" applyAlignment="1">
      <alignment wrapText="1"/>
    </xf>
    <xf numFmtId="0" fontId="46" fillId="13" borderId="0" xfId="0" applyFont="1" applyFill="1"/>
    <xf numFmtId="0" fontId="36" fillId="13" borderId="0" xfId="0" applyFont="1" applyFill="1" applyAlignment="1">
      <alignment wrapText="1"/>
    </xf>
    <xf numFmtId="0" fontId="30" fillId="0" borderId="24" xfId="0" applyFont="1" applyBorder="1"/>
    <xf numFmtId="0" fontId="38" fillId="0" borderId="0" xfId="0" applyFont="1" applyAlignment="1">
      <alignment vertical="center"/>
    </xf>
    <xf numFmtId="0" fontId="11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2" fillId="0" borderId="20" xfId="0" applyFont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4" xfId="0" applyFont="1" applyBorder="1" applyAlignment="1">
      <alignment vertical="center" wrapText="1"/>
    </xf>
    <xf numFmtId="0" fontId="11" fillId="0" borderId="17" xfId="0" applyFont="1" applyBorder="1" applyAlignment="1">
      <alignment wrapText="1"/>
    </xf>
    <xf numFmtId="0" fontId="36" fillId="0" borderId="0" xfId="0" applyFont="1" applyAlignment="1">
      <alignment horizontal="center" wrapText="1"/>
    </xf>
    <xf numFmtId="0" fontId="47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0" fontId="47" fillId="0" borderId="0" xfId="0" applyFont="1" applyAlignment="1">
      <alignment horizontal="center"/>
    </xf>
    <xf numFmtId="0" fontId="33" fillId="0" borderId="0" xfId="0" applyFont="1"/>
    <xf numFmtId="0" fontId="32" fillId="35" borderId="0" xfId="0" applyFont="1" applyFill="1" applyAlignment="1">
      <alignment wrapText="1"/>
    </xf>
    <xf numFmtId="0" fontId="30" fillId="0" borderId="0" xfId="0" applyFont="1"/>
    <xf numFmtId="0" fontId="12" fillId="24" borderId="0" xfId="0" applyFont="1" applyFill="1" applyAlignment="1">
      <alignment wrapText="1"/>
    </xf>
    <xf numFmtId="0" fontId="16" fillId="23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49" fillId="0" borderId="0" xfId="0" applyFont="1" applyAlignment="1">
      <alignment horizontal="center" vertical="top" wrapText="1"/>
    </xf>
    <xf numFmtId="0" fontId="50" fillId="0" borderId="0" xfId="0" applyFont="1" applyAlignment="1">
      <alignment horizontal="center" vertical="top" wrapText="1"/>
    </xf>
    <xf numFmtId="0" fontId="50" fillId="36" borderId="2" xfId="0" applyFont="1" applyFill="1" applyBorder="1" applyAlignment="1">
      <alignment horizontal="center" vertical="top" wrapText="1"/>
    </xf>
    <xf numFmtId="0" fontId="50" fillId="29" borderId="3" xfId="0" applyFont="1" applyFill="1" applyBorder="1" applyAlignment="1">
      <alignment horizontal="center" vertical="top" wrapText="1"/>
    </xf>
    <xf numFmtId="0" fontId="50" fillId="29" borderId="2" xfId="0" applyFont="1" applyFill="1" applyBorder="1" applyAlignment="1">
      <alignment horizontal="center" vertical="top" wrapText="1"/>
    </xf>
    <xf numFmtId="0" fontId="49" fillId="3" borderId="2" xfId="0" applyFont="1" applyFill="1" applyBorder="1" applyAlignment="1">
      <alignment horizontal="left" vertical="top" wrapText="1"/>
    </xf>
    <xf numFmtId="0" fontId="49" fillId="3" borderId="2" xfId="0" applyFont="1" applyFill="1" applyBorder="1" applyAlignment="1">
      <alignment horizontal="center" vertical="top" wrapText="1"/>
    </xf>
    <xf numFmtId="0" fontId="49" fillId="0" borderId="2" xfId="0" applyFont="1" applyBorder="1" applyAlignment="1">
      <alignment horizontal="center" vertical="top" wrapText="1"/>
    </xf>
    <xf numFmtId="0" fontId="51" fillId="0" borderId="2" xfId="0" applyFont="1" applyBorder="1" applyAlignment="1">
      <alignment horizontal="center" vertical="top" wrapText="1"/>
    </xf>
    <xf numFmtId="0" fontId="49" fillId="37" borderId="2" xfId="0" applyFont="1" applyFill="1" applyBorder="1" applyAlignment="1">
      <alignment horizontal="left" vertical="top" wrapText="1"/>
    </xf>
    <xf numFmtId="0" fontId="49" fillId="37" borderId="2" xfId="0" applyFont="1" applyFill="1" applyBorder="1" applyAlignment="1">
      <alignment horizontal="center" vertical="top" wrapText="1"/>
    </xf>
    <xf numFmtId="0" fontId="51" fillId="3" borderId="2" xfId="0" applyFont="1" applyFill="1" applyBorder="1" applyAlignment="1">
      <alignment horizontal="center" vertical="top" wrapText="1"/>
    </xf>
    <xf numFmtId="0" fontId="50" fillId="37" borderId="2" xfId="0" applyFont="1" applyFill="1" applyBorder="1" applyAlignment="1">
      <alignment horizontal="center" vertical="top" wrapText="1"/>
    </xf>
    <xf numFmtId="0" fontId="50" fillId="37" borderId="3" xfId="0" applyFont="1" applyFill="1" applyBorder="1" applyAlignment="1">
      <alignment horizontal="center" vertical="top" wrapText="1"/>
    </xf>
    <xf numFmtId="0" fontId="52" fillId="37" borderId="3" xfId="0" applyFont="1" applyFill="1" applyBorder="1" applyAlignment="1">
      <alignment horizontal="center" vertical="top" wrapText="1"/>
    </xf>
    <xf numFmtId="0" fontId="50" fillId="37" borderId="23" xfId="0" applyFont="1" applyFill="1" applyBorder="1" applyAlignment="1">
      <alignment horizontal="center" vertical="top" wrapText="1"/>
    </xf>
    <xf numFmtId="49" fontId="12" fillId="0" borderId="0" xfId="0" applyNumberFormat="1" applyFont="1" applyAlignment="1">
      <alignment wrapText="1"/>
    </xf>
    <xf numFmtId="49" fontId="53" fillId="11" borderId="0" xfId="0" applyNumberFormat="1" applyFont="1" applyFill="1" applyAlignment="1">
      <alignment horizontal="left" wrapText="1"/>
    </xf>
    <xf numFmtId="49" fontId="12" fillId="38" borderId="0" xfId="0" applyNumberFormat="1" applyFont="1" applyFill="1" applyAlignment="1">
      <alignment wrapText="1"/>
    </xf>
    <xf numFmtId="0" fontId="12" fillId="38" borderId="0" xfId="0" applyFont="1" applyFill="1" applyAlignment="1">
      <alignment wrapText="1"/>
    </xf>
    <xf numFmtId="49" fontId="53" fillId="29" borderId="0" xfId="0" applyNumberFormat="1" applyFont="1" applyFill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1" fillId="0" borderId="7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11" fillId="4" borderId="0" xfId="0" applyFont="1" applyFill="1" applyAlignment="1">
      <alignment wrapText="1"/>
    </xf>
    <xf numFmtId="0" fontId="21" fillId="0" borderId="0" xfId="0" applyFont="1" applyAlignment="1">
      <alignment horizontal="left"/>
    </xf>
    <xf numFmtId="0" fontId="1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wrapText="1"/>
    </xf>
    <xf numFmtId="0" fontId="11" fillId="9" borderId="0" xfId="0" applyFont="1" applyFill="1" applyAlignment="1">
      <alignment wrapText="1"/>
    </xf>
    <xf numFmtId="0" fontId="54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11" fillId="27" borderId="0" xfId="0" applyFont="1" applyFill="1" applyAlignment="1">
      <alignment horizontal="center"/>
    </xf>
    <xf numFmtId="0" fontId="5" fillId="27" borderId="0" xfId="0" applyFont="1" applyFill="1" applyAlignment="1">
      <alignment horizontal="center" wrapText="1"/>
    </xf>
    <xf numFmtId="0" fontId="11" fillId="27" borderId="0" xfId="0" applyFont="1" applyFill="1" applyAlignment="1">
      <alignment wrapText="1"/>
    </xf>
    <xf numFmtId="0" fontId="55" fillId="0" borderId="0" xfId="0" applyFont="1" applyAlignment="1">
      <alignment wrapText="1"/>
    </xf>
    <xf numFmtId="0" fontId="2" fillId="16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16" fillId="5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16" fillId="13" borderId="0" xfId="0" applyFont="1" applyFill="1" applyAlignment="1">
      <alignment wrapText="1"/>
    </xf>
    <xf numFmtId="0" fontId="1" fillId="13" borderId="0" xfId="0" applyFont="1" applyFill="1" applyAlignment="1">
      <alignment horizontal="center" wrapText="1"/>
    </xf>
    <xf numFmtId="0" fontId="16" fillId="28" borderId="0" xfId="0" applyFont="1" applyFill="1" applyAlignment="1">
      <alignment wrapText="1"/>
    </xf>
    <xf numFmtId="49" fontId="56" fillId="28" borderId="0" xfId="0" applyNumberFormat="1" applyFont="1" applyFill="1" applyAlignment="1">
      <alignment horizontal="center"/>
    </xf>
    <xf numFmtId="0" fontId="16" fillId="6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4" fillId="0" borderId="0" xfId="0" applyFont="1" applyAlignment="1">
      <alignment horizontal="left" wrapText="1"/>
    </xf>
    <xf numFmtId="0" fontId="83" fillId="40" borderId="27" xfId="0" applyFont="1" applyFill="1" applyBorder="1" applyAlignment="1">
      <alignment horizontal="center" vertical="center" wrapText="1"/>
    </xf>
    <xf numFmtId="0" fontId="83" fillId="40" borderId="28" xfId="0" applyFont="1" applyFill="1" applyBorder="1" applyAlignment="1">
      <alignment horizontal="center" vertical="center" wrapText="1"/>
    </xf>
    <xf numFmtId="0" fontId="85" fillId="42" borderId="32" xfId="0" applyFont="1" applyFill="1" applyBorder="1" applyAlignment="1">
      <alignment horizontal="center" vertical="center" wrapText="1"/>
    </xf>
    <xf numFmtId="0" fontId="85" fillId="45" borderId="32" xfId="0" applyFont="1" applyFill="1" applyBorder="1" applyAlignment="1">
      <alignment horizontal="center" vertical="center" wrapText="1"/>
    </xf>
    <xf numFmtId="0" fontId="85" fillId="44" borderId="33" xfId="0" applyFont="1" applyFill="1" applyBorder="1" applyAlignment="1">
      <alignment horizontal="center" vertical="center" wrapText="1"/>
    </xf>
    <xf numFmtId="0" fontId="85" fillId="43" borderId="32" xfId="0" applyFont="1" applyFill="1" applyBorder="1" applyAlignment="1">
      <alignment horizontal="center" vertical="center" wrapText="1"/>
    </xf>
    <xf numFmtId="0" fontId="85" fillId="44" borderId="25" xfId="0" applyFont="1" applyFill="1" applyBorder="1" applyAlignment="1">
      <alignment horizontal="center" vertical="center" wrapText="1"/>
    </xf>
    <xf numFmtId="0" fontId="85" fillId="43" borderId="37" xfId="0" applyFont="1" applyFill="1" applyBorder="1" applyAlignment="1">
      <alignment horizontal="center" vertical="center" wrapText="1"/>
    </xf>
    <xf numFmtId="0" fontId="85" fillId="44" borderId="40" xfId="0" applyFont="1" applyFill="1" applyBorder="1" applyAlignment="1">
      <alignment horizontal="center" vertical="center" wrapText="1"/>
    </xf>
    <xf numFmtId="0" fontId="86" fillId="0" borderId="41" xfId="0" applyFont="1" applyFill="1" applyBorder="1" applyAlignment="1">
      <alignment horizontal="center" vertical="center" wrapText="1"/>
    </xf>
    <xf numFmtId="0" fontId="86" fillId="0" borderId="41" xfId="0" applyFont="1" applyFill="1" applyBorder="1" applyAlignment="1">
      <alignment vertical="center" wrapText="1"/>
    </xf>
    <xf numFmtId="20" fontId="83" fillId="40" borderId="28" xfId="0" applyNumberFormat="1" applyFont="1" applyFill="1" applyBorder="1" applyAlignment="1">
      <alignment horizontal="left" vertical="center" wrapText="1"/>
    </xf>
    <xf numFmtId="0" fontId="86" fillId="0" borderId="42" xfId="0" applyFont="1" applyFill="1" applyBorder="1" applyAlignment="1">
      <alignment horizontal="center" vertical="center" wrapText="1"/>
    </xf>
    <xf numFmtId="0" fontId="86" fillId="0" borderId="44" xfId="0" applyFont="1" applyFill="1" applyBorder="1" applyAlignment="1">
      <alignment horizontal="center" vertical="center" wrapText="1"/>
    </xf>
    <xf numFmtId="0" fontId="85" fillId="43" borderId="39" xfId="0" applyFont="1" applyFill="1" applyBorder="1" applyAlignment="1">
      <alignment horizontal="center" vertical="center" wrapText="1"/>
    </xf>
    <xf numFmtId="0" fontId="86" fillId="0" borderId="42" xfId="0" applyFont="1" applyFill="1" applyBorder="1" applyAlignment="1">
      <alignment vertical="center" wrapText="1"/>
    </xf>
    <xf numFmtId="0" fontId="86" fillId="0" borderId="44" xfId="0" applyFont="1" applyFill="1" applyBorder="1" applyAlignment="1">
      <alignment vertical="center" wrapText="1"/>
    </xf>
    <xf numFmtId="0" fontId="86" fillId="0" borderId="43" xfId="0" applyFont="1" applyFill="1" applyBorder="1" applyAlignment="1">
      <alignment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wrapText="1"/>
    </xf>
    <xf numFmtId="0" fontId="11" fillId="18" borderId="7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13" fillId="15" borderId="3" xfId="0" applyFont="1" applyFill="1" applyBorder="1" applyAlignment="1">
      <alignment horizontal="center" wrapText="1"/>
    </xf>
    <xf numFmtId="0" fontId="7" fillId="0" borderId="23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2" fillId="10" borderId="12" xfId="0" applyFont="1" applyFill="1" applyBorder="1" applyAlignment="1">
      <alignment horizontal="center" vertical="center"/>
    </xf>
    <xf numFmtId="0" fontId="7" fillId="0" borderId="18" xfId="0" applyFont="1" applyBorder="1" applyAlignment="1">
      <alignment wrapText="1"/>
    </xf>
    <xf numFmtId="0" fontId="2" fillId="11" borderId="12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2" fillId="2" borderId="5" xfId="0" applyFont="1" applyFill="1" applyBorder="1" applyAlignment="1">
      <alignment horizontal="left"/>
    </xf>
    <xf numFmtId="0" fontId="7" fillId="0" borderId="6" xfId="0" applyFont="1" applyBorder="1" applyAlignment="1">
      <alignment wrapText="1"/>
    </xf>
    <xf numFmtId="0" fontId="2" fillId="2" borderId="7" xfId="0" applyFont="1" applyFill="1" applyBorder="1" applyAlignment="1">
      <alignment horizontal="left"/>
    </xf>
    <xf numFmtId="0" fontId="7" fillId="0" borderId="8" xfId="0" applyFont="1" applyBorder="1" applyAlignment="1">
      <alignment wrapText="1"/>
    </xf>
    <xf numFmtId="0" fontId="11" fillId="5" borderId="0" xfId="0" applyFont="1" applyFill="1" applyAlignment="1">
      <alignment horizontal="left"/>
    </xf>
    <xf numFmtId="0" fontId="11" fillId="9" borderId="0" xfId="0" applyFont="1" applyFill="1" applyAlignment="1">
      <alignment horizontal="left"/>
    </xf>
    <xf numFmtId="0" fontId="7" fillId="0" borderId="19" xfId="0" applyFont="1" applyBorder="1" applyAlignment="1">
      <alignment wrapText="1"/>
    </xf>
    <xf numFmtId="0" fontId="11" fillId="17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1" fillId="6" borderId="0" xfId="0" applyFont="1" applyFill="1" applyAlignment="1">
      <alignment horizontal="left"/>
    </xf>
    <xf numFmtId="0" fontId="11" fillId="13" borderId="0" xfId="0" applyFont="1" applyFill="1" applyAlignment="1">
      <alignment horizontal="left"/>
    </xf>
    <xf numFmtId="0" fontId="22" fillId="16" borderId="0" xfId="0" applyFont="1" applyFill="1" applyAlignment="1">
      <alignment horizontal="left" wrapText="1"/>
    </xf>
    <xf numFmtId="0" fontId="2" fillId="7" borderId="12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wrapText="1"/>
    </xf>
    <xf numFmtId="0" fontId="23" fillId="13" borderId="7" xfId="0" applyFont="1" applyFill="1" applyBorder="1" applyAlignment="1">
      <alignment horizontal="center" vertical="top" wrapText="1"/>
    </xf>
    <xf numFmtId="0" fontId="23" fillId="13" borderId="0" xfId="0" applyFont="1" applyFill="1" applyAlignment="1">
      <alignment horizontal="center" vertical="center" wrapText="1"/>
    </xf>
    <xf numFmtId="0" fontId="7" fillId="0" borderId="20" xfId="0" applyFont="1" applyBorder="1" applyAlignment="1">
      <alignment wrapText="1"/>
    </xf>
    <xf numFmtId="0" fontId="11" fillId="13" borderId="7" xfId="0" applyFont="1" applyFill="1" applyBorder="1" applyAlignment="1">
      <alignment horizontal="center" vertical="top" wrapText="1"/>
    </xf>
    <xf numFmtId="0" fontId="23" fillId="13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86" fillId="0" borderId="42" xfId="0" applyFont="1" applyFill="1" applyBorder="1" applyAlignment="1">
      <alignment horizontal="center" vertical="center" wrapText="1"/>
    </xf>
    <xf numFmtId="0" fontId="86" fillId="0" borderId="43" xfId="0" applyFont="1" applyFill="1" applyBorder="1" applyAlignment="1">
      <alignment horizontal="center" vertical="center" wrapText="1"/>
    </xf>
    <xf numFmtId="0" fontId="86" fillId="0" borderId="44" xfId="0" applyFont="1" applyFill="1" applyBorder="1" applyAlignment="1">
      <alignment horizontal="center" vertical="center" wrapText="1"/>
    </xf>
    <xf numFmtId="0" fontId="84" fillId="41" borderId="34" xfId="0" applyFont="1" applyFill="1" applyBorder="1" applyAlignment="1">
      <alignment horizontal="center" vertical="center"/>
    </xf>
    <xf numFmtId="0" fontId="84" fillId="41" borderId="35" xfId="0" applyFont="1" applyFill="1" applyBorder="1" applyAlignment="1">
      <alignment horizontal="center" vertical="center"/>
    </xf>
    <xf numFmtId="0" fontId="84" fillId="41" borderId="36" xfId="0" applyFont="1" applyFill="1" applyBorder="1" applyAlignment="1">
      <alignment horizontal="center" vertical="center"/>
    </xf>
    <xf numFmtId="0" fontId="84" fillId="41" borderId="29" xfId="0" applyFont="1" applyFill="1" applyBorder="1" applyAlignment="1">
      <alignment horizontal="center" vertical="center"/>
    </xf>
    <xf numFmtId="0" fontId="84" fillId="41" borderId="30" xfId="0" applyFont="1" applyFill="1" applyBorder="1" applyAlignment="1">
      <alignment horizontal="center" vertical="center"/>
    </xf>
    <xf numFmtId="0" fontId="84" fillId="41" borderId="31" xfId="0" applyFont="1" applyFill="1" applyBorder="1" applyAlignment="1">
      <alignment horizontal="center" vertical="center"/>
    </xf>
    <xf numFmtId="0" fontId="84" fillId="41" borderId="38" xfId="0" applyFont="1" applyFill="1" applyBorder="1" applyAlignment="1">
      <alignment horizontal="center" vertical="center"/>
    </xf>
    <xf numFmtId="0" fontId="82" fillId="39" borderId="0" xfId="0" applyFont="1" applyFill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11" fillId="22" borderId="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49" fontId="2" fillId="25" borderId="3" xfId="0" applyNumberFormat="1" applyFont="1" applyFill="1" applyBorder="1" applyAlignment="1">
      <alignment horizontal="left" wrapText="1"/>
    </xf>
    <xf numFmtId="49" fontId="2" fillId="19" borderId="3" xfId="0" applyNumberFormat="1" applyFont="1" applyFill="1" applyBorder="1" applyAlignment="1">
      <alignment horizontal="left" wrapText="1"/>
    </xf>
    <xf numFmtId="49" fontId="2" fillId="13" borderId="3" xfId="0" applyNumberFormat="1" applyFont="1" applyFill="1" applyBorder="1" applyAlignment="1">
      <alignment horizontal="left" wrapText="1"/>
    </xf>
    <xf numFmtId="49" fontId="2" fillId="26" borderId="3" xfId="0" applyNumberFormat="1" applyFont="1" applyFill="1" applyBorder="1" applyAlignment="1">
      <alignment horizontal="left" wrapText="1"/>
    </xf>
    <xf numFmtId="49" fontId="2" fillId="4" borderId="3" xfId="0" applyNumberFormat="1" applyFont="1" applyFill="1" applyBorder="1" applyAlignment="1">
      <alignment horizontal="left" wrapText="1"/>
    </xf>
    <xf numFmtId="0" fontId="33" fillId="0" borderId="0" xfId="0" applyFont="1" applyAlignment="1">
      <alignment wrapText="1"/>
    </xf>
    <xf numFmtId="49" fontId="2" fillId="0" borderId="3" xfId="0" applyNumberFormat="1" applyFont="1" applyBorder="1" applyAlignment="1">
      <alignment horizontal="left" wrapText="1"/>
    </xf>
    <xf numFmtId="49" fontId="2" fillId="21" borderId="0" xfId="0" applyNumberFormat="1" applyFont="1" applyFill="1" applyAlignment="1">
      <alignment horizontal="left" wrapText="1"/>
    </xf>
    <xf numFmtId="49" fontId="2" fillId="27" borderId="0" xfId="0" applyNumberFormat="1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11" fillId="19" borderId="7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/>
    </xf>
    <xf numFmtId="0" fontId="23" fillId="21" borderId="7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top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/>
    </xf>
    <xf numFmtId="0" fontId="23" fillId="24" borderId="7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1" fillId="20" borderId="7" xfId="0" applyFont="1" applyFill="1" applyBorder="1" applyAlignment="1">
      <alignment horizontal="center" vertical="center" wrapText="1"/>
    </xf>
    <xf numFmtId="0" fontId="11" fillId="23" borderId="7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40" fillId="31" borderId="7" xfId="0" applyFont="1" applyFill="1" applyBorder="1" applyAlignment="1">
      <alignment horizontal="center" wrapText="1"/>
    </xf>
    <xf numFmtId="0" fontId="11" fillId="16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39" fillId="29" borderId="7" xfId="0" applyFont="1" applyFill="1" applyBorder="1" applyAlignment="1">
      <alignment horizontal="center" vertical="top" wrapText="1"/>
    </xf>
    <xf numFmtId="0" fontId="34" fillId="28" borderId="7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wrapText="1"/>
    </xf>
    <xf numFmtId="0" fontId="32" fillId="28" borderId="0" xfId="0" applyFont="1" applyFill="1" applyAlignment="1">
      <alignment wrapText="1"/>
    </xf>
    <xf numFmtId="0" fontId="32" fillId="4" borderId="0" xfId="0" applyFont="1" applyFill="1" applyAlignment="1">
      <alignment wrapText="1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wrapText="1"/>
    </xf>
    <xf numFmtId="0" fontId="32" fillId="5" borderId="0" xfId="0" applyFont="1" applyFill="1" applyAlignment="1">
      <alignment wrapText="1"/>
    </xf>
    <xf numFmtId="0" fontId="32" fillId="32" borderId="0" xfId="0" applyFont="1" applyFill="1" applyAlignment="1">
      <alignment wrapText="1"/>
    </xf>
    <xf numFmtId="0" fontId="32" fillId="8" borderId="0" xfId="0" applyFont="1" applyFill="1" applyAlignment="1">
      <alignment wrapText="1"/>
    </xf>
    <xf numFmtId="0" fontId="32" fillId="9" borderId="0" xfId="0" applyFont="1" applyFill="1" applyAlignment="1">
      <alignment horizontal="left" vertical="center" wrapText="1"/>
    </xf>
    <xf numFmtId="0" fontId="32" fillId="30" borderId="0" xfId="0" applyFont="1" applyFill="1" applyAlignment="1">
      <alignment wrapText="1"/>
    </xf>
    <xf numFmtId="0" fontId="45" fillId="5" borderId="0" xfId="0" applyFont="1" applyFill="1" applyAlignment="1">
      <alignment wrapText="1"/>
    </xf>
    <xf numFmtId="0" fontId="11" fillId="32" borderId="13" xfId="0" applyFont="1" applyFill="1" applyBorder="1" applyAlignment="1">
      <alignment horizontal="center" wrapText="1"/>
    </xf>
    <xf numFmtId="0" fontId="11" fillId="32" borderId="7" xfId="0" applyFont="1" applyFill="1" applyBorder="1" applyAlignment="1">
      <alignment horizontal="center" wrapText="1"/>
    </xf>
    <xf numFmtId="0" fontId="11" fillId="30" borderId="7" xfId="0" applyFont="1" applyFill="1" applyBorder="1" applyAlignment="1">
      <alignment horizontal="center" vertical="center" wrapText="1"/>
    </xf>
    <xf numFmtId="0" fontId="11" fillId="25" borderId="7" xfId="0" applyFont="1" applyFill="1" applyBorder="1" applyAlignment="1">
      <alignment horizontal="center" vertical="top" wrapText="1"/>
    </xf>
    <xf numFmtId="0" fontId="11" fillId="21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34" borderId="7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 vertical="center" wrapText="1"/>
    </xf>
    <xf numFmtId="0" fontId="32" fillId="35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50" fillId="3" borderId="12" xfId="0" applyFont="1" applyFill="1" applyBorder="1" applyAlignment="1">
      <alignment horizontal="center" vertical="top" wrapText="1"/>
    </xf>
    <xf numFmtId="0" fontId="49" fillId="3" borderId="12" xfId="0" applyFont="1" applyFill="1" applyBorder="1" applyAlignment="1">
      <alignment horizontal="center" vertical="top" wrapText="1"/>
    </xf>
    <xf numFmtId="0" fontId="48" fillId="0" borderId="0" xfId="0" applyFont="1" applyAlignment="1">
      <alignment horizontal="center" vertical="top" wrapText="1"/>
    </xf>
    <xf numFmtId="0" fontId="50" fillId="37" borderId="12" xfId="0" applyFont="1" applyFill="1" applyBorder="1" applyAlignment="1">
      <alignment horizontal="center" vertical="top" wrapText="1"/>
    </xf>
    <xf numFmtId="0" fontId="49" fillId="37" borderId="12" xfId="0" applyFont="1" applyFill="1" applyBorder="1" applyAlignment="1">
      <alignment horizontal="center" vertical="top" wrapText="1"/>
    </xf>
    <xf numFmtId="49" fontId="53" fillId="29" borderId="0" xfId="0" applyNumberFormat="1" applyFont="1" applyFill="1" applyAlignment="1">
      <alignment wrapText="1"/>
    </xf>
    <xf numFmtId="49" fontId="53" fillId="10" borderId="0" xfId="0" applyNumberFormat="1" applyFont="1" applyFill="1" applyAlignment="1">
      <alignment horizontal="center" wrapText="1"/>
    </xf>
    <xf numFmtId="49" fontId="53" fillId="29" borderId="0" xfId="0" applyNumberFormat="1" applyFont="1" applyFill="1" applyAlignment="1">
      <alignment horizontal="center" wrapText="1"/>
    </xf>
    <xf numFmtId="49" fontId="53" fillId="13" borderId="0" xfId="0" applyNumberFormat="1" applyFont="1" applyFill="1" applyAlignment="1">
      <alignment horizontal="center" wrapText="1"/>
    </xf>
    <xf numFmtId="49" fontId="53" fillId="37" borderId="0" xfId="0" applyNumberFormat="1" applyFont="1" applyFill="1" applyAlignment="1">
      <alignment horizontal="center" wrapText="1"/>
    </xf>
    <xf numFmtId="49" fontId="53" fillId="11" borderId="0" xfId="0" applyNumberFormat="1" applyFont="1" applyFill="1" applyAlignment="1">
      <alignment horizontal="left" wrapText="1"/>
    </xf>
    <xf numFmtId="0" fontId="11" fillId="28" borderId="7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2" fillId="12" borderId="7" xfId="0" applyFont="1" applyFill="1" applyBorder="1" applyAlignment="1">
      <alignment horizontal="center" vertical="center"/>
    </xf>
    <xf numFmtId="0" fontId="7" fillId="0" borderId="11" xfId="0" applyFont="1" applyBorder="1" applyAlignment="1">
      <alignment wrapText="1"/>
    </xf>
    <xf numFmtId="0" fontId="11" fillId="27" borderId="7" xfId="0" applyFont="1" applyFill="1" applyBorder="1" applyAlignment="1">
      <alignment horizontal="center" vertical="top" wrapText="1"/>
    </xf>
    <xf numFmtId="0" fontId="16" fillId="4" borderId="7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center" vertical="top" wrapText="1"/>
    </xf>
    <xf numFmtId="0" fontId="2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5" borderId="7" xfId="0" applyFont="1" applyFill="1" applyBorder="1" applyAlignment="1">
      <alignment horizontal="center" vertical="top" wrapText="1"/>
    </xf>
    <xf numFmtId="0" fontId="11" fillId="27" borderId="11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top" wrapText="1"/>
    </xf>
    <xf numFmtId="0" fontId="16" fillId="0" borderId="0" xfId="0" applyFont="1" applyAlignment="1">
      <alignment wrapText="1"/>
    </xf>
    <xf numFmtId="0" fontId="16" fillId="5" borderId="0" xfId="0" applyFont="1" applyFill="1" applyAlignment="1">
      <alignment wrapText="1"/>
    </xf>
    <xf numFmtId="0" fontId="16" fillId="13" borderId="0" xfId="0" applyFont="1" applyFill="1" applyAlignment="1">
      <alignment wrapText="1"/>
    </xf>
    <xf numFmtId="49" fontId="57" fillId="28" borderId="0" xfId="0" applyNumberFormat="1" applyFont="1" applyFill="1" applyAlignment="1">
      <alignment wrapText="1"/>
    </xf>
    <xf numFmtId="0" fontId="58" fillId="6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1" fillId="9" borderId="0" xfId="0" applyFont="1" applyFill="1" applyAlignment="1">
      <alignment wrapText="1"/>
    </xf>
    <xf numFmtId="0" fontId="11" fillId="27" borderId="0" xfId="0" applyFont="1" applyFill="1" applyAlignment="1">
      <alignment wrapText="1"/>
    </xf>
    <xf numFmtId="0" fontId="81" fillId="0" borderId="25" xfId="0" applyFont="1" applyFill="1" applyBorder="1" applyAlignment="1"/>
    <xf numFmtId="0" fontId="86" fillId="0" borderId="45" xfId="0" applyFont="1" applyFill="1" applyBorder="1" applyAlignment="1">
      <alignment horizontal="center" vertical="center" wrapText="1"/>
    </xf>
    <xf numFmtId="0" fontId="86" fillId="0" borderId="46" xfId="0" applyFont="1" applyFill="1" applyBorder="1" applyAlignment="1">
      <alignment horizontal="center" vertical="center" wrapText="1"/>
    </xf>
    <xf numFmtId="0" fontId="86" fillId="0" borderId="47" xfId="0" applyFont="1" applyFill="1" applyBorder="1" applyAlignment="1">
      <alignment horizontal="center" vertical="center" wrapText="1"/>
    </xf>
    <xf numFmtId="0" fontId="86" fillId="0" borderId="48" xfId="0" applyFont="1" applyFill="1" applyBorder="1" applyAlignment="1">
      <alignment horizontal="center" vertical="center" wrapText="1"/>
    </xf>
    <xf numFmtId="0" fontId="0" fillId="0" borderId="49" xfId="0" applyFill="1" applyBorder="1" applyAlignment="1">
      <alignment wrapText="1"/>
    </xf>
    <xf numFmtId="0" fontId="86" fillId="0" borderId="50" xfId="0" applyFont="1" applyFill="1" applyBorder="1" applyAlignment="1">
      <alignment horizontal="center" vertical="center" wrapText="1"/>
    </xf>
    <xf numFmtId="0" fontId="86" fillId="0" borderId="51" xfId="0" applyFont="1" applyFill="1" applyBorder="1" applyAlignment="1">
      <alignment horizontal="center" vertical="center" wrapText="1"/>
    </xf>
    <xf numFmtId="0" fontId="86" fillId="0" borderId="52" xfId="0" applyFont="1" applyFill="1" applyBorder="1" applyAlignment="1">
      <alignment horizontal="center" vertical="center" wrapText="1"/>
    </xf>
    <xf numFmtId="0" fontId="86" fillId="0" borderId="54" xfId="0" applyFont="1" applyFill="1" applyBorder="1" applyAlignment="1">
      <alignment horizontal="center" vertical="center" wrapText="1"/>
    </xf>
    <xf numFmtId="0" fontId="86" fillId="0" borderId="50" xfId="0" applyFont="1" applyFill="1" applyBorder="1" applyAlignment="1">
      <alignment vertical="center" wrapText="1"/>
    </xf>
    <xf numFmtId="0" fontId="86" fillId="0" borderId="52" xfId="0" applyFont="1" applyFill="1" applyBorder="1" applyAlignment="1">
      <alignment vertical="center" wrapText="1"/>
    </xf>
    <xf numFmtId="0" fontId="86" fillId="0" borderId="51" xfId="0" applyFont="1" applyFill="1" applyBorder="1" applyAlignment="1">
      <alignment vertical="center" wrapText="1"/>
    </xf>
    <xf numFmtId="0" fontId="86" fillId="0" borderId="48" xfId="0" applyFont="1" applyFill="1" applyBorder="1" applyAlignment="1">
      <alignment vertical="center" wrapText="1"/>
    </xf>
    <xf numFmtId="0" fontId="0" fillId="0" borderId="25" xfId="0" applyBorder="1" applyAlignment="1">
      <alignment wrapText="1"/>
    </xf>
    <xf numFmtId="0" fontId="86" fillId="0" borderId="56" xfId="0" applyFont="1" applyFill="1" applyBorder="1" applyAlignment="1">
      <alignment horizontal="center" vertical="center" wrapText="1"/>
    </xf>
    <xf numFmtId="0" fontId="86" fillId="0" borderId="57" xfId="0" applyFont="1" applyFill="1" applyBorder="1" applyAlignment="1">
      <alignment vertical="center" wrapText="1"/>
    </xf>
    <xf numFmtId="0" fontId="86" fillId="0" borderId="58" xfId="0" applyFont="1" applyFill="1" applyBorder="1" applyAlignment="1">
      <alignment vertical="center" wrapText="1"/>
    </xf>
    <xf numFmtId="0" fontId="86" fillId="0" borderId="59" xfId="0" applyFont="1" applyFill="1" applyBorder="1" applyAlignment="1">
      <alignment horizontal="center" vertical="center" wrapText="1"/>
    </xf>
    <xf numFmtId="0" fontId="86" fillId="0" borderId="58" xfId="0" applyFont="1" applyFill="1" applyBorder="1" applyAlignment="1">
      <alignment horizontal="center" vertical="center" wrapText="1"/>
    </xf>
    <xf numFmtId="0" fontId="86" fillId="0" borderId="60" xfId="0" applyFont="1" applyFill="1" applyBorder="1" applyAlignment="1">
      <alignment horizontal="center" vertical="center" wrapText="1"/>
    </xf>
    <xf numFmtId="0" fontId="86" fillId="0" borderId="61" xfId="0" applyFont="1" applyFill="1" applyBorder="1" applyAlignment="1">
      <alignment horizontal="center" vertical="center" wrapText="1"/>
    </xf>
    <xf numFmtId="0" fontId="86" fillId="0" borderId="62" xfId="0" applyFont="1" applyFill="1" applyBorder="1" applyAlignment="1">
      <alignment horizontal="center" vertical="center" wrapText="1"/>
    </xf>
    <xf numFmtId="0" fontId="86" fillId="0" borderId="63" xfId="0" applyFont="1" applyFill="1" applyBorder="1" applyAlignment="1">
      <alignment horizontal="center" vertical="center" wrapText="1"/>
    </xf>
    <xf numFmtId="0" fontId="86" fillId="0" borderId="57" xfId="0" applyFont="1" applyFill="1" applyBorder="1" applyAlignment="1">
      <alignment horizontal="center" vertical="center" wrapText="1"/>
    </xf>
    <xf numFmtId="0" fontId="86" fillId="0" borderId="66" xfId="0" applyFont="1" applyFill="1" applyBorder="1" applyAlignment="1">
      <alignment horizontal="center" vertical="center" wrapText="1"/>
    </xf>
    <xf numFmtId="0" fontId="13" fillId="29" borderId="7" xfId="0" applyFont="1" applyFill="1" applyBorder="1" applyAlignment="1">
      <alignment horizontal="center" vertical="top" wrapText="1"/>
    </xf>
    <xf numFmtId="0" fontId="86" fillId="46" borderId="43" xfId="0" applyFont="1" applyFill="1" applyBorder="1" applyAlignment="1">
      <alignment horizontal="center" vertical="center" wrapText="1"/>
    </xf>
    <xf numFmtId="0" fontId="86" fillId="47" borderId="50" xfId="0" applyFont="1" applyFill="1" applyBorder="1" applyAlignment="1">
      <alignment horizontal="center" vertical="center" wrapText="1"/>
    </xf>
    <xf numFmtId="0" fontId="86" fillId="47" borderId="52" xfId="0" applyFont="1" applyFill="1" applyBorder="1" applyAlignment="1">
      <alignment horizontal="center" vertical="center" wrapText="1"/>
    </xf>
    <xf numFmtId="0" fontId="86" fillId="47" borderId="51" xfId="0" applyFont="1" applyFill="1" applyBorder="1" applyAlignment="1">
      <alignment horizontal="center" vertical="center" wrapText="1"/>
    </xf>
    <xf numFmtId="0" fontId="86" fillId="47" borderId="64" xfId="0" applyFont="1" applyFill="1" applyBorder="1" applyAlignment="1">
      <alignment horizontal="center" vertical="center" wrapText="1"/>
    </xf>
    <xf numFmtId="0" fontId="86" fillId="0" borderId="68" xfId="0" applyFont="1" applyFill="1" applyBorder="1" applyAlignment="1">
      <alignment horizontal="center" vertical="center" wrapText="1"/>
    </xf>
    <xf numFmtId="0" fontId="86" fillId="0" borderId="49" xfId="0" applyFont="1" applyFill="1" applyBorder="1" applyAlignment="1">
      <alignment horizontal="center" vertical="center" wrapText="1"/>
    </xf>
    <xf numFmtId="0" fontId="86" fillId="0" borderId="67" xfId="0" applyFont="1" applyFill="1" applyBorder="1" applyAlignment="1">
      <alignment vertical="center" wrapText="1"/>
    </xf>
    <xf numFmtId="0" fontId="85" fillId="45" borderId="69" xfId="0" applyFont="1" applyFill="1" applyBorder="1" applyAlignment="1">
      <alignment horizontal="center" vertical="center" wrapText="1"/>
    </xf>
    <xf numFmtId="0" fontId="85" fillId="45" borderId="70" xfId="0" applyFont="1" applyFill="1" applyBorder="1" applyAlignment="1">
      <alignment horizontal="center" vertical="center" wrapText="1"/>
    </xf>
    <xf numFmtId="0" fontId="86" fillId="0" borderId="71" xfId="0" applyFont="1" applyFill="1" applyBorder="1" applyAlignment="1">
      <alignment horizontal="center" vertical="center" wrapText="1"/>
    </xf>
    <xf numFmtId="0" fontId="86" fillId="0" borderId="72" xfId="0" applyFont="1" applyFill="1" applyBorder="1" applyAlignment="1">
      <alignment horizontal="center" vertical="center" wrapText="1"/>
    </xf>
    <xf numFmtId="0" fontId="86" fillId="0" borderId="45" xfId="0" applyFont="1" applyFill="1" applyBorder="1" applyAlignment="1">
      <alignment vertical="center" wrapText="1"/>
    </xf>
    <xf numFmtId="0" fontId="86" fillId="0" borderId="53" xfId="0" applyFont="1" applyFill="1" applyBorder="1" applyAlignment="1">
      <alignment horizontal="center" vertical="center" wrapText="1"/>
    </xf>
    <xf numFmtId="0" fontId="86" fillId="0" borderId="55" xfId="0" applyFont="1" applyFill="1" applyBorder="1" applyAlignment="1">
      <alignment horizontal="center" vertical="center" wrapText="1"/>
    </xf>
    <xf numFmtId="0" fontId="86" fillId="46" borderId="73" xfId="0" applyFont="1" applyFill="1" applyBorder="1" applyAlignment="1">
      <alignment horizontal="center" vertical="center" wrapText="1"/>
    </xf>
    <xf numFmtId="0" fontId="86" fillId="46" borderId="74" xfId="0" applyFont="1" applyFill="1" applyBorder="1" applyAlignment="1">
      <alignment horizontal="center" vertical="center" wrapText="1"/>
    </xf>
    <xf numFmtId="0" fontId="86" fillId="46" borderId="75" xfId="0" applyFont="1" applyFill="1" applyBorder="1" applyAlignment="1">
      <alignment horizontal="center" vertical="center" wrapText="1"/>
    </xf>
    <xf numFmtId="0" fontId="86" fillId="0" borderId="76" xfId="0" applyFont="1" applyFill="1" applyBorder="1" applyAlignment="1">
      <alignment vertical="center" wrapText="1"/>
    </xf>
    <xf numFmtId="0" fontId="86" fillId="0" borderId="72" xfId="0" applyFont="1" applyFill="1" applyBorder="1" applyAlignment="1">
      <alignment horizontal="center" vertical="center" wrapText="1"/>
    </xf>
    <xf numFmtId="0" fontId="88" fillId="46" borderId="77" xfId="0" applyFont="1" applyFill="1" applyBorder="1" applyAlignment="1">
      <alignment horizontal="center" vertical="center" wrapText="1"/>
    </xf>
    <xf numFmtId="0" fontId="88" fillId="46" borderId="78" xfId="0" applyFont="1" applyFill="1" applyBorder="1" applyAlignment="1">
      <alignment horizontal="center" vertical="center" wrapText="1"/>
    </xf>
    <xf numFmtId="0" fontId="88" fillId="46" borderId="79" xfId="0" applyFont="1" applyFill="1" applyBorder="1" applyAlignment="1">
      <alignment horizontal="center" vertical="center" wrapText="1"/>
    </xf>
    <xf numFmtId="0" fontId="86" fillId="0" borderId="65" xfId="0" applyFont="1" applyFill="1" applyBorder="1" applyAlignment="1">
      <alignment horizontal="center" vertical="center" wrapText="1"/>
    </xf>
    <xf numFmtId="0" fontId="86" fillId="0" borderId="80" xfId="0" applyFont="1" applyFill="1" applyBorder="1" applyAlignment="1">
      <alignment horizontal="center" vertical="center" wrapText="1"/>
    </xf>
    <xf numFmtId="0" fontId="86" fillId="46" borderId="77" xfId="0" applyFont="1" applyFill="1" applyBorder="1" applyAlignment="1">
      <alignment horizontal="center" vertical="center" wrapText="1"/>
    </xf>
    <xf numFmtId="0" fontId="86" fillId="46" borderId="78" xfId="0" applyFont="1" applyFill="1" applyBorder="1" applyAlignment="1">
      <alignment horizontal="center" vertical="center" wrapText="1"/>
    </xf>
    <xf numFmtId="0" fontId="86" fillId="0" borderId="81" xfId="0" applyFont="1" applyFill="1" applyBorder="1" applyAlignment="1">
      <alignment vertical="center" wrapText="1"/>
    </xf>
    <xf numFmtId="0" fontId="86" fillId="0" borderId="82" xfId="0" applyFont="1" applyFill="1" applyBorder="1" applyAlignment="1">
      <alignment vertical="center" wrapText="1"/>
    </xf>
    <xf numFmtId="0" fontId="86" fillId="48" borderId="83" xfId="0" applyFont="1" applyFill="1" applyBorder="1" applyAlignment="1">
      <alignment horizontal="center" vertical="center" wrapText="1"/>
    </xf>
    <xf numFmtId="0" fontId="86" fillId="48" borderId="84" xfId="0" applyFont="1" applyFill="1" applyBorder="1" applyAlignment="1">
      <alignment horizontal="center" vertical="center" wrapText="1"/>
    </xf>
    <xf numFmtId="0" fontId="86" fillId="48" borderId="85" xfId="0" applyFont="1" applyFill="1" applyBorder="1" applyAlignment="1">
      <alignment horizontal="center" vertical="center" wrapText="1"/>
    </xf>
    <xf numFmtId="0" fontId="86" fillId="48" borderId="86" xfId="0" applyFont="1" applyFill="1" applyBorder="1" applyAlignment="1">
      <alignment horizontal="center" vertical="center" wrapText="1"/>
    </xf>
    <xf numFmtId="0" fontId="86" fillId="48" borderId="87" xfId="0" applyFont="1" applyFill="1" applyBorder="1" applyAlignment="1">
      <alignment horizontal="center" vertical="center" wrapText="1"/>
    </xf>
    <xf numFmtId="0" fontId="86" fillId="46" borderId="88" xfId="0" applyFont="1" applyFill="1" applyBorder="1" applyAlignment="1">
      <alignment horizontal="center" vertical="center" wrapText="1"/>
    </xf>
    <xf numFmtId="0" fontId="86" fillId="46" borderId="89" xfId="0" applyFont="1" applyFill="1" applyBorder="1" applyAlignment="1">
      <alignment horizontal="center" vertical="center" wrapText="1"/>
    </xf>
    <xf numFmtId="0" fontId="86" fillId="46" borderId="90" xfId="0" applyFont="1" applyFill="1" applyBorder="1" applyAlignment="1">
      <alignment horizontal="center" vertical="center" wrapText="1"/>
    </xf>
    <xf numFmtId="0" fontId="86" fillId="0" borderId="91" xfId="0" applyFont="1" applyFill="1" applyBorder="1" applyAlignment="1">
      <alignment horizontal="center" vertical="center" wrapText="1"/>
    </xf>
    <xf numFmtId="0" fontId="86" fillId="0" borderId="81" xfId="0" applyFont="1" applyFill="1" applyBorder="1" applyAlignment="1">
      <alignment horizontal="center" vertical="center" wrapText="1"/>
    </xf>
    <xf numFmtId="0" fontId="86" fillId="0" borderId="82" xfId="0" applyFont="1" applyFill="1" applyBorder="1" applyAlignment="1">
      <alignment horizontal="center" vertical="center" wrapText="1"/>
    </xf>
    <xf numFmtId="0" fontId="86" fillId="0" borderId="92" xfId="0" applyFont="1" applyFill="1" applyBorder="1" applyAlignment="1">
      <alignment horizontal="center" vertical="center" wrapText="1"/>
    </xf>
    <xf numFmtId="0" fontId="86" fillId="0" borderId="93" xfId="0" applyFont="1" applyFill="1" applyBorder="1" applyAlignment="1">
      <alignment horizontal="center" vertical="center" wrapText="1"/>
    </xf>
    <xf numFmtId="0" fontId="86" fillId="46" borderId="94" xfId="0" applyFont="1" applyFill="1" applyBorder="1" applyAlignment="1">
      <alignment horizontal="center" vertical="center" wrapText="1"/>
    </xf>
    <xf numFmtId="0" fontId="86" fillId="0" borderId="95" xfId="0" applyFont="1" applyFill="1" applyBorder="1" applyAlignment="1">
      <alignment vertical="center" wrapText="1"/>
    </xf>
    <xf numFmtId="0" fontId="86" fillId="46" borderId="96" xfId="0" applyFont="1" applyFill="1" applyBorder="1" applyAlignment="1">
      <alignment horizontal="center" vertical="center" wrapText="1"/>
    </xf>
    <xf numFmtId="0" fontId="86" fillId="46" borderId="97" xfId="0" applyFont="1" applyFill="1" applyBorder="1" applyAlignment="1">
      <alignment horizontal="center" vertical="center" wrapText="1"/>
    </xf>
    <xf numFmtId="0" fontId="86" fillId="0" borderId="63" xfId="0" applyFont="1" applyFill="1" applyBorder="1" applyAlignment="1">
      <alignment vertical="center" wrapText="1"/>
    </xf>
    <xf numFmtId="0" fontId="86" fillId="0" borderId="7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th-TH" b="0">
                <a:solidFill>
                  <a:srgbClr val="757575"/>
                </a:solidFill>
                <a:latin typeface="+mn-lt"/>
              </a:rPr>
              <a:t>จำนวนวิชา และ </a:t>
            </a:r>
            <a:r>
              <a:rPr lang="en-US" b="0">
                <a:solidFill>
                  <a:srgbClr val="757575"/>
                </a:solidFill>
                <a:latin typeface="+mn-lt"/>
              </a:rPr>
              <a:t>WIL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Workload!$H$4</c:f>
              <c:strCache>
                <c:ptCount val="1"/>
                <c:pt idx="0">
                  <c:v>จำนวนวิชา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Workload!$I$3:$P$3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Workload!$I$4:$P$4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2-2B43-BBD9-78FB6618FC48}"/>
            </c:ext>
          </c:extLst>
        </c:ser>
        <c:ser>
          <c:idx val="1"/>
          <c:order val="1"/>
          <c:tx>
            <c:strRef>
              <c:f>Workload!$H$5</c:f>
              <c:strCache>
                <c:ptCount val="1"/>
                <c:pt idx="0">
                  <c:v>WIL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Workload!$I$3:$P$3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Workload!$I$5:$P$5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32-2B43-BBD9-78FB6618FC48}"/>
            </c:ext>
          </c:extLst>
        </c:ser>
        <c:ser>
          <c:idx val="2"/>
          <c:order val="2"/>
          <c:tx>
            <c:strRef>
              <c:f>Workload!$H$6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Workload!$I$3:$P$3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Workload!$I$6:$P$6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D32-2B43-BBD9-78FB6618F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131845"/>
        <c:axId val="2028392956"/>
      </c:barChart>
      <c:catAx>
        <c:axId val="915131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392956"/>
        <c:crosses val="autoZero"/>
        <c:auto val="1"/>
        <c:lblAlgn val="ctr"/>
        <c:lblOffset val="100"/>
        <c:noMultiLvlLbl val="1"/>
      </c:catAx>
      <c:valAx>
        <c:axId val="2028392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51318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933450</xdr:colOff>
      <xdr:row>6</xdr:row>
      <xdr:rowOff>342900</xdr:rowOff>
    </xdr:from>
    <xdr:ext cx="8686800" cy="4962525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EEFB2A-7C48-8443-9983-DE8685A3C3C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149c82-dac0-4a1e-b890-ce646626b1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AP1005"/>
  <sheetViews>
    <sheetView topLeftCell="A13" workbookViewId="0">
      <selection activeCell="H19" sqref="H19"/>
    </sheetView>
  </sheetViews>
  <sheetFormatPr defaultColWidth="14.42578125" defaultRowHeight="15" customHeight="1"/>
  <cols>
    <col min="1" max="1" width="18.85546875" customWidth="1"/>
    <col min="2" max="2" width="7.5703125" customWidth="1"/>
    <col min="3" max="3" width="11.85546875" customWidth="1"/>
    <col min="4" max="10" width="7.5703125" customWidth="1"/>
    <col min="11" max="11" width="9" customWidth="1"/>
    <col min="12" max="12" width="15" customWidth="1"/>
    <col min="13" max="13" width="22.5703125" customWidth="1"/>
    <col min="14" max="23" width="7.5703125" customWidth="1"/>
    <col min="24" max="24" width="7.85546875" customWidth="1"/>
    <col min="25" max="25" width="8.5703125" customWidth="1"/>
    <col min="26" max="26" width="8.42578125" customWidth="1"/>
    <col min="27" max="27" width="9.140625" customWidth="1"/>
    <col min="28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55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56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56" t="s">
        <v>57</v>
      </c>
      <c r="J3" s="337"/>
      <c r="K3" s="337"/>
      <c r="L3" s="337"/>
      <c r="M3" s="337"/>
      <c r="N3" s="8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59" t="s">
        <v>3</v>
      </c>
      <c r="E4" s="360"/>
      <c r="F4" s="361" t="s">
        <v>4</v>
      </c>
      <c r="G4" s="362"/>
      <c r="H4" s="361" t="s">
        <v>5</v>
      </c>
      <c r="I4" s="362"/>
      <c r="J4" s="357" t="s">
        <v>6</v>
      </c>
      <c r="K4" s="358"/>
      <c r="L4" s="359" t="s">
        <v>7</v>
      </c>
      <c r="M4" s="360"/>
      <c r="N4" s="359" t="s">
        <v>8</v>
      </c>
      <c r="O4" s="360"/>
      <c r="P4" s="359" t="s">
        <v>9</v>
      </c>
      <c r="Q4" s="374"/>
      <c r="R4" s="357" t="s">
        <v>10</v>
      </c>
      <c r="S4" s="341"/>
      <c r="T4" s="357" t="s">
        <v>11</v>
      </c>
      <c r="U4" s="358"/>
      <c r="V4" s="357" t="s">
        <v>12</v>
      </c>
      <c r="W4" s="358"/>
      <c r="X4" s="351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78.75" customHeight="1">
      <c r="A5" s="380" t="s">
        <v>13</v>
      </c>
      <c r="B5" s="11"/>
      <c r="C5" s="12"/>
      <c r="D5" s="12"/>
      <c r="E5" s="347" t="s">
        <v>58</v>
      </c>
      <c r="F5" s="334"/>
      <c r="G5" s="334"/>
      <c r="H5" s="348" t="s">
        <v>59</v>
      </c>
      <c r="I5" s="334"/>
      <c r="J5" s="335"/>
      <c r="K5" s="13"/>
      <c r="L5" s="379" t="s">
        <v>60</v>
      </c>
      <c r="M5" s="335"/>
      <c r="N5" s="375" t="s">
        <v>61</v>
      </c>
      <c r="O5" s="334"/>
      <c r="P5" s="334"/>
      <c r="Q5" s="334"/>
      <c r="R5" s="334"/>
      <c r="S5" s="334"/>
      <c r="T5" s="334"/>
      <c r="U5" s="335"/>
      <c r="V5" s="14"/>
      <c r="W5" s="1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3.5" customHeight="1">
      <c r="A6" s="332"/>
      <c r="B6" s="16"/>
      <c r="C6" s="16"/>
      <c r="D6" s="16"/>
      <c r="E6" s="336"/>
      <c r="F6" s="337"/>
      <c r="G6" s="337"/>
      <c r="H6" s="336"/>
      <c r="I6" s="337"/>
      <c r="J6" s="338"/>
      <c r="K6" s="17"/>
      <c r="L6" s="336"/>
      <c r="M6" s="338"/>
      <c r="N6" s="336"/>
      <c r="O6" s="337"/>
      <c r="P6" s="337"/>
      <c r="Q6" s="337"/>
      <c r="R6" s="337"/>
      <c r="S6" s="337"/>
      <c r="T6" s="337"/>
      <c r="U6" s="338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56.25" customHeight="1">
      <c r="A7" s="80"/>
      <c r="B7" s="20"/>
      <c r="C7" s="20"/>
      <c r="D7" s="20"/>
      <c r="E7" s="20"/>
      <c r="F7" s="20"/>
      <c r="G7" s="20"/>
      <c r="H7" s="20"/>
      <c r="I7" s="20"/>
      <c r="J7" s="20"/>
      <c r="K7" s="20"/>
      <c r="L7" s="376" t="s">
        <v>514</v>
      </c>
      <c r="M7" s="377"/>
      <c r="N7" s="375" t="s">
        <v>62</v>
      </c>
      <c r="O7" s="334"/>
      <c r="P7" s="334"/>
      <c r="Q7" s="334"/>
      <c r="R7" s="334"/>
      <c r="S7" s="334"/>
      <c r="T7" s="334"/>
      <c r="U7" s="335"/>
      <c r="V7" s="50"/>
      <c r="W7" s="27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49.5" customHeight="1">
      <c r="A8" s="80"/>
      <c r="B8" s="20"/>
      <c r="C8" s="20"/>
      <c r="D8" s="20"/>
      <c r="E8" s="20"/>
      <c r="F8" s="20"/>
      <c r="G8" s="20"/>
      <c r="H8" s="20"/>
      <c r="I8" s="20"/>
      <c r="J8" s="20"/>
      <c r="K8" s="20"/>
      <c r="L8" s="337"/>
      <c r="M8" s="338"/>
      <c r="N8" s="336"/>
      <c r="O8" s="337"/>
      <c r="P8" s="337"/>
      <c r="Q8" s="337"/>
      <c r="R8" s="337"/>
      <c r="S8" s="337"/>
      <c r="T8" s="337"/>
      <c r="U8" s="338"/>
      <c r="V8" s="50"/>
      <c r="W8" s="27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9.5" customHeight="1">
      <c r="A9" s="372" t="s">
        <v>14</v>
      </c>
      <c r="B9" s="20"/>
      <c r="C9" s="20"/>
      <c r="D9" s="20"/>
      <c r="E9" s="349" t="s">
        <v>63</v>
      </c>
      <c r="F9" s="334"/>
      <c r="G9" s="362"/>
      <c r="H9" s="350" t="s">
        <v>64</v>
      </c>
      <c r="I9" s="334"/>
      <c r="J9" s="335"/>
      <c r="K9" s="14"/>
      <c r="L9" s="333" t="s">
        <v>65</v>
      </c>
      <c r="M9" s="334"/>
      <c r="N9" s="334"/>
      <c r="O9" s="334"/>
      <c r="P9" s="334"/>
      <c r="Q9" s="334"/>
      <c r="R9" s="21"/>
      <c r="S9" s="21"/>
      <c r="T9" s="21"/>
      <c r="U9" s="13"/>
      <c r="V9" s="13"/>
      <c r="W9" s="22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9.5" customHeight="1">
      <c r="A10" s="332"/>
      <c r="B10" s="16"/>
      <c r="C10" s="16"/>
      <c r="D10" s="16"/>
      <c r="E10" s="336"/>
      <c r="F10" s="337"/>
      <c r="G10" s="365"/>
      <c r="H10" s="336"/>
      <c r="I10" s="337"/>
      <c r="J10" s="338"/>
      <c r="K10" s="23"/>
      <c r="L10" s="336"/>
      <c r="M10" s="337"/>
      <c r="N10" s="337"/>
      <c r="O10" s="337"/>
      <c r="P10" s="337"/>
      <c r="Q10" s="337"/>
      <c r="R10" s="23"/>
      <c r="S10" s="23"/>
      <c r="T10" s="23"/>
      <c r="U10" s="23"/>
      <c r="V10" s="23"/>
      <c r="W10" s="25"/>
      <c r="X10" s="1"/>
      <c r="Y10" s="1"/>
      <c r="Z10" s="5"/>
      <c r="AA10" s="5"/>
      <c r="AB10" s="5"/>
      <c r="AC10" s="5"/>
      <c r="AD10" s="5" t="s">
        <v>15</v>
      </c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0.5" customHeight="1">
      <c r="A11" s="342" t="s">
        <v>16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373" t="s">
        <v>66</v>
      </c>
      <c r="M11" s="335"/>
      <c r="N11" s="378" t="s">
        <v>67</v>
      </c>
      <c r="O11" s="334"/>
      <c r="P11" s="334"/>
      <c r="Q11" s="334"/>
      <c r="R11" s="334"/>
      <c r="S11" s="334"/>
      <c r="T11" s="334"/>
      <c r="U11" s="335"/>
      <c r="V11" s="81"/>
      <c r="W11" s="82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58.5" customHeight="1">
      <c r="A12" s="343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336"/>
      <c r="M12" s="338"/>
      <c r="N12" s="336"/>
      <c r="O12" s="337"/>
      <c r="P12" s="337"/>
      <c r="Q12" s="337"/>
      <c r="R12" s="337"/>
      <c r="S12" s="337"/>
      <c r="T12" s="337"/>
      <c r="U12" s="338"/>
      <c r="V12" s="81"/>
      <c r="W12" s="82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343"/>
      <c r="B13" s="30"/>
      <c r="C13" s="14"/>
      <c r="D13" s="14"/>
      <c r="E13" s="14"/>
      <c r="F13" s="14"/>
      <c r="G13" s="14"/>
      <c r="H13" s="14"/>
      <c r="I13" s="14"/>
      <c r="J13" s="14"/>
      <c r="K13" s="14"/>
      <c r="L13" s="373" t="s">
        <v>68</v>
      </c>
      <c r="M13" s="335"/>
      <c r="N13" s="378" t="s">
        <v>69</v>
      </c>
      <c r="O13" s="334"/>
      <c r="P13" s="334"/>
      <c r="Q13" s="334"/>
      <c r="R13" s="334"/>
      <c r="S13" s="334"/>
      <c r="T13" s="334"/>
      <c r="U13" s="335"/>
      <c r="V13" s="14"/>
      <c r="W13" s="15"/>
      <c r="X13" s="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53.25" customHeight="1">
      <c r="A14" s="332"/>
      <c r="B14" s="31"/>
      <c r="C14" s="18"/>
      <c r="D14" s="18"/>
      <c r="E14" s="18"/>
      <c r="F14" s="18"/>
      <c r="G14" s="18"/>
      <c r="H14" s="18"/>
      <c r="I14" s="18"/>
      <c r="J14" s="18"/>
      <c r="K14" s="18"/>
      <c r="L14" s="336"/>
      <c r="M14" s="338"/>
      <c r="N14" s="336"/>
      <c r="O14" s="337"/>
      <c r="P14" s="337"/>
      <c r="Q14" s="337"/>
      <c r="R14" s="337"/>
      <c r="S14" s="337"/>
      <c r="T14" s="337"/>
      <c r="U14" s="338"/>
      <c r="V14" s="18"/>
      <c r="W14" s="19"/>
      <c r="X14" s="1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52.5" customHeight="1">
      <c r="A15" s="344" t="s">
        <v>17</v>
      </c>
      <c r="B15" s="20"/>
      <c r="C15" s="20"/>
      <c r="D15" s="20"/>
      <c r="E15" s="347" t="s">
        <v>70</v>
      </c>
      <c r="F15" s="334"/>
      <c r="G15" s="335"/>
      <c r="H15" s="348" t="s">
        <v>71</v>
      </c>
      <c r="I15" s="334"/>
      <c r="J15" s="335"/>
      <c r="K15" s="14"/>
      <c r="L15" s="12"/>
      <c r="M15" s="12"/>
      <c r="N15" s="12"/>
      <c r="O15" s="14"/>
      <c r="P15" s="14"/>
      <c r="Q15" s="12"/>
      <c r="R15" s="14"/>
      <c r="S15" s="14"/>
      <c r="T15" s="14"/>
      <c r="U15" s="32"/>
      <c r="V15" s="32"/>
      <c r="W15" s="33"/>
      <c r="X15" s="1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39" customHeight="1">
      <c r="A16" s="332"/>
      <c r="B16" s="20"/>
      <c r="C16" s="20"/>
      <c r="D16" s="20"/>
      <c r="E16" s="336"/>
      <c r="F16" s="337"/>
      <c r="G16" s="338"/>
      <c r="H16" s="336"/>
      <c r="I16" s="337"/>
      <c r="J16" s="338"/>
      <c r="K16" s="18"/>
      <c r="L16" s="16"/>
      <c r="M16" s="16"/>
      <c r="N16" s="16"/>
      <c r="O16" s="18"/>
      <c r="P16" s="18"/>
      <c r="Q16" s="16"/>
      <c r="R16" s="18"/>
      <c r="S16" s="18"/>
      <c r="T16" s="18"/>
      <c r="U16" s="23"/>
      <c r="V16" s="23"/>
      <c r="W16" s="34"/>
      <c r="X16" s="1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50.25" customHeight="1">
      <c r="A17" s="345" t="s">
        <v>18</v>
      </c>
      <c r="B17" s="35"/>
      <c r="C17" s="21"/>
      <c r="D17" s="21"/>
      <c r="E17" s="349" t="s">
        <v>72</v>
      </c>
      <c r="F17" s="334"/>
      <c r="G17" s="335"/>
      <c r="H17" s="350" t="s">
        <v>73</v>
      </c>
      <c r="I17" s="334"/>
      <c r="J17" s="335"/>
      <c r="K17" s="14"/>
      <c r="L17" s="333" t="s">
        <v>74</v>
      </c>
      <c r="M17" s="334"/>
      <c r="N17" s="334"/>
      <c r="O17" s="335"/>
      <c r="P17" s="12"/>
      <c r="Q17" s="12"/>
      <c r="R17" s="14"/>
      <c r="S17" s="14"/>
      <c r="T17" s="14"/>
      <c r="U17" s="32"/>
      <c r="V17" s="32"/>
      <c r="W17" s="33"/>
      <c r="X17" s="36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66.75" customHeight="1">
      <c r="A18" s="346"/>
      <c r="B18" s="37"/>
      <c r="C18" s="29"/>
      <c r="D18" s="29"/>
      <c r="E18" s="336"/>
      <c r="F18" s="337"/>
      <c r="G18" s="338"/>
      <c r="H18" s="336"/>
      <c r="I18" s="337"/>
      <c r="J18" s="338"/>
      <c r="K18" s="18"/>
      <c r="L18" s="336"/>
      <c r="M18" s="337"/>
      <c r="N18" s="337"/>
      <c r="O18" s="338"/>
      <c r="P18" s="16"/>
      <c r="Q18" s="16"/>
      <c r="R18" s="18"/>
      <c r="S18" s="18"/>
      <c r="T18" s="18"/>
      <c r="U18" s="23"/>
      <c r="V18" s="23"/>
      <c r="W18" s="34"/>
      <c r="X18" s="36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52.5" customHeight="1">
      <c r="A19" s="83"/>
      <c r="B19" s="37"/>
      <c r="C19" s="29"/>
      <c r="D19" s="29"/>
      <c r="E19" s="84"/>
      <c r="F19" s="84"/>
      <c r="G19" s="84"/>
      <c r="H19" s="84"/>
      <c r="I19" s="84"/>
      <c r="J19" s="84"/>
      <c r="K19" s="18"/>
      <c r="L19" s="29"/>
      <c r="M19" s="84"/>
      <c r="N19" s="84"/>
      <c r="O19" s="84"/>
      <c r="P19" s="84"/>
      <c r="Q19" s="84"/>
      <c r="R19" s="84"/>
      <c r="S19" s="18"/>
      <c r="T19" s="29"/>
      <c r="U19" s="84"/>
      <c r="V19" s="84"/>
      <c r="W19" s="84"/>
      <c r="X19" s="36"/>
      <c r="Y19" s="1" t="s">
        <v>75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38" t="s">
        <v>19</v>
      </c>
      <c r="B20" s="39"/>
      <c r="C20" s="40"/>
      <c r="D20" s="40"/>
      <c r="E20" s="40"/>
      <c r="F20" s="40"/>
      <c r="G20" s="40"/>
      <c r="H20" s="40"/>
      <c r="I20" s="40"/>
      <c r="J20" s="40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0"/>
      <c r="W20" s="41"/>
      <c r="X20" s="1"/>
      <c r="Y20" s="1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38" t="s">
        <v>20</v>
      </c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1"/>
      <c r="X21" s="1"/>
      <c r="Y21" s="1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39" t="s">
        <v>21</v>
      </c>
      <c r="R24" s="340"/>
      <c r="S24" s="341"/>
      <c r="T24" s="339" t="s">
        <v>22</v>
      </c>
      <c r="U24" s="341"/>
      <c r="V24" s="339" t="s">
        <v>23</v>
      </c>
      <c r="W24" s="341"/>
      <c r="X24" s="331" t="s">
        <v>24</v>
      </c>
      <c r="Y24" s="331" t="s">
        <v>25</v>
      </c>
      <c r="Z24" s="331" t="s">
        <v>26</v>
      </c>
      <c r="AA24" s="331" t="s">
        <v>27</v>
      </c>
      <c r="AB24" s="43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28.5" customHeight="1">
      <c r="A25" s="44" t="s">
        <v>28</v>
      </c>
      <c r="B25" s="45" t="s">
        <v>29</v>
      </c>
      <c r="C25" s="4" t="s">
        <v>30</v>
      </c>
      <c r="D25" s="355" t="s">
        <v>31</v>
      </c>
      <c r="E25" s="352"/>
      <c r="F25" s="352"/>
      <c r="G25" s="352"/>
      <c r="H25" s="352"/>
      <c r="I25" s="352"/>
      <c r="J25" s="352"/>
      <c r="K25" s="4" t="s">
        <v>32</v>
      </c>
      <c r="L25" s="46" t="s">
        <v>33</v>
      </c>
      <c r="M25" s="46" t="s">
        <v>34</v>
      </c>
      <c r="N25" s="355" t="s">
        <v>35</v>
      </c>
      <c r="O25" s="352"/>
      <c r="P25" s="47"/>
      <c r="Q25" s="48" t="s">
        <v>36</v>
      </c>
      <c r="R25" s="48" t="s">
        <v>37</v>
      </c>
      <c r="S25" s="48" t="s">
        <v>38</v>
      </c>
      <c r="T25" s="48" t="s">
        <v>39</v>
      </c>
      <c r="U25" s="48" t="s">
        <v>40</v>
      </c>
      <c r="V25" s="48" t="s">
        <v>41</v>
      </c>
      <c r="W25" s="48" t="s">
        <v>42</v>
      </c>
      <c r="X25" s="332"/>
      <c r="Y25" s="332"/>
      <c r="Z25" s="332"/>
      <c r="AA25" s="332"/>
      <c r="AB25" s="49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9.5" customHeight="1">
      <c r="A26" s="50" t="s">
        <v>43</v>
      </c>
      <c r="B26" s="51">
        <v>1</v>
      </c>
      <c r="C26" s="52" t="s">
        <v>76</v>
      </c>
      <c r="D26" s="369" t="s">
        <v>77</v>
      </c>
      <c r="E26" s="352"/>
      <c r="F26" s="352"/>
      <c r="G26" s="352"/>
      <c r="H26" s="352"/>
      <c r="I26" s="352"/>
      <c r="J26" s="352"/>
      <c r="K26" s="53">
        <f>VLOOKUP($C26,'DG2562V1.2Courses'!$B$4:$F$99,4,FALSE)</f>
        <v>3</v>
      </c>
      <c r="L26" s="54" t="s">
        <v>78</v>
      </c>
      <c r="M26" s="54" t="s">
        <v>45</v>
      </c>
      <c r="N26" s="55"/>
      <c r="O26" s="55"/>
      <c r="P26" s="55"/>
      <c r="Q26" s="56"/>
      <c r="R26" s="56"/>
      <c r="S26" s="56"/>
      <c r="T26" s="56"/>
      <c r="U26" s="56"/>
      <c r="V26" s="57">
        <v>4</v>
      </c>
      <c r="W26" s="56"/>
      <c r="X26" s="56"/>
      <c r="Y26" s="58"/>
      <c r="Z26" s="58"/>
      <c r="AA26" s="59"/>
      <c r="AB26" s="49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21" customHeight="1">
      <c r="A27" s="50" t="s">
        <v>43</v>
      </c>
      <c r="B27" s="60">
        <v>2</v>
      </c>
      <c r="C27" s="61" t="s">
        <v>46</v>
      </c>
      <c r="D27" s="370" t="str">
        <f>VLOOKUP($C27,'DG2562V1.2Courses'!$B$4:$F$99,3,FALSE)</f>
        <v>Computer and Programming for Game 1</v>
      </c>
      <c r="E27" s="352"/>
      <c r="F27" s="352"/>
      <c r="G27" s="352"/>
      <c r="H27" s="352"/>
      <c r="I27" s="352"/>
      <c r="J27" s="352"/>
      <c r="K27" s="62">
        <f>VLOOKUP($C27,'DG2562V1.2Courses'!$B$4:$F$99,4,FALSE)</f>
        <v>3</v>
      </c>
      <c r="L27" s="54" t="s">
        <v>47</v>
      </c>
      <c r="M27" s="63" t="s">
        <v>48</v>
      </c>
      <c r="N27" s="371"/>
      <c r="O27" s="352"/>
      <c r="P27" s="55"/>
      <c r="Q27" s="64"/>
      <c r="R27" s="64"/>
      <c r="S27" s="64"/>
      <c r="T27" s="64"/>
      <c r="U27" s="64"/>
      <c r="V27" s="64">
        <v>4</v>
      </c>
      <c r="W27" s="64"/>
      <c r="X27" s="64"/>
      <c r="Y27" s="64"/>
      <c r="Z27" s="64"/>
      <c r="AA27" s="65"/>
      <c r="AB27" s="49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0" t="s">
        <v>43</v>
      </c>
      <c r="B28" s="51">
        <v>3</v>
      </c>
      <c r="C28" s="66" t="s">
        <v>49</v>
      </c>
      <c r="D28" s="363" t="str">
        <f>VLOOKUP($C28,'DG2562V1.2Courses'!$B$4:$F$99,3,FALSE)</f>
        <v>Psychology and Daily Life</v>
      </c>
      <c r="E28" s="352"/>
      <c r="F28" s="352"/>
      <c r="G28" s="352"/>
      <c r="H28" s="352"/>
      <c r="I28" s="352"/>
      <c r="J28" s="352"/>
      <c r="K28" s="67">
        <f>VLOOKUP($C28,'DG2562V1.2Courses'!$B$4:$F$99,4,FALSE)</f>
        <v>3</v>
      </c>
      <c r="M28" s="68"/>
      <c r="N28" s="55"/>
      <c r="O28" s="55"/>
      <c r="P28" s="55"/>
      <c r="Q28" s="55"/>
      <c r="R28" s="55"/>
      <c r="S28" s="55"/>
      <c r="T28" s="55"/>
      <c r="U28" s="55"/>
      <c r="V28" s="55"/>
      <c r="W28" s="47"/>
      <c r="X28" s="47"/>
      <c r="Y28" s="4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0" t="s">
        <v>43</v>
      </c>
      <c r="B29" s="60">
        <v>4</v>
      </c>
      <c r="C29" s="69" t="s">
        <v>50</v>
      </c>
      <c r="D29" s="364" t="str">
        <f>VLOOKUP($C29,'DG2562V1.2Courses'!$B$4:$F$99,3,FALSE)</f>
        <v>Citizenship</v>
      </c>
      <c r="E29" s="352"/>
      <c r="F29" s="352"/>
      <c r="G29" s="352"/>
      <c r="H29" s="352"/>
      <c r="I29" s="352"/>
      <c r="J29" s="352"/>
      <c r="K29" s="70">
        <f>VLOOKUP($C29,'DG2562V1.2Courses'!$B$4:$F$99,4,FALSE)</f>
        <v>3</v>
      </c>
      <c r="L29" s="44"/>
      <c r="M29" s="44"/>
      <c r="N29" s="55"/>
      <c r="O29" s="55"/>
      <c r="P29" s="55"/>
      <c r="Q29" s="55"/>
      <c r="R29" s="55"/>
      <c r="S29" s="55"/>
      <c r="T29" s="55"/>
      <c r="U29" s="55"/>
      <c r="V29" s="55"/>
      <c r="W29" s="47"/>
      <c r="X29" s="47"/>
      <c r="Y29" s="4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0" t="s">
        <v>43</v>
      </c>
      <c r="B30" s="51">
        <v>5</v>
      </c>
      <c r="C30" s="71" t="s">
        <v>51</v>
      </c>
      <c r="D30" s="366" t="str">
        <f>VLOOKUP($C30,'DG2562V1.2Courses'!$B$4:$F$99,3,FALSE)</f>
        <v>Architecture in Everyday Life</v>
      </c>
      <c r="E30" s="352"/>
      <c r="F30" s="352"/>
      <c r="G30" s="352"/>
      <c r="H30" s="352"/>
      <c r="I30" s="352"/>
      <c r="J30" s="352"/>
      <c r="K30" s="72">
        <f>VLOOKUP($C30,'DG2562V1.2Courses'!$B$4:$F$99,4,FALSE)</f>
        <v>3</v>
      </c>
      <c r="L30" s="44"/>
      <c r="M30" s="44"/>
      <c r="N30" s="55"/>
      <c r="O30" s="55"/>
      <c r="P30" s="55"/>
      <c r="Q30" s="55"/>
      <c r="R30" s="55"/>
      <c r="S30" s="55"/>
      <c r="T30" s="55"/>
      <c r="U30" s="55"/>
      <c r="V30" s="55"/>
      <c r="W30" s="47"/>
      <c r="X30" s="47"/>
      <c r="Y30" s="47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0" t="s">
        <v>43</v>
      </c>
      <c r="B31" s="60">
        <v>6</v>
      </c>
      <c r="C31" s="73" t="s">
        <v>52</v>
      </c>
      <c r="D31" s="367" t="str">
        <f>VLOOKUP($C31,'DG2562V1.2Courses'!$B$4:$F$99,3,FALSE)</f>
        <v>Fundamental English 1</v>
      </c>
      <c r="E31" s="352"/>
      <c r="F31" s="352"/>
      <c r="G31" s="352"/>
      <c r="H31" s="352"/>
      <c r="I31" s="352"/>
      <c r="J31" s="352"/>
      <c r="K31" s="74">
        <f>VLOOKUP($C31,'DG2562V1.2Courses'!$B$4:$F$99,4,FALSE)</f>
        <v>3</v>
      </c>
      <c r="L31" s="50"/>
      <c r="M31" s="50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0"/>
      <c r="L32" s="50"/>
      <c r="M32" s="50"/>
      <c r="N32" s="349" t="s">
        <v>53</v>
      </c>
      <c r="O32" s="334"/>
      <c r="P32" s="362"/>
      <c r="Q32" s="50"/>
      <c r="R32" s="349">
        <v>140104</v>
      </c>
      <c r="S32" s="334"/>
      <c r="T32" s="362"/>
      <c r="U32" s="50"/>
      <c r="V32" s="349">
        <v>13110</v>
      </c>
      <c r="W32" s="334"/>
      <c r="X32" s="362"/>
      <c r="Y32" s="47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0"/>
      <c r="B33" s="50"/>
      <c r="C33" s="368" t="s">
        <v>54</v>
      </c>
      <c r="D33" s="352"/>
      <c r="E33" s="352"/>
      <c r="F33" s="352"/>
      <c r="G33" s="352"/>
      <c r="H33" s="76"/>
      <c r="I33" s="75"/>
      <c r="J33" s="4"/>
      <c r="K33" s="77">
        <f>SUM(K26:K31)</f>
        <v>18</v>
      </c>
      <c r="L33" s="50"/>
      <c r="M33" s="50"/>
      <c r="N33" s="336"/>
      <c r="O33" s="337"/>
      <c r="P33" s="365"/>
      <c r="Q33" s="50"/>
      <c r="R33" s="336"/>
      <c r="S33" s="337"/>
      <c r="T33" s="365"/>
      <c r="U33" s="50"/>
      <c r="V33" s="336"/>
      <c r="W33" s="337"/>
      <c r="X33" s="365"/>
      <c r="Y33" s="47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26"/>
      <c r="B34" s="26"/>
      <c r="C34" s="26"/>
      <c r="D34" s="26"/>
      <c r="E34" s="26"/>
      <c r="F34" s="26"/>
      <c r="G34" s="26"/>
      <c r="H34" s="26"/>
      <c r="I34" s="26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47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47"/>
      <c r="B35" s="1"/>
      <c r="C35" s="1"/>
      <c r="D35" s="1"/>
      <c r="E35" s="1"/>
      <c r="F35" s="1"/>
      <c r="G35" s="1"/>
      <c r="H35" s="1"/>
      <c r="I35" s="1"/>
      <c r="J35" s="47"/>
      <c r="K35" s="47"/>
      <c r="L35" s="47"/>
      <c r="M35" s="50"/>
      <c r="N35" s="349" t="s">
        <v>53</v>
      </c>
      <c r="O35" s="334"/>
      <c r="P35" s="362"/>
      <c r="Q35" s="50"/>
      <c r="R35" s="349">
        <v>140104</v>
      </c>
      <c r="S35" s="334"/>
      <c r="T35" s="362"/>
      <c r="U35" s="50"/>
      <c r="V35" s="349">
        <v>13110</v>
      </c>
      <c r="W35" s="334"/>
      <c r="X35" s="362"/>
      <c r="Y35" s="47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4.25" customHeight="1">
      <c r="A36" s="78"/>
      <c r="B36" s="78"/>
      <c r="C36" s="78"/>
      <c r="D36" s="78"/>
      <c r="E36" s="78"/>
      <c r="F36" s="78"/>
      <c r="G36" s="78"/>
      <c r="H36" s="78"/>
      <c r="I36" s="78"/>
      <c r="J36" s="47"/>
      <c r="K36" s="47"/>
      <c r="L36" s="47"/>
      <c r="M36" s="50"/>
      <c r="N36" s="336"/>
      <c r="O36" s="337"/>
      <c r="P36" s="365"/>
      <c r="Q36" s="50"/>
      <c r="R36" s="336"/>
      <c r="S36" s="337"/>
      <c r="T36" s="365"/>
      <c r="U36" s="50"/>
      <c r="V36" s="336"/>
      <c r="W36" s="337"/>
      <c r="X36" s="365"/>
      <c r="Y36" s="47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47"/>
      <c r="K37" s="47"/>
      <c r="L37" s="47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47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78"/>
      <c r="B38" s="78"/>
      <c r="C38" s="78"/>
      <c r="D38" s="78"/>
      <c r="E38" s="78"/>
      <c r="F38" s="78"/>
      <c r="G38" s="78"/>
      <c r="H38" s="78"/>
      <c r="I38" s="78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"/>
      <c r="B39" s="1"/>
      <c r="C39" s="1"/>
      <c r="D39" s="1"/>
      <c r="E39" s="1"/>
      <c r="F39" s="1"/>
      <c r="G39" s="1"/>
      <c r="H39" s="1"/>
      <c r="I39" s="1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"/>
      <c r="B40" s="1"/>
      <c r="C40" s="1"/>
      <c r="D40" s="1"/>
      <c r="E40" s="1"/>
      <c r="F40" s="1"/>
      <c r="G40" s="1"/>
      <c r="H40" s="1"/>
      <c r="I40" s="1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"/>
      <c r="B41" s="1"/>
      <c r="C41" s="1"/>
      <c r="D41" s="1"/>
      <c r="E41" s="1"/>
      <c r="F41" s="1"/>
      <c r="G41" s="1"/>
      <c r="H41" s="1"/>
      <c r="I41" s="1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"/>
      <c r="B42" s="1"/>
      <c r="C42" s="1"/>
      <c r="D42" s="1"/>
      <c r="E42" s="1"/>
      <c r="F42" s="1"/>
      <c r="G42" s="1"/>
      <c r="H42" s="1"/>
      <c r="I42" s="1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1"/>
      <c r="B44" s="1"/>
      <c r="C44" s="1"/>
      <c r="D44" s="1"/>
      <c r="E44" s="1"/>
      <c r="F44" s="1"/>
      <c r="G44" s="1"/>
      <c r="H44" s="1"/>
      <c r="I44" s="1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1"/>
      <c r="B45" s="1"/>
      <c r="C45" s="1"/>
      <c r="D45" s="1"/>
      <c r="E45" s="1"/>
      <c r="F45" s="1"/>
      <c r="G45" s="1"/>
      <c r="H45" s="1"/>
      <c r="I45" s="1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1"/>
      <c r="B46" s="1"/>
      <c r="C46" s="1"/>
      <c r="D46" s="1"/>
      <c r="E46" s="1"/>
      <c r="F46" s="1"/>
      <c r="G46" s="1"/>
      <c r="H46" s="1"/>
      <c r="I46" s="1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1"/>
      <c r="B47" s="1"/>
      <c r="C47" s="1"/>
      <c r="D47" s="1"/>
      <c r="E47" s="1"/>
      <c r="F47" s="1"/>
      <c r="G47" s="1"/>
      <c r="H47" s="1"/>
      <c r="I47" s="1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1"/>
      <c r="B48" s="1"/>
      <c r="C48" s="1"/>
      <c r="D48" s="1"/>
      <c r="E48" s="1"/>
      <c r="F48" s="1"/>
      <c r="G48" s="1"/>
      <c r="H48" s="1"/>
      <c r="I48" s="1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1"/>
      <c r="B49" s="1"/>
      <c r="C49" s="1"/>
      <c r="D49" s="1"/>
      <c r="E49" s="1"/>
      <c r="F49" s="1"/>
      <c r="G49" s="1"/>
      <c r="H49" s="1"/>
      <c r="I49" s="1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3">
    <mergeCell ref="A5:A6"/>
    <mergeCell ref="E5:G6"/>
    <mergeCell ref="H5:J6"/>
    <mergeCell ref="A9:A10"/>
    <mergeCell ref="L13:M14"/>
    <mergeCell ref="N4:O4"/>
    <mergeCell ref="P4:Q4"/>
    <mergeCell ref="N5:U6"/>
    <mergeCell ref="L7:M8"/>
    <mergeCell ref="N7:U8"/>
    <mergeCell ref="N11:U12"/>
    <mergeCell ref="N13:U14"/>
    <mergeCell ref="R4:S4"/>
    <mergeCell ref="T4:U4"/>
    <mergeCell ref="E9:G10"/>
    <mergeCell ref="H9:J10"/>
    <mergeCell ref="L9:Q10"/>
    <mergeCell ref="L5:M6"/>
    <mergeCell ref="L11:M12"/>
    <mergeCell ref="D25:J25"/>
    <mergeCell ref="N25:O25"/>
    <mergeCell ref="D26:J26"/>
    <mergeCell ref="D27:J27"/>
    <mergeCell ref="N27:O27"/>
    <mergeCell ref="D28:J28"/>
    <mergeCell ref="D29:J29"/>
    <mergeCell ref="R35:T36"/>
    <mergeCell ref="V35:X36"/>
    <mergeCell ref="D30:J30"/>
    <mergeCell ref="D31:J31"/>
    <mergeCell ref="N32:P33"/>
    <mergeCell ref="R32:T33"/>
    <mergeCell ref="V32:X33"/>
    <mergeCell ref="C33:G33"/>
    <mergeCell ref="N35:P36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J4:K4"/>
    <mergeCell ref="L4:M4"/>
    <mergeCell ref="A11:A14"/>
    <mergeCell ref="A15:A16"/>
    <mergeCell ref="A17:A18"/>
    <mergeCell ref="E15:G16"/>
    <mergeCell ref="H15:J16"/>
    <mergeCell ref="E17:G18"/>
    <mergeCell ref="H17:J18"/>
    <mergeCell ref="Y24:Y25"/>
    <mergeCell ref="Z24:Z25"/>
    <mergeCell ref="AA24:AA25"/>
    <mergeCell ref="L17:O18"/>
    <mergeCell ref="Q24:S24"/>
    <mergeCell ref="T24:U24"/>
    <mergeCell ref="V24:W24"/>
    <mergeCell ref="X24:X25"/>
  </mergeCells>
  <pageMargins left="0.25" right="0.25" top="0.75" bottom="0.7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AP1005"/>
  <sheetViews>
    <sheetView workbookViewId="0">
      <selection activeCell="K11" sqref="K11"/>
    </sheetView>
  </sheetViews>
  <sheetFormatPr defaultColWidth="14.42578125" defaultRowHeight="15" customHeight="1"/>
  <cols>
    <col min="1" max="1" width="21.85546875" customWidth="1"/>
    <col min="2" max="2" width="7.5703125" customWidth="1"/>
    <col min="3" max="3" width="10.140625" customWidth="1"/>
    <col min="4" max="10" width="7.5703125" customWidth="1"/>
    <col min="11" max="11" width="12" customWidth="1"/>
    <col min="12" max="12" width="13.42578125" customWidth="1"/>
    <col min="13" max="13" width="16.85546875" customWidth="1"/>
    <col min="14" max="14" width="13.42578125" customWidth="1"/>
    <col min="15" max="23" width="7.5703125" customWidth="1"/>
    <col min="24" max="25" width="5.85546875" customWidth="1"/>
    <col min="26" max="26" width="9" customWidth="1"/>
    <col min="27" max="27" width="8.85546875" customWidth="1"/>
    <col min="28" max="28" width="8.42578125" customWidth="1"/>
    <col min="29" max="29" width="8.140625" customWidth="1"/>
    <col min="30" max="30" width="10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79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56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56" t="s">
        <v>1</v>
      </c>
      <c r="J3" s="337"/>
      <c r="K3" s="337"/>
      <c r="L3" s="337"/>
      <c r="M3" s="337"/>
      <c r="N3" s="8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61" t="s">
        <v>3</v>
      </c>
      <c r="E4" s="362"/>
      <c r="F4" s="361" t="s">
        <v>4</v>
      </c>
      <c r="G4" s="362"/>
      <c r="H4" s="357" t="s">
        <v>5</v>
      </c>
      <c r="I4" s="358"/>
      <c r="J4" s="357" t="s">
        <v>6</v>
      </c>
      <c r="K4" s="358"/>
      <c r="L4" s="357" t="s">
        <v>7</v>
      </c>
      <c r="M4" s="358"/>
      <c r="N4" s="357" t="s">
        <v>8</v>
      </c>
      <c r="O4" s="358"/>
      <c r="P4" s="361" t="s">
        <v>9</v>
      </c>
      <c r="Q4" s="335"/>
      <c r="R4" s="361" t="s">
        <v>10</v>
      </c>
      <c r="S4" s="335"/>
      <c r="T4" s="359" t="s">
        <v>11</v>
      </c>
      <c r="U4" s="360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52.5" customHeight="1">
      <c r="A5" s="380" t="s">
        <v>13</v>
      </c>
      <c r="B5" s="87"/>
      <c r="C5" s="87"/>
      <c r="D5" s="87"/>
      <c r="E5" s="406" t="s">
        <v>80</v>
      </c>
      <c r="F5" s="334"/>
      <c r="G5" s="335"/>
      <c r="H5" s="409" t="s">
        <v>81</v>
      </c>
      <c r="I5" s="334"/>
      <c r="J5" s="335"/>
      <c r="K5" s="13"/>
      <c r="L5" s="12"/>
      <c r="M5" s="20"/>
      <c r="N5" s="20"/>
      <c r="O5" s="416" t="s">
        <v>82</v>
      </c>
      <c r="P5" s="334"/>
      <c r="Q5" s="334"/>
      <c r="R5" s="335"/>
      <c r="S5" s="12"/>
      <c r="T5" s="12"/>
      <c r="U5" s="12"/>
      <c r="V5" s="14"/>
      <c r="W5" s="15"/>
      <c r="X5" s="88"/>
      <c r="Y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59.25" customHeight="1">
      <c r="A6" s="332"/>
      <c r="B6" s="87"/>
      <c r="C6" s="87"/>
      <c r="D6" s="87"/>
      <c r="E6" s="336"/>
      <c r="F6" s="337"/>
      <c r="G6" s="338"/>
      <c r="H6" s="337"/>
      <c r="I6" s="337"/>
      <c r="J6" s="338"/>
      <c r="K6" s="17"/>
      <c r="L6" s="16" t="s">
        <v>83</v>
      </c>
      <c r="M6" s="16"/>
      <c r="N6" s="16"/>
      <c r="O6" s="336"/>
      <c r="P6" s="337"/>
      <c r="Q6" s="337"/>
      <c r="R6" s="338"/>
      <c r="S6" s="16"/>
      <c r="T6" s="16"/>
      <c r="U6" s="16"/>
      <c r="V6" s="18"/>
      <c r="W6" s="19"/>
      <c r="X6" s="88"/>
      <c r="Y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52.5" customHeight="1">
      <c r="A7" s="372" t="s">
        <v>14</v>
      </c>
      <c r="B7" s="89"/>
      <c r="C7" s="90"/>
      <c r="D7" s="91"/>
      <c r="E7" s="408" t="s">
        <v>84</v>
      </c>
      <c r="F7" s="334"/>
      <c r="G7" s="335"/>
      <c r="H7" s="393" t="s">
        <v>85</v>
      </c>
      <c r="I7" s="334"/>
      <c r="J7" s="335"/>
      <c r="K7" s="14"/>
      <c r="L7" s="417" t="s">
        <v>86</v>
      </c>
      <c r="M7" s="334"/>
      <c r="N7" s="334"/>
      <c r="O7" s="334"/>
      <c r="P7" s="334"/>
      <c r="Q7" s="362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2.5" customHeight="1">
      <c r="A8" s="332"/>
      <c r="B8" s="92"/>
      <c r="C8" s="24"/>
      <c r="D8" s="93"/>
      <c r="E8" s="336"/>
      <c r="F8" s="337"/>
      <c r="G8" s="338"/>
      <c r="H8" s="336"/>
      <c r="I8" s="337"/>
      <c r="J8" s="338"/>
      <c r="K8" s="18"/>
      <c r="L8" s="336"/>
      <c r="M8" s="337"/>
      <c r="N8" s="337"/>
      <c r="O8" s="337"/>
      <c r="P8" s="337"/>
      <c r="Q8" s="365"/>
      <c r="R8" s="24"/>
      <c r="S8" s="24"/>
      <c r="T8" s="24"/>
      <c r="U8" s="24"/>
      <c r="V8" s="24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7.25" customHeight="1">
      <c r="A9" s="342" t="s">
        <v>16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418" t="s">
        <v>87</v>
      </c>
      <c r="M9" s="335"/>
      <c r="N9" s="418" t="s">
        <v>88</v>
      </c>
      <c r="O9" s="334"/>
      <c r="P9" s="334"/>
      <c r="Q9" s="334"/>
      <c r="R9" s="334"/>
      <c r="S9" s="334"/>
      <c r="T9" s="334"/>
      <c r="U9" s="335"/>
      <c r="V9" s="81"/>
      <c r="W9" s="82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7.25" customHeight="1">
      <c r="A10" s="343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336"/>
      <c r="M10" s="338"/>
      <c r="N10" s="336"/>
      <c r="O10" s="337"/>
      <c r="P10" s="337"/>
      <c r="Q10" s="337"/>
      <c r="R10" s="337"/>
      <c r="S10" s="337"/>
      <c r="T10" s="337"/>
      <c r="U10" s="338"/>
      <c r="V10" s="81"/>
      <c r="W10" s="82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7.25" customHeight="1">
      <c r="A11" s="343"/>
      <c r="B11" s="30"/>
      <c r="C11" s="14"/>
      <c r="D11" s="14"/>
      <c r="E11" s="14"/>
      <c r="F11" s="14"/>
      <c r="G11" s="14"/>
      <c r="H11" s="14"/>
      <c r="I11" s="14"/>
      <c r="J11" s="14"/>
      <c r="K11" s="14"/>
      <c r="L11" s="413" t="s">
        <v>89</v>
      </c>
      <c r="M11" s="334"/>
      <c r="N11" s="334"/>
      <c r="O11" s="334"/>
      <c r="P11" s="334"/>
      <c r="Q11" s="362"/>
      <c r="R11" s="94"/>
      <c r="S11" s="95"/>
      <c r="T11" s="94"/>
      <c r="U11" s="95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51" customHeight="1">
      <c r="A12" s="332"/>
      <c r="B12" s="31"/>
      <c r="C12" s="18"/>
      <c r="D12" s="18"/>
      <c r="E12" s="18"/>
      <c r="F12" s="18"/>
      <c r="G12" s="18"/>
      <c r="H12" s="18"/>
      <c r="I12" s="18"/>
      <c r="J12" s="18"/>
      <c r="K12" s="18"/>
      <c r="L12" s="336"/>
      <c r="M12" s="337"/>
      <c r="N12" s="337"/>
      <c r="O12" s="337"/>
      <c r="P12" s="337"/>
      <c r="Q12" s="365"/>
      <c r="R12" s="96"/>
      <c r="S12" s="97"/>
      <c r="T12" s="96"/>
      <c r="U12" s="97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7.25" customHeight="1">
      <c r="A13" s="344" t="s">
        <v>17</v>
      </c>
      <c r="B13" s="20"/>
      <c r="C13" s="20"/>
      <c r="D13" s="20"/>
      <c r="E13" s="406" t="s">
        <v>90</v>
      </c>
      <c r="F13" s="334"/>
      <c r="G13" s="335"/>
      <c r="H13" s="350" t="s">
        <v>91</v>
      </c>
      <c r="I13" s="334"/>
      <c r="J13" s="335"/>
      <c r="K13" s="14"/>
      <c r="L13" s="378" t="s">
        <v>92</v>
      </c>
      <c r="M13" s="335"/>
      <c r="N13" s="373" t="s">
        <v>93</v>
      </c>
      <c r="O13" s="334"/>
      <c r="P13" s="334"/>
      <c r="Q13" s="334"/>
      <c r="R13" s="334"/>
      <c r="S13" s="334"/>
      <c r="T13" s="334"/>
      <c r="U13" s="335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54.75" customHeight="1">
      <c r="A14" s="332"/>
      <c r="B14" s="20"/>
      <c r="C14" s="20"/>
      <c r="D14" s="20"/>
      <c r="E14" s="336"/>
      <c r="F14" s="337"/>
      <c r="G14" s="338"/>
      <c r="H14" s="336"/>
      <c r="I14" s="337"/>
      <c r="J14" s="338"/>
      <c r="K14" s="18"/>
      <c r="L14" s="336"/>
      <c r="M14" s="338"/>
      <c r="N14" s="336"/>
      <c r="O14" s="337"/>
      <c r="P14" s="337"/>
      <c r="Q14" s="337"/>
      <c r="R14" s="337"/>
      <c r="S14" s="337"/>
      <c r="T14" s="337"/>
      <c r="U14" s="338"/>
      <c r="V14" s="23"/>
      <c r="W14" s="3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46.5" customHeight="1">
      <c r="A15" s="407" t="s">
        <v>18</v>
      </c>
      <c r="B15" s="90"/>
      <c r="C15" s="90"/>
      <c r="D15" s="90"/>
      <c r="E15" s="408" t="s">
        <v>94</v>
      </c>
      <c r="F15" s="334"/>
      <c r="G15" s="335"/>
      <c r="H15" s="393" t="s">
        <v>95</v>
      </c>
      <c r="I15" s="334"/>
      <c r="J15" s="335"/>
      <c r="K15" s="11"/>
      <c r="L15" s="414" t="s">
        <v>96</v>
      </c>
      <c r="M15" s="334"/>
      <c r="N15" s="334"/>
      <c r="O15" s="334"/>
      <c r="P15" s="334"/>
      <c r="Q15" s="362"/>
      <c r="R15" s="11"/>
      <c r="S15" s="11"/>
      <c r="T15" s="11"/>
      <c r="U15" s="11"/>
      <c r="V15" s="32"/>
      <c r="W15" s="33"/>
      <c r="X15" s="98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81.75" customHeight="1">
      <c r="A16" s="332"/>
      <c r="B16" s="24"/>
      <c r="C16" s="24"/>
      <c r="D16" s="24"/>
      <c r="E16" s="336"/>
      <c r="F16" s="337"/>
      <c r="G16" s="338"/>
      <c r="H16" s="336"/>
      <c r="I16" s="337"/>
      <c r="J16" s="338"/>
      <c r="K16" s="16"/>
      <c r="L16" s="336"/>
      <c r="M16" s="337"/>
      <c r="N16" s="337"/>
      <c r="O16" s="337"/>
      <c r="P16" s="337"/>
      <c r="Q16" s="365"/>
      <c r="R16" s="16"/>
      <c r="S16" s="16"/>
      <c r="T16" s="16"/>
      <c r="U16" s="16"/>
      <c r="V16" s="23"/>
      <c r="W16" s="34"/>
      <c r="X16" s="98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99"/>
      <c r="B17" s="24"/>
      <c r="C17" s="24"/>
      <c r="D17" s="24"/>
      <c r="E17" s="24"/>
      <c r="F17" s="24"/>
      <c r="G17" s="24"/>
      <c r="H17" s="24"/>
      <c r="I17" s="24"/>
      <c r="J17" s="24"/>
      <c r="K17" s="16"/>
      <c r="L17" s="16"/>
      <c r="M17" s="16"/>
      <c r="N17" s="28"/>
      <c r="O17" s="28"/>
      <c r="P17" s="28"/>
      <c r="Q17" s="29"/>
      <c r="R17" s="29"/>
      <c r="S17" s="29"/>
      <c r="T17" s="17"/>
      <c r="U17" s="23"/>
      <c r="V17" s="23"/>
      <c r="W17" s="34"/>
      <c r="X17" s="98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28.5" customHeight="1">
      <c r="A18" s="99"/>
      <c r="B18" s="87"/>
      <c r="C18" s="87"/>
      <c r="D18" s="87"/>
      <c r="E18" s="87"/>
      <c r="F18" s="87"/>
      <c r="G18" s="87"/>
      <c r="H18" s="18"/>
      <c r="I18" s="18"/>
      <c r="J18" s="18"/>
      <c r="K18" s="16"/>
      <c r="L18" s="16"/>
      <c r="M18" s="16"/>
      <c r="N18" s="28"/>
      <c r="O18" s="28"/>
      <c r="P18" s="28"/>
      <c r="Q18" s="29"/>
      <c r="R18" s="29"/>
      <c r="S18" s="29"/>
      <c r="T18" s="17"/>
      <c r="U18" s="23"/>
      <c r="V18" s="23"/>
      <c r="W18" s="34"/>
      <c r="X18" s="98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38" t="s">
        <v>19</v>
      </c>
      <c r="B19" s="39"/>
      <c r="C19" s="40"/>
      <c r="D19" s="40"/>
      <c r="E19" s="40"/>
      <c r="F19" s="40"/>
      <c r="G19" s="40"/>
      <c r="H19" s="40"/>
      <c r="I19" s="40"/>
      <c r="J19" s="40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0"/>
      <c r="W19" s="4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38" t="s">
        <v>20</v>
      </c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15"/>
      <c r="T21" s="352"/>
      <c r="U21" s="352"/>
      <c r="V21" s="352"/>
      <c r="W21" s="352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55"/>
      <c r="T22" s="55"/>
      <c r="U22" s="55"/>
      <c r="V22" s="55"/>
      <c r="W22" s="5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55"/>
      <c r="T23" s="55"/>
      <c r="U23" s="55"/>
      <c r="V23" s="55"/>
      <c r="W23" s="5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8.75" customHeight="1">
      <c r="A24" s="44" t="s">
        <v>28</v>
      </c>
      <c r="B24" s="394" t="s">
        <v>31</v>
      </c>
      <c r="C24" s="352"/>
      <c r="D24" s="352"/>
      <c r="E24" s="352"/>
      <c r="F24" s="352"/>
      <c r="G24" s="352"/>
      <c r="H24" s="352"/>
      <c r="I24" s="352"/>
      <c r="J24" s="352"/>
      <c r="K24" s="100" t="s">
        <v>32</v>
      </c>
      <c r="L24" s="101" t="s">
        <v>97</v>
      </c>
      <c r="M24" s="101" t="s">
        <v>98</v>
      </c>
      <c r="N24" s="102" t="s">
        <v>35</v>
      </c>
      <c r="O24" s="102"/>
      <c r="P24" s="103"/>
      <c r="Q24" s="103"/>
      <c r="R24" s="103"/>
      <c r="S24" s="104"/>
      <c r="T24" s="104"/>
      <c r="U24" s="410" t="s">
        <v>21</v>
      </c>
      <c r="V24" s="340"/>
      <c r="W24" s="341"/>
      <c r="X24" s="411" t="s">
        <v>22</v>
      </c>
      <c r="Y24" s="341"/>
      <c r="Z24" s="410" t="s">
        <v>23</v>
      </c>
      <c r="AA24" s="341"/>
      <c r="AB24" s="331" t="s">
        <v>24</v>
      </c>
      <c r="AC24" s="331" t="s">
        <v>25</v>
      </c>
      <c r="AD24" s="331" t="s">
        <v>26</v>
      </c>
      <c r="AE24" s="331" t="s">
        <v>27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9.5" customHeight="1">
      <c r="A25" s="50" t="s">
        <v>43</v>
      </c>
      <c r="B25" s="105">
        <v>1</v>
      </c>
      <c r="C25" s="106" t="s">
        <v>99</v>
      </c>
      <c r="D25" s="107" t="str">
        <f>VLOOKUP($C25,'DG2562V1.2Courses'!$B$4:$F$99,3,FALSE)</f>
        <v>Critical Reading and Effective Writing</v>
      </c>
      <c r="E25" s="108"/>
      <c r="F25" s="108"/>
      <c r="G25" s="108"/>
      <c r="H25" s="108"/>
      <c r="I25" s="108"/>
      <c r="J25" s="108"/>
      <c r="K25" s="109">
        <f>VLOOKUP($C25,'DG2562V1.2Courses'!$B$4:$F$99,4,FALSE)</f>
        <v>3</v>
      </c>
      <c r="L25" s="44"/>
      <c r="M25" s="44"/>
      <c r="N25" s="103"/>
      <c r="O25" s="103"/>
      <c r="P25" s="103"/>
      <c r="Q25" s="103"/>
      <c r="R25" s="103"/>
      <c r="S25" s="103"/>
      <c r="T25" s="103"/>
      <c r="U25" s="48" t="s">
        <v>36</v>
      </c>
      <c r="V25" s="48" t="s">
        <v>37</v>
      </c>
      <c r="W25" s="48" t="s">
        <v>38</v>
      </c>
      <c r="X25" s="48" t="s">
        <v>39</v>
      </c>
      <c r="Y25" s="48" t="s">
        <v>40</v>
      </c>
      <c r="Z25" s="48" t="s">
        <v>41</v>
      </c>
      <c r="AA25" s="48" t="s">
        <v>42</v>
      </c>
      <c r="AB25" s="332"/>
      <c r="AC25" s="332"/>
      <c r="AD25" s="332"/>
      <c r="AE25" s="332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0" t="s">
        <v>43</v>
      </c>
      <c r="B26" s="110">
        <v>2</v>
      </c>
      <c r="C26" s="111" t="s">
        <v>100</v>
      </c>
      <c r="D26" s="395" t="str">
        <f>VLOOKUP($C26,'DG2562V1.2Courses'!$B$4:$F$99,3,FALSE)</f>
        <v>Introduction to Digital Business</v>
      </c>
      <c r="E26" s="340"/>
      <c r="F26" s="340"/>
      <c r="G26" s="340"/>
      <c r="H26" s="340"/>
      <c r="I26" s="340"/>
      <c r="J26" s="341"/>
      <c r="K26" s="112">
        <f>VLOOKUP($C26,'DG2562V1.2Courses'!$B$4:$F$99,4,FALSE)</f>
        <v>2</v>
      </c>
      <c r="L26" s="44"/>
      <c r="M26" s="44"/>
      <c r="N26" s="405"/>
      <c r="O26" s="352"/>
      <c r="P26" s="352"/>
      <c r="Q26" s="103"/>
      <c r="R26" s="103"/>
      <c r="S26" s="103"/>
      <c r="T26" s="114"/>
      <c r="U26" s="115"/>
      <c r="V26" s="116"/>
      <c r="W26" s="116"/>
      <c r="X26" s="116"/>
      <c r="Y26" s="116"/>
      <c r="Z26" s="117"/>
      <c r="AA26" s="116"/>
      <c r="AB26" s="116"/>
      <c r="AC26" s="118"/>
      <c r="AD26" s="116"/>
      <c r="AE26" s="119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50" t="s">
        <v>43</v>
      </c>
      <c r="B27" s="120">
        <v>3</v>
      </c>
      <c r="C27" s="121" t="s">
        <v>101</v>
      </c>
      <c r="D27" s="396" t="str">
        <f>VLOOKUP($C27,'DG2562V1.2Courses'!$B$4:$F$99,3,FALSE)</f>
        <v>Mathematics for Computer Graphics and Game</v>
      </c>
      <c r="E27" s="340"/>
      <c r="F27" s="340"/>
      <c r="G27" s="340"/>
      <c r="H27" s="340"/>
      <c r="I27" s="340"/>
      <c r="J27" s="341"/>
      <c r="K27" s="112">
        <f>VLOOKUP($C27,'DG2562V1.2Courses'!$B$4:$F$99,4,FALSE)</f>
        <v>3</v>
      </c>
      <c r="L27" s="54" t="s">
        <v>47</v>
      </c>
      <c r="M27" s="44" t="s">
        <v>102</v>
      </c>
      <c r="N27" s="122"/>
      <c r="O27" s="122"/>
      <c r="P27" s="122"/>
      <c r="Q27" s="103"/>
      <c r="R27" s="103"/>
      <c r="S27" s="103"/>
      <c r="T27" s="114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23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0" t="s">
        <v>43</v>
      </c>
      <c r="B28" s="124">
        <v>4</v>
      </c>
      <c r="C28" s="125" t="s">
        <v>103</v>
      </c>
      <c r="D28" s="397" t="str">
        <f>VLOOKUP($C28,'DG2562V1.2Courses'!$B$4:$F$99,3,FALSE)</f>
        <v>Game Development 1</v>
      </c>
      <c r="E28" s="340"/>
      <c r="F28" s="340"/>
      <c r="G28" s="340"/>
      <c r="H28" s="340"/>
      <c r="I28" s="340"/>
      <c r="J28" s="341"/>
      <c r="K28" s="112">
        <f>VLOOKUP($C28,'DG2562V1.2Courses'!$B$4:$F$99,4,FALSE)</f>
        <v>3</v>
      </c>
      <c r="L28" s="126" t="s">
        <v>104</v>
      </c>
      <c r="M28" s="44" t="s">
        <v>105</v>
      </c>
      <c r="N28" s="122"/>
      <c r="O28" s="122"/>
      <c r="P28" s="122"/>
      <c r="Q28" s="103"/>
      <c r="R28" s="103"/>
      <c r="S28" s="103"/>
      <c r="T28" s="114"/>
      <c r="U28" s="127"/>
      <c r="V28" s="127"/>
      <c r="W28" s="127"/>
      <c r="X28" s="128"/>
      <c r="Y28" s="128"/>
      <c r="Z28" s="128"/>
      <c r="AA28" s="128" t="s">
        <v>106</v>
      </c>
      <c r="AB28" s="128"/>
      <c r="AC28" s="128"/>
      <c r="AD28" s="128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33.75" customHeight="1">
      <c r="A29" s="50" t="s">
        <v>43</v>
      </c>
      <c r="B29" s="129">
        <v>5</v>
      </c>
      <c r="C29" s="130" t="s">
        <v>107</v>
      </c>
      <c r="D29" s="398" t="str">
        <f>VLOOKUP($C29,'DG2562V1.2Courses'!$B$4:$F$99,3,FALSE)</f>
        <v>Digital Game Production</v>
      </c>
      <c r="E29" s="340"/>
      <c r="F29" s="340"/>
      <c r="G29" s="340"/>
      <c r="H29" s="340"/>
      <c r="I29" s="340"/>
      <c r="J29" s="341"/>
      <c r="K29" s="112">
        <f>VLOOKUP($C29,'DG2562V1.2Courses'!$B$4:$F$99,4,FALSE)</f>
        <v>3</v>
      </c>
      <c r="L29" s="44" t="s">
        <v>108</v>
      </c>
      <c r="M29" s="131" t="s">
        <v>109</v>
      </c>
      <c r="N29" s="400"/>
      <c r="O29" s="352"/>
      <c r="P29" s="352"/>
      <c r="Q29" s="352"/>
      <c r="R29" s="103"/>
      <c r="S29" s="103"/>
      <c r="T29" s="114"/>
      <c r="U29" s="132"/>
      <c r="V29" s="132"/>
      <c r="W29" s="132"/>
      <c r="X29" s="133"/>
      <c r="Y29" s="133"/>
      <c r="Z29" s="133"/>
      <c r="AA29" s="133"/>
      <c r="AB29" s="133"/>
      <c r="AC29" s="133"/>
      <c r="AD29" s="133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0" t="s">
        <v>43</v>
      </c>
      <c r="B30" s="134">
        <v>6</v>
      </c>
      <c r="C30" s="135" t="s">
        <v>110</v>
      </c>
      <c r="D30" s="399" t="str">
        <f>VLOOKUP($C30,'DG2562V1.2Courses'!$B$4:$F$99,3,FALSE)</f>
        <v>Graphics Design for Two Dimensional Games</v>
      </c>
      <c r="E30" s="340"/>
      <c r="F30" s="340"/>
      <c r="G30" s="340"/>
      <c r="H30" s="340"/>
      <c r="I30" s="340"/>
      <c r="J30" s="341"/>
      <c r="K30" s="112">
        <f>VLOOKUP($C30,'DG2562V1.2Courses'!$B$4:$F$99,4,FALSE)</f>
        <v>3</v>
      </c>
      <c r="L30" s="44" t="s">
        <v>111</v>
      </c>
      <c r="M30" s="44"/>
      <c r="N30" s="136"/>
      <c r="O30" s="136"/>
      <c r="P30" s="136"/>
      <c r="Q30" s="136"/>
      <c r="R30" s="136"/>
      <c r="S30" s="136"/>
      <c r="T30" s="136"/>
      <c r="U30" s="137"/>
      <c r="V30" s="137"/>
      <c r="W30" s="137"/>
      <c r="X30" s="138">
        <v>1</v>
      </c>
      <c r="Y30" s="138">
        <v>1</v>
      </c>
      <c r="Z30" s="138"/>
      <c r="AA30" s="138"/>
      <c r="AB30" s="138"/>
      <c r="AC30" s="138"/>
      <c r="AD30" s="138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B31" s="139"/>
      <c r="C31" s="401" t="s">
        <v>112</v>
      </c>
      <c r="D31" s="341"/>
      <c r="E31" s="140"/>
      <c r="F31" s="140"/>
      <c r="G31" s="140"/>
      <c r="H31" s="140"/>
      <c r="I31" s="140"/>
      <c r="J31" s="140"/>
      <c r="K31" s="141">
        <v>3</v>
      </c>
      <c r="L31" s="44"/>
      <c r="M31" s="44"/>
      <c r="N31" s="142" t="s">
        <v>113</v>
      </c>
      <c r="O31" s="122"/>
      <c r="P31" s="122"/>
      <c r="Q31" s="103"/>
      <c r="R31" s="103"/>
      <c r="S31" s="103"/>
      <c r="T31" s="114"/>
      <c r="U31" s="132"/>
      <c r="V31" s="132"/>
      <c r="W31" s="132"/>
      <c r="X31" s="133"/>
      <c r="Y31" s="133"/>
      <c r="Z31" s="133"/>
      <c r="AA31" s="133"/>
      <c r="AB31" s="133"/>
      <c r="AC31" s="133"/>
      <c r="AD31" s="133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21.75">
      <c r="A32" s="50" t="s">
        <v>43</v>
      </c>
      <c r="B32" s="143">
        <v>7</v>
      </c>
      <c r="C32" s="144" t="s">
        <v>114</v>
      </c>
      <c r="D32" s="402" t="str">
        <f>VLOOKUP($C32,'DG2562V1.2Courses'!$B$4:$F$99,3,FALSE)</f>
        <v>Gamification</v>
      </c>
      <c r="E32" s="352"/>
      <c r="F32" s="352"/>
      <c r="G32" s="352"/>
      <c r="H32" s="352"/>
      <c r="I32" s="352"/>
      <c r="J32" s="352"/>
      <c r="K32" s="145">
        <v>3</v>
      </c>
      <c r="L32" s="146" t="s">
        <v>115</v>
      </c>
      <c r="M32" s="44" t="s">
        <v>102</v>
      </c>
      <c r="O32" s="113"/>
      <c r="P32" s="113"/>
      <c r="Q32" s="113"/>
      <c r="R32" s="113"/>
      <c r="S32" s="113"/>
      <c r="T32" s="113"/>
      <c r="U32" s="132"/>
      <c r="V32" s="132"/>
      <c r="W32" s="132"/>
      <c r="X32" s="133"/>
      <c r="Y32" s="133"/>
      <c r="Z32" s="133"/>
      <c r="AA32" s="133"/>
      <c r="AB32" s="133"/>
      <c r="AC32" s="133"/>
      <c r="AD32" s="133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0" t="s">
        <v>43</v>
      </c>
      <c r="B33" s="147"/>
      <c r="C33" s="148"/>
      <c r="D33" s="403"/>
      <c r="E33" s="352"/>
      <c r="F33" s="352"/>
      <c r="G33" s="352"/>
      <c r="H33" s="352"/>
      <c r="I33" s="352"/>
      <c r="J33" s="352"/>
      <c r="K33" s="103">
        <v>3</v>
      </c>
      <c r="L33" s="44" t="s">
        <v>116</v>
      </c>
      <c r="M33" s="50" t="s">
        <v>117</v>
      </c>
      <c r="N33" s="149"/>
      <c r="O33" s="149"/>
      <c r="P33" s="150"/>
      <c r="R33" s="103"/>
      <c r="S33" s="103"/>
      <c r="T33" s="114"/>
      <c r="U33" s="151"/>
      <c r="V33" s="151" t="s">
        <v>118</v>
      </c>
      <c r="W33" s="151"/>
      <c r="X33" s="152"/>
      <c r="Y33" s="153"/>
      <c r="Z33" s="153"/>
      <c r="AA33" s="153"/>
      <c r="AB33" s="153"/>
      <c r="AC33" s="153"/>
      <c r="AD33" s="153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0"/>
      <c r="B34" s="50"/>
      <c r="C34" s="75" t="s">
        <v>54</v>
      </c>
      <c r="D34" s="404"/>
      <c r="E34" s="352"/>
      <c r="F34" s="352"/>
      <c r="G34" s="352"/>
      <c r="H34" s="352"/>
      <c r="I34" s="352"/>
      <c r="J34" s="352"/>
      <c r="K34" s="154">
        <f>SUM(K25:K31)</f>
        <v>20</v>
      </c>
      <c r="L34" s="155"/>
      <c r="M34" s="55"/>
      <c r="N34" s="55"/>
      <c r="O34" s="55"/>
      <c r="P34" s="55"/>
      <c r="Q34" s="55"/>
      <c r="R34" s="55"/>
      <c r="S34" s="55"/>
      <c r="T34" s="47"/>
      <c r="U34" s="47"/>
      <c r="V34" s="47"/>
      <c r="W34" s="47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5.75" customHeight="1">
      <c r="A35" s="50"/>
      <c r="B35" s="50"/>
      <c r="C35" s="392" t="s">
        <v>119</v>
      </c>
      <c r="D35" s="352"/>
      <c r="E35" s="352"/>
      <c r="F35" s="352"/>
      <c r="G35" s="352"/>
      <c r="H35" s="142"/>
      <c r="I35" s="142"/>
      <c r="J35" s="50"/>
      <c r="K35" s="50"/>
      <c r="L35" s="47"/>
      <c r="M35" s="47"/>
      <c r="N35" s="47"/>
      <c r="O35" s="47"/>
      <c r="P35" s="47"/>
      <c r="Q35" s="55"/>
      <c r="R35" s="55"/>
      <c r="S35" s="55"/>
      <c r="T35" s="47"/>
      <c r="U35" s="47"/>
      <c r="V35" s="47"/>
      <c r="W35" s="47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0"/>
      <c r="B36" s="50"/>
      <c r="C36" s="20"/>
      <c r="D36" s="20"/>
      <c r="E36" s="20"/>
      <c r="F36" s="20"/>
      <c r="G36" s="20"/>
      <c r="H36" s="20"/>
      <c r="I36" s="142"/>
      <c r="J36" s="50"/>
      <c r="K36" s="50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10"/>
      <c r="C37" s="156"/>
      <c r="D37" s="156"/>
      <c r="E37" s="156"/>
      <c r="F37" s="156"/>
      <c r="G37" s="156"/>
      <c r="H37" s="156"/>
      <c r="I37" s="156"/>
      <c r="J37" s="10"/>
      <c r="K37" s="10"/>
      <c r="L37" s="146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5"/>
      <c r="B38" s="5"/>
      <c r="C38" s="79"/>
      <c r="D38" s="79"/>
      <c r="E38" s="79"/>
      <c r="F38" s="79"/>
      <c r="G38" s="79"/>
      <c r="H38" s="79"/>
      <c r="I38" s="5"/>
      <c r="J38" s="10"/>
      <c r="K38" s="10"/>
      <c r="L38" s="126"/>
      <c r="N38" s="113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10"/>
      <c r="B39" s="5"/>
      <c r="C39" s="5"/>
      <c r="D39" s="5"/>
      <c r="E39" s="5"/>
      <c r="F39" s="5"/>
      <c r="G39" s="5"/>
      <c r="H39" s="5"/>
      <c r="I39" s="5"/>
      <c r="J39" s="10"/>
      <c r="K39" s="10"/>
      <c r="L39" s="12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0"/>
      <c r="K40" s="10"/>
      <c r="L40" s="14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0"/>
      <c r="K41" s="10"/>
      <c r="L41" s="14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9">
    <mergeCell ref="P4:Q4"/>
    <mergeCell ref="O5:R6"/>
    <mergeCell ref="L7:Q8"/>
    <mergeCell ref="L9:M10"/>
    <mergeCell ref="N9:U10"/>
    <mergeCell ref="L11:Q12"/>
    <mergeCell ref="L13:M14"/>
    <mergeCell ref="N13:U14"/>
    <mergeCell ref="L15:Q16"/>
    <mergeCell ref="S21:W21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J4:K4"/>
    <mergeCell ref="L4:M4"/>
    <mergeCell ref="R4:S4"/>
    <mergeCell ref="T4:U4"/>
    <mergeCell ref="X4:Y4"/>
    <mergeCell ref="Z4:AA4"/>
    <mergeCell ref="N4:O4"/>
    <mergeCell ref="A5:A6"/>
    <mergeCell ref="E5:G6"/>
    <mergeCell ref="H5:J6"/>
    <mergeCell ref="E7:G8"/>
    <mergeCell ref="H7:J8"/>
    <mergeCell ref="A7:A8"/>
    <mergeCell ref="A9:A12"/>
    <mergeCell ref="A13:A14"/>
    <mergeCell ref="E13:G14"/>
    <mergeCell ref="H13:J14"/>
    <mergeCell ref="A15:A16"/>
    <mergeCell ref="E15:G16"/>
    <mergeCell ref="AB24:AB25"/>
    <mergeCell ref="AC24:AC25"/>
    <mergeCell ref="AD24:AD25"/>
    <mergeCell ref="AE24:AE25"/>
    <mergeCell ref="N26:P26"/>
    <mergeCell ref="U24:W24"/>
    <mergeCell ref="X24:Y24"/>
    <mergeCell ref="Z24:AA24"/>
    <mergeCell ref="N29:Q29"/>
    <mergeCell ref="C31:D31"/>
    <mergeCell ref="D32:J32"/>
    <mergeCell ref="D33:J33"/>
    <mergeCell ref="D34:J34"/>
    <mergeCell ref="C35:G35"/>
    <mergeCell ref="H15:J16"/>
    <mergeCell ref="B24:J24"/>
    <mergeCell ref="D26:J26"/>
    <mergeCell ref="D27:J27"/>
    <mergeCell ref="D28:J28"/>
    <mergeCell ref="D29:J29"/>
    <mergeCell ref="D30:J30"/>
  </mergeCells>
  <pageMargins left="0.25" right="0.25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10"/>
  <sheetViews>
    <sheetView workbookViewId="0">
      <selection activeCell="N21" sqref="N21:U22"/>
    </sheetView>
  </sheetViews>
  <sheetFormatPr defaultColWidth="14.42578125" defaultRowHeight="15" customHeight="1"/>
  <cols>
    <col min="1" max="1" width="22" customWidth="1"/>
    <col min="2" max="2" width="10.140625" customWidth="1"/>
    <col min="3" max="3" width="12.140625" customWidth="1"/>
    <col min="4" max="4" width="15.85546875" customWidth="1"/>
    <col min="5" max="5" width="11.5703125" customWidth="1"/>
    <col min="6" max="9" width="10.140625" customWidth="1"/>
    <col min="10" max="10" width="15.5703125" customWidth="1"/>
    <col min="11" max="11" width="18.85546875" customWidth="1"/>
    <col min="12" max="12" width="14.85546875" customWidth="1"/>
    <col min="13" max="13" width="22" customWidth="1"/>
    <col min="14" max="14" width="10.85546875" customWidth="1"/>
    <col min="15" max="15" width="21" customWidth="1"/>
    <col min="16" max="18" width="7.5703125" customWidth="1"/>
    <col min="19" max="29" width="9.42578125" customWidth="1"/>
    <col min="30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120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56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158" t="s">
        <v>121</v>
      </c>
      <c r="B3" s="158"/>
      <c r="C3" s="158"/>
      <c r="D3" s="158"/>
      <c r="E3" s="158"/>
      <c r="F3" s="158"/>
      <c r="G3" s="356" t="s">
        <v>122</v>
      </c>
      <c r="H3" s="337"/>
      <c r="I3" s="337"/>
      <c r="J3" s="337"/>
      <c r="K3" s="337"/>
      <c r="L3" s="337"/>
      <c r="M3" s="337"/>
      <c r="N3" s="337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57" t="s">
        <v>3</v>
      </c>
      <c r="E4" s="358"/>
      <c r="F4" s="357" t="s">
        <v>4</v>
      </c>
      <c r="G4" s="358"/>
      <c r="H4" s="357" t="s">
        <v>5</v>
      </c>
      <c r="I4" s="358"/>
      <c r="J4" s="357" t="s">
        <v>6</v>
      </c>
      <c r="K4" s="358"/>
      <c r="L4" s="357" t="s">
        <v>7</v>
      </c>
      <c r="M4" s="358"/>
      <c r="N4" s="357" t="s">
        <v>8</v>
      </c>
      <c r="O4" s="358"/>
      <c r="P4" s="357" t="s">
        <v>9</v>
      </c>
      <c r="Q4" s="341"/>
      <c r="R4" s="359" t="s">
        <v>10</v>
      </c>
      <c r="S4" s="374"/>
      <c r="T4" s="359" t="s">
        <v>11</v>
      </c>
      <c r="U4" s="360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80" t="s">
        <v>13</v>
      </c>
      <c r="K5" s="13"/>
      <c r="L5" s="423" t="str">
        <f>C30 &amp; "/001
" &amp; D30 &amp; "
" &amp; L30 &amp; "
" &amp; M30 &amp; "
" &amp; N30 &amp; " คน
" &amp;O30</f>
        <v>958325/001
Artificial Intelligence for Game Development
อ.ดร.ปฏิสนธิ์
C203,C204 - C206
75 คน
เด็กตกแผน (รวมใน 75 คนแล้ว)</v>
      </c>
      <c r="M5" s="334"/>
      <c r="N5" s="334"/>
      <c r="O5" s="334"/>
      <c r="P5" s="334"/>
      <c r="Q5" s="335"/>
      <c r="R5" s="12"/>
      <c r="S5" s="12"/>
      <c r="T5" s="12"/>
      <c r="U5" s="12"/>
      <c r="V5" s="14"/>
      <c r="W5" s="15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32"/>
      <c r="K6" s="50"/>
      <c r="L6" s="336"/>
      <c r="M6" s="337"/>
      <c r="N6" s="337"/>
      <c r="O6" s="337"/>
      <c r="P6" s="337"/>
      <c r="Q6" s="338"/>
      <c r="R6" s="20"/>
      <c r="S6" s="20"/>
      <c r="T6" s="20"/>
      <c r="U6" s="20"/>
      <c r="V6" s="81"/>
      <c r="W6" s="82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37.5" customHeight="1">
      <c r="A7" s="372" t="s">
        <v>14</v>
      </c>
      <c r="B7" s="422" t="s">
        <v>123</v>
      </c>
      <c r="C7" s="334"/>
      <c r="D7" s="334"/>
      <c r="E7" s="425" t="s">
        <v>124</v>
      </c>
      <c r="F7" s="334"/>
      <c r="G7" s="334"/>
      <c r="H7" s="334"/>
      <c r="I7" s="334"/>
      <c r="J7" s="362"/>
      <c r="K7" s="14"/>
      <c r="L7" s="439" t="s">
        <v>125</v>
      </c>
      <c r="M7" s="335"/>
      <c r="N7" s="439" t="s">
        <v>126</v>
      </c>
      <c r="O7" s="334"/>
      <c r="P7" s="334"/>
      <c r="Q7" s="334"/>
      <c r="R7" s="334"/>
      <c r="S7" s="334"/>
      <c r="T7" s="334"/>
      <c r="U7" s="335"/>
      <c r="V7" s="13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0.25" customHeight="1">
      <c r="A8" s="343"/>
      <c r="B8" s="336"/>
      <c r="C8" s="337"/>
      <c r="D8" s="337"/>
      <c r="E8" s="336"/>
      <c r="F8" s="337"/>
      <c r="G8" s="337"/>
      <c r="H8" s="337"/>
      <c r="I8" s="337"/>
      <c r="J8" s="365"/>
      <c r="K8" s="18"/>
      <c r="L8" s="336"/>
      <c r="M8" s="338"/>
      <c r="N8" s="336"/>
      <c r="O8" s="337"/>
      <c r="P8" s="337"/>
      <c r="Q8" s="337"/>
      <c r="R8" s="337"/>
      <c r="S8" s="337"/>
      <c r="T8" s="337"/>
      <c r="U8" s="338"/>
      <c r="V8" s="17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38.25" customHeight="1">
      <c r="A9" s="343"/>
      <c r="B9" s="159"/>
      <c r="C9" s="159"/>
      <c r="D9" s="159"/>
      <c r="E9" s="159"/>
      <c r="F9" s="159"/>
      <c r="G9" s="159"/>
      <c r="H9" s="159"/>
      <c r="I9" s="159"/>
      <c r="J9" s="159"/>
      <c r="K9" s="81"/>
      <c r="L9" s="424" t="s">
        <v>517</v>
      </c>
      <c r="M9" s="334"/>
      <c r="N9" s="334"/>
      <c r="O9" s="334"/>
      <c r="P9" s="334"/>
      <c r="Q9" s="334"/>
      <c r="R9" s="159"/>
      <c r="S9" s="159"/>
      <c r="T9" s="159"/>
      <c r="U9" s="159"/>
      <c r="V9" s="50"/>
      <c r="W9" s="2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38.25" customHeight="1">
      <c r="A10" s="332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336"/>
      <c r="M10" s="337"/>
      <c r="N10" s="337"/>
      <c r="O10" s="337"/>
      <c r="P10" s="337"/>
      <c r="Q10" s="337"/>
      <c r="R10" s="29"/>
      <c r="S10" s="29"/>
      <c r="T10" s="29"/>
      <c r="U10" s="29"/>
      <c r="V10" s="50"/>
      <c r="W10" s="2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160"/>
      <c r="D11" s="419" t="s">
        <v>127</v>
      </c>
      <c r="E11" s="334"/>
      <c r="F11" s="334"/>
      <c r="G11" s="334"/>
      <c r="H11" s="334"/>
      <c r="I11" s="334"/>
      <c r="J11" s="81"/>
      <c r="K11" s="81"/>
      <c r="L11" s="418" t="s">
        <v>128</v>
      </c>
      <c r="M11" s="334"/>
      <c r="N11" s="418" t="s">
        <v>129</v>
      </c>
      <c r="O11" s="334"/>
      <c r="P11" s="334"/>
      <c r="Q11" s="334"/>
      <c r="R11" s="334"/>
      <c r="S11" s="334"/>
      <c r="T11" s="334"/>
      <c r="U11" s="334"/>
      <c r="V11" s="81"/>
      <c r="W11" s="82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160"/>
      <c r="D12" s="336"/>
      <c r="E12" s="337"/>
      <c r="F12" s="337"/>
      <c r="G12" s="337"/>
      <c r="H12" s="337"/>
      <c r="I12" s="337"/>
      <c r="J12" s="81"/>
      <c r="K12" s="81"/>
      <c r="L12" s="336"/>
      <c r="M12" s="337"/>
      <c r="N12" s="336"/>
      <c r="O12" s="337"/>
      <c r="P12" s="337"/>
      <c r="Q12" s="337"/>
      <c r="R12" s="337"/>
      <c r="S12" s="337"/>
      <c r="T12" s="337"/>
      <c r="U12" s="337"/>
      <c r="V12" s="81"/>
      <c r="W12" s="82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51.75" customHeight="1">
      <c r="A13" s="342" t="s">
        <v>16</v>
      </c>
      <c r="B13" s="347" t="s">
        <v>130</v>
      </c>
      <c r="C13" s="334"/>
      <c r="D13" s="347" t="s">
        <v>131</v>
      </c>
      <c r="E13" s="334"/>
      <c r="F13" s="334"/>
      <c r="G13" s="334"/>
      <c r="H13" s="334"/>
      <c r="I13" s="334"/>
      <c r="J13" s="334"/>
      <c r="K13" s="334"/>
      <c r="L13" s="420" t="s">
        <v>15</v>
      </c>
      <c r="M13" s="334"/>
      <c r="N13" s="420" t="s">
        <v>15</v>
      </c>
      <c r="O13" s="334"/>
      <c r="P13" s="334"/>
      <c r="Q13" s="334"/>
      <c r="R13" s="334"/>
      <c r="S13" s="334"/>
      <c r="T13" s="334"/>
      <c r="U13" s="334"/>
      <c r="V13" s="14"/>
      <c r="W13" s="1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6.75" customHeight="1">
      <c r="A14" s="332"/>
      <c r="B14" s="336"/>
      <c r="C14" s="337"/>
      <c r="D14" s="336"/>
      <c r="E14" s="337"/>
      <c r="F14" s="337"/>
      <c r="G14" s="337"/>
      <c r="H14" s="337"/>
      <c r="I14" s="337"/>
      <c r="J14" s="337"/>
      <c r="K14" s="337"/>
      <c r="L14" s="336"/>
      <c r="M14" s="337"/>
      <c r="N14" s="336"/>
      <c r="O14" s="337"/>
      <c r="P14" s="337"/>
      <c r="Q14" s="337"/>
      <c r="R14" s="337"/>
      <c r="S14" s="337"/>
      <c r="T14" s="337"/>
      <c r="U14" s="337"/>
      <c r="V14" s="18"/>
      <c r="W14" s="19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45.75" customHeight="1">
      <c r="A15" s="344" t="s">
        <v>17</v>
      </c>
      <c r="B15" s="348" t="s">
        <v>132</v>
      </c>
      <c r="C15" s="334"/>
      <c r="D15" s="334"/>
      <c r="E15" s="334"/>
      <c r="F15" s="334"/>
      <c r="G15" s="334"/>
      <c r="H15" s="334"/>
      <c r="I15" s="334"/>
      <c r="J15" s="334"/>
      <c r="K15" s="334"/>
      <c r="L15" s="373" t="str">
        <f>C29 &amp; "/sec.001 
" &amp; D29 &amp; " 
" &amp;L29 &amp; "
" &amp; N29 &amp; " คน
" &amp; M29 &amp; "
" &amp; O29</f>
        <v xml:space="preserve">958321/sec.001 
Game Development 3 
อ.ดร.เกียรติกร
66 คน
C203, C204-C206
 </v>
      </c>
      <c r="M15" s="335"/>
      <c r="N15" s="378" t="s">
        <v>133</v>
      </c>
      <c r="O15" s="334"/>
      <c r="P15" s="334"/>
      <c r="Q15" s="334"/>
      <c r="R15" s="334"/>
      <c r="S15" s="334"/>
      <c r="T15" s="334"/>
      <c r="U15" s="335"/>
      <c r="V15" s="32"/>
      <c r="W15" s="33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1.25" customHeight="1">
      <c r="A16" s="343"/>
      <c r="B16" s="336"/>
      <c r="C16" s="337"/>
      <c r="D16" s="337"/>
      <c r="E16" s="337"/>
      <c r="F16" s="337"/>
      <c r="G16" s="337"/>
      <c r="H16" s="337"/>
      <c r="I16" s="337"/>
      <c r="J16" s="337"/>
      <c r="K16" s="337"/>
      <c r="L16" s="336"/>
      <c r="M16" s="338"/>
      <c r="N16" s="336"/>
      <c r="O16" s="337"/>
      <c r="P16" s="337"/>
      <c r="Q16" s="337"/>
      <c r="R16" s="337"/>
      <c r="S16" s="337"/>
      <c r="T16" s="337"/>
      <c r="U16" s="338"/>
      <c r="V16" s="23"/>
      <c r="W16" s="3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3.25" customHeight="1">
      <c r="A17" s="343"/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89"/>
      <c r="M17" s="90"/>
      <c r="N17" s="90"/>
      <c r="O17" s="90"/>
      <c r="P17" s="90"/>
      <c r="Q17" s="90"/>
      <c r="R17" s="90"/>
      <c r="S17" s="90"/>
      <c r="T17" s="14"/>
      <c r="U17" s="15"/>
      <c r="V17" s="89"/>
      <c r="W17" s="161"/>
      <c r="X17" s="98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8.75" customHeight="1">
      <c r="A18" s="332"/>
      <c r="B18" s="92"/>
      <c r="C18" s="24"/>
      <c r="D18" s="24"/>
      <c r="E18" s="24"/>
      <c r="F18" s="24"/>
      <c r="G18" s="24"/>
      <c r="H18" s="24"/>
      <c r="I18" s="24"/>
      <c r="J18" s="24"/>
      <c r="K18" s="24"/>
      <c r="L18" s="92"/>
      <c r="M18" s="24"/>
      <c r="N18" s="24"/>
      <c r="O18" s="24"/>
      <c r="P18" s="24"/>
      <c r="Q18" s="24"/>
      <c r="R18" s="24"/>
      <c r="S18" s="24"/>
      <c r="T18" s="18"/>
      <c r="U18" s="19"/>
      <c r="V18" s="92"/>
      <c r="W18" s="161"/>
      <c r="X18" s="98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33" customHeight="1">
      <c r="A19" s="407" t="s">
        <v>18</v>
      </c>
      <c r="B19" s="508" t="s">
        <v>134</v>
      </c>
      <c r="C19" s="334"/>
      <c r="D19" s="334"/>
      <c r="E19" s="421" t="s">
        <v>523</v>
      </c>
      <c r="F19" s="334"/>
      <c r="G19" s="334"/>
      <c r="H19" s="334"/>
      <c r="I19" s="334"/>
      <c r="J19" s="362"/>
      <c r="L19" s="421" t="s">
        <v>135</v>
      </c>
      <c r="M19" s="334"/>
      <c r="N19" s="334"/>
      <c r="O19" s="334"/>
      <c r="P19" s="334"/>
      <c r="Q19" s="362"/>
      <c r="R19" s="21"/>
      <c r="S19" s="21"/>
      <c r="T19" s="13"/>
      <c r="U19" s="32"/>
      <c r="X19" s="98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8.75" customHeight="1">
      <c r="A20" s="343"/>
      <c r="B20" s="336"/>
      <c r="C20" s="337"/>
      <c r="D20" s="337"/>
      <c r="E20" s="336"/>
      <c r="F20" s="337"/>
      <c r="G20" s="337"/>
      <c r="H20" s="337"/>
      <c r="I20" s="337"/>
      <c r="J20" s="365"/>
      <c r="L20" s="336"/>
      <c r="M20" s="337"/>
      <c r="N20" s="337"/>
      <c r="O20" s="337"/>
      <c r="P20" s="337"/>
      <c r="Q20" s="365"/>
      <c r="R20" s="29"/>
      <c r="S20" s="29"/>
      <c r="T20" s="17"/>
      <c r="U20" s="23"/>
      <c r="X20" s="98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28.5" customHeight="1">
      <c r="A21" s="343"/>
      <c r="D21" s="87" t="s">
        <v>15</v>
      </c>
      <c r="L21" s="437" t="s">
        <v>525</v>
      </c>
      <c r="M21" s="334"/>
      <c r="N21" s="438" t="s">
        <v>526</v>
      </c>
      <c r="O21" s="334"/>
      <c r="P21" s="334"/>
      <c r="Q21" s="334"/>
      <c r="R21" s="334"/>
      <c r="S21" s="334"/>
      <c r="T21" s="334"/>
      <c r="U21" s="362"/>
      <c r="X21" s="98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46.5" customHeight="1">
      <c r="A22" s="332"/>
      <c r="L22" s="337"/>
      <c r="M22" s="337"/>
      <c r="N22" s="336"/>
      <c r="O22" s="337"/>
      <c r="P22" s="337"/>
      <c r="Q22" s="337"/>
      <c r="R22" s="337"/>
      <c r="S22" s="337"/>
      <c r="T22" s="337"/>
      <c r="U22" s="365"/>
      <c r="X22" s="98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9.5" customHeight="1">
      <c r="A23" s="38" t="s">
        <v>19</v>
      </c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7"/>
      <c r="M23" s="7"/>
      <c r="N23" s="7"/>
      <c r="O23" s="7"/>
      <c r="P23" s="7"/>
      <c r="Q23" s="7"/>
      <c r="R23" s="7"/>
      <c r="S23" s="7"/>
      <c r="T23" s="7"/>
      <c r="U23" s="7"/>
      <c r="V23" s="40"/>
      <c r="W23" s="40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9.5" customHeight="1">
      <c r="A24" s="38" t="s">
        <v>20</v>
      </c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4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6"/>
      <c r="AM25" s="6"/>
      <c r="AN25" s="5"/>
      <c r="AO25" s="5"/>
      <c r="AP25" s="5"/>
    </row>
    <row r="26" spans="1:42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6"/>
      <c r="AM26" s="6"/>
      <c r="AN26" s="5"/>
      <c r="AO26" s="5"/>
      <c r="AP26" s="5"/>
    </row>
    <row r="27" spans="1:42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39" t="s">
        <v>21</v>
      </c>
      <c r="T27" s="340"/>
      <c r="U27" s="341"/>
      <c r="V27" s="339" t="s">
        <v>22</v>
      </c>
      <c r="W27" s="341"/>
      <c r="X27" s="339" t="s">
        <v>23</v>
      </c>
      <c r="Y27" s="341"/>
      <c r="Z27" s="331" t="s">
        <v>24</v>
      </c>
      <c r="AA27" s="331" t="s">
        <v>25</v>
      </c>
      <c r="AB27" s="331" t="s">
        <v>26</v>
      </c>
      <c r="AC27" s="331" t="s">
        <v>27</v>
      </c>
      <c r="AD27" s="5"/>
      <c r="AE27" s="5"/>
      <c r="AF27" s="5"/>
      <c r="AG27" s="5"/>
      <c r="AH27" s="5"/>
      <c r="AI27" s="5"/>
      <c r="AJ27" s="5"/>
      <c r="AK27" s="5"/>
      <c r="AL27" s="6"/>
      <c r="AM27" s="6"/>
      <c r="AN27" s="5"/>
      <c r="AO27" s="5"/>
      <c r="AP27" s="5"/>
    </row>
    <row r="28" spans="1:42" ht="30.75" customHeight="1">
      <c r="A28" s="44" t="s">
        <v>28</v>
      </c>
      <c r="D28" s="162" t="s">
        <v>136</v>
      </c>
      <c r="E28" s="394" t="s">
        <v>31</v>
      </c>
      <c r="F28" s="352"/>
      <c r="G28" s="352"/>
      <c r="H28" s="352"/>
      <c r="I28" s="352"/>
      <c r="J28" s="100"/>
      <c r="K28" s="100"/>
      <c r="L28" s="101" t="s">
        <v>97</v>
      </c>
      <c r="M28" s="101" t="s">
        <v>98</v>
      </c>
      <c r="N28" s="163" t="s">
        <v>137</v>
      </c>
      <c r="O28" s="102" t="s">
        <v>35</v>
      </c>
      <c r="P28" s="102"/>
      <c r="R28" s="55"/>
      <c r="S28" s="48" t="s">
        <v>36</v>
      </c>
      <c r="T28" s="48" t="s">
        <v>37</v>
      </c>
      <c r="U28" s="48" t="s">
        <v>38</v>
      </c>
      <c r="V28" s="48" t="s">
        <v>39</v>
      </c>
      <c r="W28" s="48" t="s">
        <v>40</v>
      </c>
      <c r="X28" s="48" t="s">
        <v>41</v>
      </c>
      <c r="Y28" s="48" t="s">
        <v>42</v>
      </c>
      <c r="Z28" s="332"/>
      <c r="AA28" s="332"/>
      <c r="AB28" s="332"/>
      <c r="AC28" s="332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9.5" customHeight="1">
      <c r="A29" s="50" t="s">
        <v>43</v>
      </c>
      <c r="B29" s="164">
        <v>1</v>
      </c>
      <c r="C29" s="165">
        <v>958321</v>
      </c>
      <c r="D29" s="426" t="s">
        <v>138</v>
      </c>
      <c r="E29" s="352"/>
      <c r="F29" s="352"/>
      <c r="G29" s="352"/>
      <c r="H29" s="352"/>
      <c r="I29" s="352"/>
      <c r="J29" s="166">
        <v>3</v>
      </c>
      <c r="K29" s="167" t="s">
        <v>139</v>
      </c>
      <c r="L29" s="146" t="s">
        <v>140</v>
      </c>
      <c r="M29" s="168" t="s">
        <v>141</v>
      </c>
      <c r="N29" s="113">
        <v>66</v>
      </c>
      <c r="O29" s="169" t="s">
        <v>15</v>
      </c>
      <c r="P29" s="170"/>
      <c r="S29" s="116"/>
      <c r="T29" s="116"/>
      <c r="U29" s="116"/>
      <c r="V29" s="116"/>
      <c r="W29" s="116"/>
      <c r="X29" s="117"/>
      <c r="Y29" s="116"/>
      <c r="Z29" s="116"/>
      <c r="AA29" s="118"/>
      <c r="AB29" s="118"/>
      <c r="AC29" s="119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0" t="s">
        <v>43</v>
      </c>
      <c r="B30" s="171">
        <v>2</v>
      </c>
      <c r="C30" s="172">
        <v>958325</v>
      </c>
      <c r="D30" s="427" t="s">
        <v>142</v>
      </c>
      <c r="E30" s="352"/>
      <c r="F30" s="352"/>
      <c r="G30" s="352"/>
      <c r="H30" s="352"/>
      <c r="I30" s="352"/>
      <c r="J30" s="173">
        <v>3</v>
      </c>
      <c r="K30" s="174" t="s">
        <v>139</v>
      </c>
      <c r="L30" s="126" t="s">
        <v>104</v>
      </c>
      <c r="M30" s="168" t="s">
        <v>143</v>
      </c>
      <c r="N30" s="113">
        <v>75</v>
      </c>
      <c r="O30" s="169" t="s">
        <v>144</v>
      </c>
      <c r="P30" s="170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23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31.5">
      <c r="A31" s="50" t="s">
        <v>43</v>
      </c>
      <c r="B31" s="175">
        <v>3</v>
      </c>
      <c r="C31" s="176">
        <v>958331</v>
      </c>
      <c r="D31" s="428" t="s">
        <v>145</v>
      </c>
      <c r="E31" s="352"/>
      <c r="F31" s="352"/>
      <c r="G31" s="352"/>
      <c r="H31" s="352"/>
      <c r="I31" s="352"/>
      <c r="J31" s="177">
        <v>3</v>
      </c>
      <c r="K31" s="178" t="s">
        <v>139</v>
      </c>
      <c r="L31" s="126" t="s">
        <v>146</v>
      </c>
      <c r="M31" s="168" t="s">
        <v>147</v>
      </c>
      <c r="N31" s="113" t="s">
        <v>148</v>
      </c>
      <c r="O31" s="169" t="s">
        <v>149</v>
      </c>
      <c r="P31" s="170"/>
      <c r="S31" s="179"/>
      <c r="T31" s="179" t="s">
        <v>150</v>
      </c>
      <c r="U31" s="179"/>
      <c r="V31" s="179"/>
      <c r="W31" s="179"/>
      <c r="X31" s="179"/>
      <c r="Y31" s="179"/>
      <c r="Z31" s="179"/>
      <c r="AA31" s="179"/>
      <c r="AB31" s="179"/>
      <c r="AC31" s="138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B32" s="429" t="s">
        <v>113</v>
      </c>
      <c r="C32" s="352"/>
      <c r="D32" s="180" t="s">
        <v>112</v>
      </c>
      <c r="E32" s="430"/>
      <c r="F32" s="352"/>
      <c r="G32" s="352"/>
      <c r="H32" s="352"/>
      <c r="I32" s="352"/>
      <c r="J32" s="181">
        <v>6</v>
      </c>
      <c r="K32" s="182"/>
      <c r="L32" s="146"/>
      <c r="M32" s="168"/>
      <c r="N32" s="113"/>
      <c r="O32" s="183"/>
      <c r="P32" s="170"/>
      <c r="R32" s="150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33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0" t="s">
        <v>43</v>
      </c>
      <c r="B33" s="184" t="s">
        <v>15</v>
      </c>
      <c r="C33" s="185">
        <v>958341</v>
      </c>
      <c r="D33" s="436" t="s">
        <v>151</v>
      </c>
      <c r="E33" s="352"/>
      <c r="F33" s="352"/>
      <c r="G33" s="352"/>
      <c r="H33" s="352"/>
      <c r="I33" s="352"/>
      <c r="J33" s="186">
        <v>3</v>
      </c>
      <c r="K33" s="187" t="s">
        <v>139</v>
      </c>
      <c r="L33" s="146" t="s">
        <v>140</v>
      </c>
      <c r="M33" s="168" t="s">
        <v>152</v>
      </c>
      <c r="N33" s="113">
        <v>30</v>
      </c>
      <c r="O33" s="183" t="s">
        <v>153</v>
      </c>
      <c r="P33" s="170"/>
      <c r="R33" s="150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33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0" t="s">
        <v>43</v>
      </c>
      <c r="B34" s="184">
        <v>4</v>
      </c>
      <c r="C34" s="188">
        <v>958481</v>
      </c>
      <c r="D34" s="431" t="s">
        <v>15</v>
      </c>
      <c r="E34" s="352"/>
      <c r="F34" s="352"/>
      <c r="G34" s="352"/>
      <c r="H34" s="352"/>
      <c r="I34" s="352"/>
      <c r="J34" s="189">
        <v>3</v>
      </c>
      <c r="K34" s="190" t="s">
        <v>154</v>
      </c>
      <c r="L34" s="146" t="s">
        <v>140</v>
      </c>
      <c r="M34" s="168" t="s">
        <v>152</v>
      </c>
      <c r="N34" s="113">
        <v>30</v>
      </c>
      <c r="O34" s="183" t="s">
        <v>155</v>
      </c>
      <c r="P34" s="170"/>
      <c r="R34" s="150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33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50" t="s">
        <v>43</v>
      </c>
      <c r="B35" s="191">
        <v>5</v>
      </c>
      <c r="C35" s="192">
        <v>958441</v>
      </c>
      <c r="D35" s="432" t="s">
        <v>156</v>
      </c>
      <c r="E35" s="352"/>
      <c r="F35" s="352"/>
      <c r="G35" s="352"/>
      <c r="H35" s="352"/>
      <c r="I35" s="352"/>
      <c r="J35" s="193">
        <v>3</v>
      </c>
      <c r="K35" s="194" t="s">
        <v>139</v>
      </c>
      <c r="L35" s="146" t="s">
        <v>115</v>
      </c>
      <c r="M35" s="168" t="s">
        <v>157</v>
      </c>
      <c r="N35" s="113">
        <v>30</v>
      </c>
      <c r="O35" s="183"/>
      <c r="P35" s="170"/>
      <c r="R35" s="150"/>
      <c r="S35" s="195"/>
      <c r="T35" s="195" t="s">
        <v>158</v>
      </c>
      <c r="U35" s="195"/>
      <c r="V35" s="195"/>
      <c r="W35" s="195"/>
      <c r="X35" s="195"/>
      <c r="Y35" s="195"/>
      <c r="Z35" s="195"/>
      <c r="AA35" s="195"/>
      <c r="AB35" s="195"/>
      <c r="AC35" s="196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0" t="s">
        <v>159</v>
      </c>
      <c r="B36" s="197">
        <v>6</v>
      </c>
      <c r="C36" s="198">
        <v>958481</v>
      </c>
      <c r="D36" s="433" t="s">
        <v>160</v>
      </c>
      <c r="E36" s="352"/>
      <c r="F36" s="352"/>
      <c r="G36" s="352"/>
      <c r="H36" s="352"/>
      <c r="I36" s="352"/>
      <c r="J36" s="199">
        <v>3</v>
      </c>
      <c r="K36" s="200" t="s">
        <v>139</v>
      </c>
      <c r="L36" s="146" t="s">
        <v>116</v>
      </c>
      <c r="M36" s="201" t="s">
        <v>161</v>
      </c>
      <c r="N36" s="113">
        <v>25</v>
      </c>
      <c r="O36" s="183"/>
      <c r="P36" s="170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33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50" t="s">
        <v>43</v>
      </c>
      <c r="B37" s="202">
        <v>7</v>
      </c>
      <c r="C37" s="203">
        <v>958481</v>
      </c>
      <c r="D37" s="434" t="s">
        <v>162</v>
      </c>
      <c r="E37" s="352"/>
      <c r="F37" s="352"/>
      <c r="G37" s="352"/>
      <c r="H37" s="352"/>
      <c r="I37" s="352"/>
      <c r="J37" s="204">
        <v>3</v>
      </c>
      <c r="K37" s="205" t="s">
        <v>163</v>
      </c>
      <c r="L37" s="206" t="s">
        <v>111</v>
      </c>
      <c r="M37" s="201" t="s">
        <v>164</v>
      </c>
      <c r="N37" s="113">
        <v>59</v>
      </c>
      <c r="O37" s="183"/>
      <c r="P37" s="170"/>
      <c r="S37" s="207"/>
      <c r="T37" s="207"/>
      <c r="U37" s="207"/>
      <c r="V37" s="207"/>
      <c r="W37" s="207"/>
      <c r="X37" s="207" t="s">
        <v>165</v>
      </c>
      <c r="Y37" s="207"/>
      <c r="Z37" s="207"/>
      <c r="AA37" s="207"/>
      <c r="AB37" s="207"/>
      <c r="AC37" s="208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50" t="s">
        <v>43</v>
      </c>
      <c r="B38" s="209">
        <v>8</v>
      </c>
      <c r="C38" s="210">
        <v>951212</v>
      </c>
      <c r="D38" s="435" t="s">
        <v>166</v>
      </c>
      <c r="E38" s="352"/>
      <c r="F38" s="352"/>
      <c r="G38" s="352"/>
      <c r="H38" s="352"/>
      <c r="I38" s="352"/>
      <c r="J38" s="211">
        <v>3</v>
      </c>
      <c r="K38" s="212" t="s">
        <v>139</v>
      </c>
      <c r="L38" s="146" t="s">
        <v>167</v>
      </c>
      <c r="M38" s="168" t="s">
        <v>168</v>
      </c>
      <c r="N38" s="113">
        <v>25</v>
      </c>
      <c r="O38" s="213" t="s">
        <v>169</v>
      </c>
      <c r="P38" s="214"/>
      <c r="Q38" s="214"/>
      <c r="S38" s="215"/>
      <c r="T38" s="115"/>
      <c r="U38" s="115"/>
      <c r="V38" s="115"/>
      <c r="W38" s="115"/>
      <c r="X38" s="115"/>
      <c r="Y38" s="115"/>
      <c r="Z38" s="115"/>
      <c r="AA38" s="115"/>
      <c r="AB38" s="115"/>
      <c r="AC38" s="133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50"/>
      <c r="B39" s="50"/>
      <c r="C39" s="75" t="s">
        <v>54</v>
      </c>
      <c r="E39" s="77"/>
      <c r="F39" s="77"/>
      <c r="G39" s="77"/>
      <c r="H39" s="77"/>
      <c r="I39" s="77"/>
      <c r="J39" s="77">
        <f>SUM(J29:J32)</f>
        <v>15</v>
      </c>
      <c r="L39" s="155"/>
      <c r="M39" s="55"/>
      <c r="N39" s="55"/>
      <c r="O39" s="55"/>
      <c r="P39" s="55"/>
      <c r="Q39" s="55"/>
      <c r="R39" s="55"/>
      <c r="S39" s="55"/>
      <c r="T39" s="47"/>
      <c r="U39" s="47"/>
      <c r="V39" s="47"/>
      <c r="W39" s="47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5.75" customHeight="1">
      <c r="A40" s="50"/>
      <c r="B40" s="50"/>
      <c r="C40" s="392" t="s">
        <v>119</v>
      </c>
      <c r="D40" s="352"/>
      <c r="E40" s="352"/>
      <c r="F40" s="352"/>
      <c r="G40" s="352"/>
      <c r="H40" s="142"/>
      <c r="I40" s="142"/>
      <c r="J40" s="50"/>
      <c r="K40" s="50"/>
      <c r="L40" s="47"/>
      <c r="M40" s="47"/>
      <c r="N40" s="47"/>
      <c r="O40" s="47"/>
      <c r="P40" s="47"/>
      <c r="Q40" s="55"/>
      <c r="R40" s="55"/>
      <c r="S40" s="55"/>
      <c r="T40" s="47"/>
      <c r="U40" s="47"/>
      <c r="V40" s="47"/>
      <c r="W40" s="47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8.75" customHeight="1">
      <c r="A41" s="50"/>
      <c r="B41" s="10"/>
      <c r="C41" s="156"/>
      <c r="D41" s="156"/>
      <c r="E41" s="156"/>
      <c r="F41" s="156"/>
      <c r="G41" s="156"/>
      <c r="H41" s="156"/>
      <c r="I41" s="156"/>
      <c r="J41" s="10"/>
      <c r="K41" s="10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8.75" customHeight="1">
      <c r="A42" s="10"/>
      <c r="B42" s="10"/>
      <c r="C42" s="156"/>
      <c r="D42" s="156"/>
      <c r="E42" s="156"/>
      <c r="F42" s="156"/>
      <c r="G42" s="156"/>
      <c r="H42" s="156"/>
      <c r="I42" s="156"/>
      <c r="J42" s="10"/>
      <c r="K42" s="10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8.75" customHeight="1">
      <c r="A43" s="5"/>
      <c r="B43" s="5"/>
      <c r="C43" s="79"/>
      <c r="D43" s="79"/>
      <c r="E43" s="79"/>
      <c r="F43" s="79"/>
      <c r="G43" s="79"/>
      <c r="H43" s="79"/>
      <c r="I43" s="5"/>
      <c r="J43" s="10"/>
      <c r="K43" s="10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8.75" customHeight="1">
      <c r="A44" s="10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157"/>
      <c r="B45" s="157"/>
      <c r="C45" s="157"/>
      <c r="D45" s="157"/>
      <c r="E45" s="157"/>
      <c r="F45" s="157"/>
      <c r="G45" s="157"/>
      <c r="H45" s="157"/>
      <c r="I45" s="157"/>
      <c r="J45" s="10"/>
      <c r="K45" s="10"/>
      <c r="L45" s="10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0"/>
      <c r="K46" s="10"/>
      <c r="L46" s="10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157"/>
      <c r="B47" s="157"/>
      <c r="C47" s="157" t="s">
        <v>170</v>
      </c>
      <c r="D47" s="216" t="str">
        <f>C29 &amp; " " &amp; D29</f>
        <v>958321 Game Development 3</v>
      </c>
      <c r="E47" s="157"/>
      <c r="F47" s="157"/>
      <c r="G47" s="157"/>
      <c r="H47" s="157"/>
      <c r="I47" s="157"/>
      <c r="J47" s="10"/>
      <c r="K47" s="10"/>
      <c r="L47" s="10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3">
    <mergeCell ref="N21:U22"/>
    <mergeCell ref="V27:W27"/>
    <mergeCell ref="X27:Y27"/>
    <mergeCell ref="L7:M8"/>
    <mergeCell ref="N7:U8"/>
    <mergeCell ref="N11:U12"/>
    <mergeCell ref="N13:U14"/>
    <mergeCell ref="N15:U16"/>
    <mergeCell ref="L15:M16"/>
    <mergeCell ref="Z27:Z28"/>
    <mergeCell ref="AA27:AA28"/>
    <mergeCell ref="AB27:AB28"/>
    <mergeCell ref="AC27:AC28"/>
    <mergeCell ref="D33:I33"/>
    <mergeCell ref="X4:Y4"/>
    <mergeCell ref="C40:G40"/>
    <mergeCell ref="S27:U27"/>
    <mergeCell ref="E28:I28"/>
    <mergeCell ref="D29:I29"/>
    <mergeCell ref="D30:I30"/>
    <mergeCell ref="D31:I31"/>
    <mergeCell ref="B32:C32"/>
    <mergeCell ref="E32:I32"/>
    <mergeCell ref="D34:I34"/>
    <mergeCell ref="D35:I35"/>
    <mergeCell ref="D36:I36"/>
    <mergeCell ref="D37:I37"/>
    <mergeCell ref="D38:I38"/>
    <mergeCell ref="L19:Q20"/>
    <mergeCell ref="L21:M22"/>
    <mergeCell ref="Z4:AA4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R4:S4"/>
    <mergeCell ref="T4:U4"/>
    <mergeCell ref="A5:A6"/>
    <mergeCell ref="L5:Q6"/>
    <mergeCell ref="A7:A10"/>
    <mergeCell ref="B7:D8"/>
    <mergeCell ref="L9:Q10"/>
    <mergeCell ref="E7:J8"/>
    <mergeCell ref="B15:K16"/>
    <mergeCell ref="E19:J20"/>
    <mergeCell ref="A15:A18"/>
    <mergeCell ref="A19:A22"/>
    <mergeCell ref="B19:D20"/>
    <mergeCell ref="D11:I12"/>
    <mergeCell ref="L11:M12"/>
    <mergeCell ref="A13:A14"/>
    <mergeCell ref="B13:C14"/>
    <mergeCell ref="L13:M14"/>
    <mergeCell ref="D13:K14"/>
  </mergeCells>
  <pageMargins left="0.25" right="0.25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  <pageSetUpPr fitToPage="1"/>
  </sheetPr>
  <dimension ref="A1:AP1003"/>
  <sheetViews>
    <sheetView workbookViewId="0"/>
  </sheetViews>
  <sheetFormatPr defaultColWidth="14.42578125" defaultRowHeight="15" customHeight="1"/>
  <cols>
    <col min="1" max="1" width="21.85546875" customWidth="1"/>
    <col min="2" max="2" width="7.5703125" customWidth="1"/>
    <col min="3" max="3" width="10.140625" customWidth="1"/>
    <col min="4" max="10" width="7.5703125" customWidth="1"/>
    <col min="11" max="11" width="12" customWidth="1"/>
    <col min="12" max="12" width="15.140625" customWidth="1"/>
    <col min="13" max="13" width="16" customWidth="1"/>
    <col min="14" max="14" width="13.85546875" customWidth="1"/>
    <col min="15" max="23" width="7.5703125" customWidth="1"/>
    <col min="24" max="25" width="5.85546875" customWidth="1"/>
    <col min="26" max="26" width="9" customWidth="1"/>
    <col min="27" max="27" width="8.85546875" customWidth="1"/>
    <col min="28" max="28" width="8.42578125" customWidth="1"/>
    <col min="29" max="29" width="8.140625" customWidth="1"/>
    <col min="30" max="30" width="10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171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0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56" t="s">
        <v>172</v>
      </c>
      <c r="J3" s="337"/>
      <c r="K3" s="337"/>
      <c r="L3" s="337"/>
      <c r="M3" s="337"/>
      <c r="N3" s="8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61" t="s">
        <v>3</v>
      </c>
      <c r="E4" s="362"/>
      <c r="F4" s="361" t="s">
        <v>4</v>
      </c>
      <c r="G4" s="362"/>
      <c r="H4" s="357" t="s">
        <v>5</v>
      </c>
      <c r="I4" s="358"/>
      <c r="J4" s="357" t="s">
        <v>6</v>
      </c>
      <c r="K4" s="358"/>
      <c r="L4" s="357" t="s">
        <v>7</v>
      </c>
      <c r="M4" s="358"/>
      <c r="N4" s="357" t="s">
        <v>8</v>
      </c>
      <c r="O4" s="358"/>
      <c r="P4" s="361" t="s">
        <v>9</v>
      </c>
      <c r="Q4" s="335"/>
      <c r="R4" s="359" t="s">
        <v>10</v>
      </c>
      <c r="S4" s="374"/>
      <c r="T4" s="359" t="s">
        <v>11</v>
      </c>
      <c r="U4" s="360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41.25" customHeight="1">
      <c r="A5" s="380" t="s">
        <v>13</v>
      </c>
      <c r="B5" s="87"/>
      <c r="C5" s="87"/>
      <c r="D5" s="87"/>
      <c r="E5" s="406" t="s">
        <v>173</v>
      </c>
      <c r="F5" s="334"/>
      <c r="G5" s="335"/>
      <c r="H5" s="409" t="s">
        <v>174</v>
      </c>
      <c r="I5" s="334"/>
      <c r="J5" s="335"/>
      <c r="K5" s="13"/>
      <c r="L5" s="12"/>
      <c r="M5" s="20"/>
      <c r="N5" s="217"/>
      <c r="O5" s="440" t="s">
        <v>175</v>
      </c>
      <c r="P5" s="334"/>
      <c r="Q5" s="335"/>
      <c r="R5" s="12"/>
      <c r="S5" s="12"/>
      <c r="T5" s="12"/>
      <c r="U5" s="12"/>
      <c r="V5" s="14"/>
      <c r="W5" s="15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3.5" customHeight="1">
      <c r="A6" s="332"/>
      <c r="B6" s="87"/>
      <c r="C6" s="87"/>
      <c r="D6" s="87"/>
      <c r="E6" s="336"/>
      <c r="F6" s="337"/>
      <c r="G6" s="338"/>
      <c r="H6" s="337"/>
      <c r="I6" s="337"/>
      <c r="J6" s="338"/>
      <c r="K6" s="17"/>
      <c r="L6" s="16"/>
      <c r="M6" s="16"/>
      <c r="N6" s="218"/>
      <c r="O6" s="336"/>
      <c r="P6" s="337"/>
      <c r="Q6" s="338"/>
      <c r="R6" s="16"/>
      <c r="S6" s="16"/>
      <c r="T6" s="16"/>
      <c r="U6" s="16"/>
      <c r="V6" s="18"/>
      <c r="W6" s="19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43.5" customHeight="1">
      <c r="A7" s="372" t="s">
        <v>14</v>
      </c>
      <c r="B7" s="87"/>
      <c r="C7" s="87"/>
      <c r="D7" s="87"/>
      <c r="E7" s="87"/>
      <c r="F7" s="87"/>
      <c r="G7" s="87"/>
      <c r="H7" s="441" t="s">
        <v>176</v>
      </c>
      <c r="I7" s="334"/>
      <c r="J7" s="335"/>
      <c r="K7" s="14"/>
      <c r="L7" s="417" t="s">
        <v>177</v>
      </c>
      <c r="M7" s="334"/>
      <c r="N7" s="334"/>
      <c r="O7" s="334"/>
      <c r="P7" s="334"/>
      <c r="Q7" s="362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39.75" customHeight="1">
      <c r="A8" s="332"/>
      <c r="B8" s="87"/>
      <c r="C8" s="87"/>
      <c r="D8" s="87"/>
      <c r="E8" s="87"/>
      <c r="F8" s="87"/>
      <c r="G8" s="87"/>
      <c r="H8" s="336"/>
      <c r="I8" s="337"/>
      <c r="J8" s="338"/>
      <c r="K8" s="18"/>
      <c r="L8" s="336"/>
      <c r="M8" s="337"/>
      <c r="N8" s="337"/>
      <c r="O8" s="337"/>
      <c r="P8" s="337"/>
      <c r="Q8" s="365"/>
      <c r="R8" s="24"/>
      <c r="S8" s="24"/>
      <c r="T8" s="24"/>
      <c r="U8" s="24"/>
      <c r="V8" s="24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7.25" customHeight="1">
      <c r="A9" s="342" t="s">
        <v>16</v>
      </c>
      <c r="B9" s="30"/>
      <c r="C9" s="14"/>
      <c r="D9" s="14"/>
      <c r="E9" s="14"/>
      <c r="F9" s="14"/>
      <c r="G9" s="14"/>
      <c r="H9" s="14"/>
      <c r="I9" s="14"/>
      <c r="J9" s="14"/>
      <c r="K9" s="14"/>
      <c r="L9" s="347" t="s">
        <v>178</v>
      </c>
      <c r="M9" s="335"/>
      <c r="N9" s="347" t="s">
        <v>179</v>
      </c>
      <c r="O9" s="334"/>
      <c r="P9" s="334"/>
      <c r="Q9" s="334"/>
      <c r="R9" s="334"/>
      <c r="S9" s="334"/>
      <c r="T9" s="334"/>
      <c r="U9" s="335"/>
      <c r="V9" s="14"/>
      <c r="W9" s="1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2.75" customHeight="1">
      <c r="A10" s="332"/>
      <c r="B10" s="31"/>
      <c r="C10" s="18"/>
      <c r="D10" s="18"/>
      <c r="E10" s="18"/>
      <c r="F10" s="18"/>
      <c r="G10" s="18"/>
      <c r="H10" s="18"/>
      <c r="I10" s="18"/>
      <c r="J10" s="18"/>
      <c r="K10" s="18"/>
      <c r="L10" s="336"/>
      <c r="M10" s="338"/>
      <c r="N10" s="336"/>
      <c r="O10" s="337"/>
      <c r="P10" s="337"/>
      <c r="Q10" s="337"/>
      <c r="R10" s="337"/>
      <c r="S10" s="337"/>
      <c r="T10" s="337"/>
      <c r="U10" s="338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6" customHeight="1">
      <c r="A11" s="344" t="s">
        <v>17</v>
      </c>
      <c r="B11" s="20"/>
      <c r="C11" s="20"/>
      <c r="D11" s="20"/>
      <c r="E11" s="406" t="s">
        <v>180</v>
      </c>
      <c r="F11" s="334"/>
      <c r="G11" s="335"/>
      <c r="H11" s="350" t="s">
        <v>181</v>
      </c>
      <c r="I11" s="334"/>
      <c r="J11" s="335"/>
      <c r="K11" s="14"/>
      <c r="L11" s="378" t="s">
        <v>182</v>
      </c>
      <c r="M11" s="335"/>
      <c r="N11" s="373" t="s">
        <v>183</v>
      </c>
      <c r="O11" s="334"/>
      <c r="P11" s="334"/>
      <c r="Q11" s="334"/>
      <c r="R11" s="334"/>
      <c r="S11" s="334"/>
      <c r="T11" s="334"/>
      <c r="U11" s="335"/>
      <c r="V11" s="32"/>
      <c r="W11" s="33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8" customHeight="1">
      <c r="A12" s="332"/>
      <c r="B12" s="20"/>
      <c r="C12" s="20"/>
      <c r="D12" s="20"/>
      <c r="E12" s="336"/>
      <c r="F12" s="337"/>
      <c r="G12" s="338"/>
      <c r="H12" s="336"/>
      <c r="I12" s="337"/>
      <c r="J12" s="338"/>
      <c r="K12" s="18"/>
      <c r="L12" s="336"/>
      <c r="M12" s="338"/>
      <c r="N12" s="336"/>
      <c r="O12" s="337"/>
      <c r="P12" s="337"/>
      <c r="Q12" s="337"/>
      <c r="R12" s="337"/>
      <c r="S12" s="337"/>
      <c r="T12" s="337"/>
      <c r="U12" s="338"/>
      <c r="V12" s="23"/>
      <c r="W12" s="34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7.5" customHeight="1">
      <c r="A13" s="407" t="s">
        <v>18</v>
      </c>
      <c r="B13" s="90"/>
      <c r="C13" s="90"/>
      <c r="D13" s="90"/>
      <c r="E13" s="90"/>
      <c r="F13" s="90"/>
      <c r="G13" s="90"/>
      <c r="H13" s="441" t="s">
        <v>184</v>
      </c>
      <c r="I13" s="334"/>
      <c r="J13" s="335"/>
      <c r="K13" s="11"/>
      <c r="L13" s="90"/>
      <c r="M13" s="90"/>
      <c r="N13" s="90"/>
      <c r="O13" s="219"/>
      <c r="P13" s="219"/>
      <c r="Q13" s="219"/>
      <c r="R13" s="219"/>
      <c r="S13" s="219"/>
      <c r="T13" s="219"/>
      <c r="U13" s="220"/>
      <c r="V13" s="32"/>
      <c r="W13" s="33"/>
      <c r="X13" s="98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6.75" customHeight="1">
      <c r="A14" s="332"/>
      <c r="B14" s="24"/>
      <c r="C14" s="24"/>
      <c r="D14" s="24"/>
      <c r="E14" s="24"/>
      <c r="F14" s="24"/>
      <c r="G14" s="24"/>
      <c r="H14" s="336"/>
      <c r="I14" s="337"/>
      <c r="J14" s="338"/>
      <c r="K14" s="16"/>
      <c r="L14" s="24"/>
      <c r="M14" s="24"/>
      <c r="N14" s="24"/>
      <c r="O14" s="221"/>
      <c r="P14" s="221"/>
      <c r="Q14" s="221"/>
      <c r="R14" s="221"/>
      <c r="S14" s="221"/>
      <c r="T14" s="221"/>
      <c r="U14" s="222"/>
      <c r="V14" s="23"/>
      <c r="W14" s="34"/>
      <c r="X14" s="98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99"/>
      <c r="B15" s="24"/>
      <c r="C15" s="24"/>
      <c r="D15" s="24"/>
      <c r="E15" s="24"/>
      <c r="F15" s="24"/>
      <c r="G15" s="24"/>
      <c r="H15" s="24"/>
      <c r="I15" s="24"/>
      <c r="J15" s="24"/>
      <c r="K15" s="16"/>
      <c r="L15" s="16"/>
      <c r="M15" s="16"/>
      <c r="N15" s="28"/>
      <c r="O15" s="28"/>
      <c r="P15" s="28"/>
      <c r="Q15" s="29"/>
      <c r="R15" s="29"/>
      <c r="S15" s="29"/>
      <c r="T15" s="17"/>
      <c r="U15" s="23"/>
      <c r="V15" s="23"/>
      <c r="W15" s="34"/>
      <c r="X15" s="98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99"/>
      <c r="B16" s="87"/>
      <c r="C16" s="87"/>
      <c r="D16" s="87"/>
      <c r="E16" s="87"/>
      <c r="F16" s="87"/>
      <c r="G16" s="87"/>
      <c r="H16" s="18"/>
      <c r="I16" s="18"/>
      <c r="J16" s="18"/>
      <c r="K16" s="16"/>
      <c r="L16" s="16"/>
      <c r="M16" s="16"/>
      <c r="N16" s="28"/>
      <c r="O16" s="28"/>
      <c r="P16" s="28"/>
      <c r="Q16" s="29"/>
      <c r="R16" s="29"/>
      <c r="S16" s="29"/>
      <c r="T16" s="17"/>
      <c r="U16" s="23"/>
      <c r="V16" s="23"/>
      <c r="W16" s="34"/>
      <c r="X16" s="98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38" t="s">
        <v>19</v>
      </c>
      <c r="B17" s="39"/>
      <c r="C17" s="40"/>
      <c r="D17" s="40"/>
      <c r="E17" s="40"/>
      <c r="F17" s="40"/>
      <c r="G17" s="40"/>
      <c r="H17" s="40"/>
      <c r="I17" s="40"/>
      <c r="J17" s="40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0"/>
      <c r="W17" s="4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38" t="s">
        <v>20</v>
      </c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15"/>
      <c r="T19" s="352"/>
      <c r="U19" s="352"/>
      <c r="V19" s="352"/>
      <c r="W19" s="352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55"/>
      <c r="T20" s="55"/>
      <c r="U20" s="55"/>
      <c r="V20" s="55"/>
      <c r="W20" s="5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55"/>
      <c r="T21" s="55"/>
      <c r="U21" s="55"/>
      <c r="V21" s="55"/>
      <c r="W21" s="5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44" t="s">
        <v>28</v>
      </c>
      <c r="B22" s="394" t="s">
        <v>31</v>
      </c>
      <c r="C22" s="352"/>
      <c r="D22" s="352"/>
      <c r="E22" s="352"/>
      <c r="F22" s="352"/>
      <c r="G22" s="352"/>
      <c r="H22" s="352"/>
      <c r="I22" s="352"/>
      <c r="J22" s="352"/>
      <c r="K22" s="100" t="s">
        <v>32</v>
      </c>
      <c r="L22" s="101" t="s">
        <v>97</v>
      </c>
      <c r="M22" s="101" t="s">
        <v>98</v>
      </c>
      <c r="N22" s="102" t="s">
        <v>35</v>
      </c>
      <c r="O22" s="102"/>
      <c r="P22" s="103"/>
      <c r="Q22" s="103"/>
      <c r="R22" s="103"/>
      <c r="S22" s="104"/>
      <c r="T22" s="104"/>
      <c r="U22" s="410" t="s">
        <v>21</v>
      </c>
      <c r="V22" s="340"/>
      <c r="W22" s="341"/>
      <c r="X22" s="411" t="s">
        <v>22</v>
      </c>
      <c r="Y22" s="341"/>
      <c r="Z22" s="410" t="s">
        <v>23</v>
      </c>
      <c r="AA22" s="341"/>
      <c r="AB22" s="331" t="s">
        <v>24</v>
      </c>
      <c r="AC22" s="331" t="s">
        <v>25</v>
      </c>
      <c r="AD22" s="331" t="s">
        <v>26</v>
      </c>
      <c r="AE22" s="331" t="s">
        <v>27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50" t="s">
        <v>43</v>
      </c>
      <c r="B23" s="105">
        <v>1</v>
      </c>
      <c r="C23" s="106" t="s">
        <v>99</v>
      </c>
      <c r="D23" s="107" t="str">
        <f>VLOOKUP($C23,'DG2562V1.2Courses'!$B$4:$F$99,3,FALSE)</f>
        <v>Critical Reading and Effective Writing</v>
      </c>
      <c r="E23" s="108"/>
      <c r="F23" s="108"/>
      <c r="G23" s="108"/>
      <c r="H23" s="108"/>
      <c r="I23" s="108"/>
      <c r="J23" s="108"/>
      <c r="K23" s="109">
        <f>VLOOKUP($C23,'DG2562V1.2Courses'!$B$4:$F$99,4,FALSE)</f>
        <v>3</v>
      </c>
      <c r="L23" s="44"/>
      <c r="M23" s="44"/>
      <c r="N23" s="103"/>
      <c r="O23" s="103"/>
      <c r="P23" s="103"/>
      <c r="Q23" s="103"/>
      <c r="R23" s="103"/>
      <c r="S23" s="103"/>
      <c r="T23" s="103"/>
      <c r="U23" s="48" t="s">
        <v>36</v>
      </c>
      <c r="V23" s="48" t="s">
        <v>37</v>
      </c>
      <c r="W23" s="48" t="s">
        <v>38</v>
      </c>
      <c r="X23" s="48" t="s">
        <v>39</v>
      </c>
      <c r="Y23" s="48" t="s">
        <v>40</v>
      </c>
      <c r="Z23" s="48" t="s">
        <v>41</v>
      </c>
      <c r="AA23" s="48" t="s">
        <v>42</v>
      </c>
      <c r="AB23" s="332"/>
      <c r="AC23" s="332"/>
      <c r="AD23" s="332"/>
      <c r="AE23" s="332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50" t="s">
        <v>43</v>
      </c>
      <c r="B24" s="110">
        <v>2</v>
      </c>
      <c r="C24" s="111" t="s">
        <v>100</v>
      </c>
      <c r="D24" s="395" t="str">
        <f>VLOOKUP($C24,'DG2562V1.2Courses'!$B$4:$F$99,3,FALSE)</f>
        <v>Introduction to Digital Business</v>
      </c>
      <c r="E24" s="340"/>
      <c r="F24" s="340"/>
      <c r="G24" s="340"/>
      <c r="H24" s="340"/>
      <c r="I24" s="340"/>
      <c r="J24" s="341"/>
      <c r="K24" s="112">
        <f>VLOOKUP($C24,'DG2562V1.2Courses'!$B$4:$F$99,4,FALSE)</f>
        <v>2</v>
      </c>
      <c r="L24" s="44"/>
      <c r="M24" s="44"/>
      <c r="N24" s="405"/>
      <c r="O24" s="352"/>
      <c r="P24" s="352"/>
      <c r="Q24" s="103"/>
      <c r="R24" s="103"/>
      <c r="S24" s="103"/>
      <c r="T24" s="114"/>
      <c r="U24" s="115"/>
      <c r="V24" s="116"/>
      <c r="W24" s="116"/>
      <c r="X24" s="116"/>
      <c r="Y24" s="116"/>
      <c r="Z24" s="117"/>
      <c r="AA24" s="116"/>
      <c r="AB24" s="116"/>
      <c r="AC24" s="118"/>
      <c r="AD24" s="116"/>
      <c r="AE24" s="119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50" t="s">
        <v>43</v>
      </c>
      <c r="B25" s="120">
        <v>3</v>
      </c>
      <c r="C25" s="121" t="s">
        <v>101</v>
      </c>
      <c r="D25" s="396" t="str">
        <f>VLOOKUP($C25,'DG2562V1.2Courses'!$B$4:$F$99,3,FALSE)</f>
        <v>Mathematics for Computer Graphics and Game</v>
      </c>
      <c r="E25" s="340"/>
      <c r="F25" s="340"/>
      <c r="G25" s="340"/>
      <c r="H25" s="340"/>
      <c r="I25" s="340"/>
      <c r="J25" s="341"/>
      <c r="K25" s="112">
        <f>VLOOKUP($C25,'DG2562V1.2Courses'!$B$4:$F$99,4,FALSE)</f>
        <v>3</v>
      </c>
      <c r="L25" s="54" t="s">
        <v>47</v>
      </c>
      <c r="M25" s="44" t="s">
        <v>102</v>
      </c>
      <c r="N25" s="122"/>
      <c r="O25" s="122"/>
      <c r="P25" s="122"/>
      <c r="Q25" s="103"/>
      <c r="R25" s="103"/>
      <c r="S25" s="103"/>
      <c r="T25" s="114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2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0" t="s">
        <v>43</v>
      </c>
      <c r="B26" s="124">
        <v>4</v>
      </c>
      <c r="C26" s="125" t="s">
        <v>103</v>
      </c>
      <c r="D26" s="397" t="str">
        <f>VLOOKUP($C26,'DG2562V1.2Courses'!$B$4:$F$99,3,FALSE)</f>
        <v>Game Development 1</v>
      </c>
      <c r="E26" s="340"/>
      <c r="F26" s="340"/>
      <c r="G26" s="340"/>
      <c r="H26" s="340"/>
      <c r="I26" s="340"/>
      <c r="J26" s="341"/>
      <c r="K26" s="112">
        <f>VLOOKUP($C26,'DG2562V1.2Courses'!$B$4:$F$99,4,FALSE)</f>
        <v>3</v>
      </c>
      <c r="L26" s="126" t="s">
        <v>104</v>
      </c>
      <c r="M26" s="44" t="s">
        <v>185</v>
      </c>
      <c r="N26" s="122"/>
      <c r="O26" s="122"/>
      <c r="P26" s="122"/>
      <c r="Q26" s="103"/>
      <c r="R26" s="103"/>
      <c r="S26" s="103"/>
      <c r="T26" s="114"/>
      <c r="U26" s="127"/>
      <c r="V26" s="127"/>
      <c r="W26" s="127"/>
      <c r="X26" s="128"/>
      <c r="Y26" s="128"/>
      <c r="Z26" s="128"/>
      <c r="AA26" s="128" t="s">
        <v>106</v>
      </c>
      <c r="AB26" s="128"/>
      <c r="AC26" s="128"/>
      <c r="AD26" s="128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33.75" customHeight="1">
      <c r="A27" s="50" t="s">
        <v>43</v>
      </c>
      <c r="B27" s="129">
        <v>5</v>
      </c>
      <c r="C27" s="130" t="s">
        <v>107</v>
      </c>
      <c r="D27" s="398" t="str">
        <f>VLOOKUP($C27,'DG2562V1.2Courses'!$B$4:$F$99,3,FALSE)</f>
        <v>Digital Game Production</v>
      </c>
      <c r="E27" s="340"/>
      <c r="F27" s="340"/>
      <c r="G27" s="340"/>
      <c r="H27" s="340"/>
      <c r="I27" s="340"/>
      <c r="J27" s="341"/>
      <c r="K27" s="112">
        <f>VLOOKUP($C27,'DG2562V1.2Courses'!$B$4:$F$99,4,FALSE)</f>
        <v>3</v>
      </c>
      <c r="L27" s="44" t="s">
        <v>186</v>
      </c>
      <c r="M27" s="131" t="s">
        <v>187</v>
      </c>
      <c r="N27" s="400"/>
      <c r="O27" s="352"/>
      <c r="P27" s="352"/>
      <c r="Q27" s="352"/>
      <c r="R27" s="103"/>
      <c r="S27" s="103"/>
      <c r="T27" s="114"/>
      <c r="U27" s="132"/>
      <c r="V27" s="132"/>
      <c r="W27" s="132"/>
      <c r="X27" s="133"/>
      <c r="Y27" s="133"/>
      <c r="Z27" s="133"/>
      <c r="AA27" s="133"/>
      <c r="AB27" s="133"/>
      <c r="AC27" s="133"/>
      <c r="AD27" s="133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0" t="s">
        <v>43</v>
      </c>
      <c r="B28" s="134">
        <v>6</v>
      </c>
      <c r="C28" s="135" t="s">
        <v>110</v>
      </c>
      <c r="D28" s="399" t="str">
        <f>VLOOKUP($C28,'DG2562V1.2Courses'!$B$4:$F$99,3,FALSE)</f>
        <v>Graphics Design for Two Dimensional Games</v>
      </c>
      <c r="E28" s="340"/>
      <c r="F28" s="340"/>
      <c r="G28" s="340"/>
      <c r="H28" s="340"/>
      <c r="I28" s="340"/>
      <c r="J28" s="341"/>
      <c r="K28" s="112">
        <f>VLOOKUP($C28,'DG2562V1.2Courses'!$B$4:$F$99,4,FALSE)</f>
        <v>3</v>
      </c>
      <c r="L28" s="44" t="s">
        <v>111</v>
      </c>
      <c r="M28" s="44"/>
      <c r="N28" s="136"/>
      <c r="O28" s="136"/>
      <c r="P28" s="136"/>
      <c r="Q28" s="136"/>
      <c r="R28" s="136"/>
      <c r="S28" s="136"/>
      <c r="T28" s="136"/>
      <c r="U28" s="137"/>
      <c r="V28" s="137"/>
      <c r="W28" s="137"/>
      <c r="X28" s="138">
        <v>1</v>
      </c>
      <c r="Y28" s="138">
        <v>1</v>
      </c>
      <c r="Z28" s="138"/>
      <c r="AA28" s="138"/>
      <c r="AB28" s="138"/>
      <c r="AC28" s="138"/>
      <c r="AD28" s="138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B29" s="139"/>
      <c r="C29" s="401" t="s">
        <v>112</v>
      </c>
      <c r="D29" s="341"/>
      <c r="E29" s="140"/>
      <c r="F29" s="140"/>
      <c r="G29" s="140"/>
      <c r="H29" s="140"/>
      <c r="I29" s="140"/>
      <c r="J29" s="140"/>
      <c r="K29" s="141">
        <v>3</v>
      </c>
      <c r="L29" s="44"/>
      <c r="M29" s="44"/>
      <c r="N29" s="142" t="s">
        <v>113</v>
      </c>
      <c r="O29" s="122"/>
      <c r="P29" s="122"/>
      <c r="Q29" s="103"/>
      <c r="R29" s="103"/>
      <c r="S29" s="103"/>
      <c r="T29" s="114"/>
      <c r="U29" s="132"/>
      <c r="V29" s="132"/>
      <c r="W29" s="132"/>
      <c r="X29" s="133"/>
      <c r="Y29" s="133"/>
      <c r="Z29" s="133"/>
      <c r="AA29" s="133"/>
      <c r="AB29" s="133"/>
      <c r="AC29" s="133"/>
      <c r="AD29" s="133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21.75">
      <c r="A30" s="50" t="s">
        <v>43</v>
      </c>
      <c r="B30" s="143">
        <v>7</v>
      </c>
      <c r="C30" s="144" t="s">
        <v>114</v>
      </c>
      <c r="D30" s="402" t="str">
        <f>VLOOKUP($C30,'DG2562V1.2Courses'!$B$4:$F$99,3,FALSE)</f>
        <v>Gamification</v>
      </c>
      <c r="E30" s="352"/>
      <c r="F30" s="352"/>
      <c r="G30" s="352"/>
      <c r="H30" s="352"/>
      <c r="I30" s="352"/>
      <c r="J30" s="352"/>
      <c r="K30" s="145">
        <v>3</v>
      </c>
      <c r="L30" s="146" t="s">
        <v>115</v>
      </c>
      <c r="M30" s="44" t="s">
        <v>102</v>
      </c>
      <c r="O30" s="113"/>
      <c r="P30" s="113"/>
      <c r="Q30" s="113"/>
      <c r="R30" s="113"/>
      <c r="S30" s="113"/>
      <c r="T30" s="113"/>
      <c r="U30" s="132"/>
      <c r="V30" s="132"/>
      <c r="W30" s="132"/>
      <c r="X30" s="133"/>
      <c r="Y30" s="133"/>
      <c r="Z30" s="133"/>
      <c r="AA30" s="133"/>
      <c r="AB30" s="133"/>
      <c r="AC30" s="133"/>
      <c r="AD30" s="133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0" t="s">
        <v>43</v>
      </c>
      <c r="B31" s="147"/>
      <c r="C31" s="148"/>
      <c r="D31" s="403"/>
      <c r="E31" s="352"/>
      <c r="F31" s="352"/>
      <c r="G31" s="352"/>
      <c r="H31" s="352"/>
      <c r="I31" s="352"/>
      <c r="J31" s="352"/>
      <c r="K31" s="103">
        <v>3</v>
      </c>
      <c r="L31" s="44" t="s">
        <v>116</v>
      </c>
      <c r="M31" s="50" t="s">
        <v>117</v>
      </c>
      <c r="N31" s="149"/>
      <c r="O31" s="149"/>
      <c r="P31" s="150"/>
      <c r="R31" s="103"/>
      <c r="S31" s="103"/>
      <c r="T31" s="114"/>
      <c r="U31" s="151"/>
      <c r="V31" s="151" t="s">
        <v>118</v>
      </c>
      <c r="W31" s="151"/>
      <c r="X31" s="152"/>
      <c r="Y31" s="153"/>
      <c r="Z31" s="153"/>
      <c r="AA31" s="153"/>
      <c r="AB31" s="153"/>
      <c r="AC31" s="153"/>
      <c r="AD31" s="153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0"/>
      <c r="B32" s="50"/>
      <c r="C32" s="75" t="s">
        <v>54</v>
      </c>
      <c r="D32" s="404"/>
      <c r="E32" s="352"/>
      <c r="F32" s="352"/>
      <c r="G32" s="352"/>
      <c r="H32" s="352"/>
      <c r="I32" s="352"/>
      <c r="J32" s="352"/>
      <c r="K32" s="154">
        <f>SUM(K23:K29)</f>
        <v>20</v>
      </c>
      <c r="L32" s="155"/>
      <c r="M32" s="55"/>
      <c r="N32" s="55"/>
      <c r="O32" s="55"/>
      <c r="P32" s="55"/>
      <c r="Q32" s="55"/>
      <c r="R32" s="55"/>
      <c r="S32" s="55"/>
      <c r="T32" s="47"/>
      <c r="U32" s="47"/>
      <c r="V32" s="47"/>
      <c r="W32" s="47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50"/>
      <c r="B33" s="50"/>
      <c r="C33" s="392" t="s">
        <v>119</v>
      </c>
      <c r="D33" s="352"/>
      <c r="E33" s="352"/>
      <c r="F33" s="352"/>
      <c r="G33" s="352"/>
      <c r="H33" s="142"/>
      <c r="I33" s="142"/>
      <c r="J33" s="50"/>
      <c r="K33" s="50"/>
      <c r="L33" s="47"/>
      <c r="M33" s="47"/>
      <c r="N33" s="47"/>
      <c r="O33" s="47"/>
      <c r="P33" s="47"/>
      <c r="Q33" s="55"/>
      <c r="R33" s="55"/>
      <c r="S33" s="55"/>
      <c r="T33" s="47"/>
      <c r="U33" s="47"/>
      <c r="V33" s="47"/>
      <c r="W33" s="47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0"/>
      <c r="B34" s="50"/>
      <c r="C34" s="20"/>
      <c r="D34" s="20"/>
      <c r="E34" s="20"/>
      <c r="F34" s="20"/>
      <c r="G34" s="20"/>
      <c r="H34" s="20"/>
      <c r="I34" s="142"/>
      <c r="J34" s="50"/>
      <c r="K34" s="50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56"/>
      <c r="D35" s="156"/>
      <c r="E35" s="156"/>
      <c r="F35" s="156"/>
      <c r="G35" s="156"/>
      <c r="H35" s="156"/>
      <c r="I35" s="156"/>
      <c r="J35" s="10"/>
      <c r="K35" s="10"/>
      <c r="L35" s="146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79"/>
      <c r="D36" s="79"/>
      <c r="E36" s="79"/>
      <c r="F36" s="79"/>
      <c r="G36" s="79"/>
      <c r="H36" s="79"/>
      <c r="I36" s="5"/>
      <c r="J36" s="10"/>
      <c r="K36" s="10"/>
      <c r="L36" s="126"/>
      <c r="N36" s="113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2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0"/>
      <c r="K38" s="10"/>
      <c r="L38" s="14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0"/>
      <c r="K39" s="10"/>
      <c r="L39" s="14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5">
    <mergeCell ref="D31:J31"/>
    <mergeCell ref="D32:J32"/>
    <mergeCell ref="C33:G33"/>
    <mergeCell ref="D25:J25"/>
    <mergeCell ref="D26:J26"/>
    <mergeCell ref="D27:J27"/>
    <mergeCell ref="N27:Q27"/>
    <mergeCell ref="D28:J28"/>
    <mergeCell ref="C29:D29"/>
    <mergeCell ref="D30:J30"/>
    <mergeCell ref="R4:S4"/>
    <mergeCell ref="L9:M10"/>
    <mergeCell ref="L11:M12"/>
    <mergeCell ref="D24:J24"/>
    <mergeCell ref="A1:W1"/>
    <mergeCell ref="A2:W2"/>
    <mergeCell ref="I3:M3"/>
    <mergeCell ref="B4:C4"/>
    <mergeCell ref="D4:E4"/>
    <mergeCell ref="F4:G4"/>
    <mergeCell ref="H4:I4"/>
    <mergeCell ref="V4:W4"/>
    <mergeCell ref="L4:M4"/>
    <mergeCell ref="J4:K4"/>
    <mergeCell ref="A5:A6"/>
    <mergeCell ref="E5:G6"/>
    <mergeCell ref="H5:J6"/>
    <mergeCell ref="A7:A8"/>
    <mergeCell ref="H7:J8"/>
    <mergeCell ref="A9:A10"/>
    <mergeCell ref="U22:W22"/>
    <mergeCell ref="X22:Y22"/>
    <mergeCell ref="Z22:AA22"/>
    <mergeCell ref="AB22:AB23"/>
    <mergeCell ref="A11:A12"/>
    <mergeCell ref="E11:G12"/>
    <mergeCell ref="H11:J12"/>
    <mergeCell ref="A13:A14"/>
    <mergeCell ref="H13:J14"/>
    <mergeCell ref="B22:J22"/>
    <mergeCell ref="AC22:AC23"/>
    <mergeCell ref="AD22:AD23"/>
    <mergeCell ref="AE22:AE23"/>
    <mergeCell ref="N24:P24"/>
    <mergeCell ref="N4:O4"/>
    <mergeCell ref="P4:Q4"/>
    <mergeCell ref="O5:Q6"/>
    <mergeCell ref="L7:Q8"/>
    <mergeCell ref="N9:U10"/>
    <mergeCell ref="N11:U12"/>
    <mergeCell ref="S19:W19"/>
    <mergeCell ref="T4:U4"/>
    <mergeCell ref="X4:Y4"/>
    <mergeCell ref="Z4:AA4"/>
    <mergeCell ref="AB4:AC4"/>
  </mergeCells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outlinePr summaryBelow="0" summaryRight="0"/>
    <pageSetUpPr fitToPage="1"/>
  </sheetPr>
  <dimension ref="A1:AP1006"/>
  <sheetViews>
    <sheetView workbookViewId="0"/>
  </sheetViews>
  <sheetFormatPr defaultColWidth="14.42578125" defaultRowHeight="15" customHeight="1"/>
  <cols>
    <col min="1" max="1" width="22" customWidth="1"/>
    <col min="2" max="2" width="10.140625" customWidth="1"/>
    <col min="3" max="3" width="12.140625" customWidth="1"/>
    <col min="4" max="4" width="15.85546875" customWidth="1"/>
    <col min="5" max="5" width="11.5703125" customWidth="1"/>
    <col min="6" max="9" width="10.140625" customWidth="1"/>
    <col min="10" max="10" width="15.5703125" customWidth="1"/>
    <col min="11" max="11" width="18.85546875" customWidth="1"/>
    <col min="12" max="12" width="14.85546875" customWidth="1"/>
    <col min="13" max="13" width="15.85546875" customWidth="1"/>
    <col min="14" max="14" width="10.85546875" customWidth="1"/>
    <col min="15" max="15" width="21" customWidth="1"/>
    <col min="16" max="18" width="7.5703125" customWidth="1"/>
    <col min="19" max="29" width="9.42578125" customWidth="1"/>
    <col min="30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188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0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158" t="s">
        <v>121</v>
      </c>
      <c r="B3" s="158"/>
      <c r="C3" s="158"/>
      <c r="D3" s="158"/>
      <c r="E3" s="158"/>
      <c r="F3" s="158"/>
      <c r="G3" s="356" t="s">
        <v>189</v>
      </c>
      <c r="H3" s="337"/>
      <c r="I3" s="337"/>
      <c r="J3" s="337"/>
      <c r="K3" s="337"/>
      <c r="L3" s="337"/>
      <c r="M3" s="337"/>
      <c r="N3" s="337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57" t="s">
        <v>3</v>
      </c>
      <c r="E4" s="358"/>
      <c r="F4" s="357" t="s">
        <v>4</v>
      </c>
      <c r="G4" s="358"/>
      <c r="H4" s="357" t="s">
        <v>5</v>
      </c>
      <c r="I4" s="358"/>
      <c r="J4" s="357" t="s">
        <v>6</v>
      </c>
      <c r="K4" s="358"/>
      <c r="L4" s="357" t="s">
        <v>7</v>
      </c>
      <c r="M4" s="358"/>
      <c r="N4" s="357" t="s">
        <v>8</v>
      </c>
      <c r="O4" s="358"/>
      <c r="P4" s="357" t="s">
        <v>9</v>
      </c>
      <c r="Q4" s="341"/>
      <c r="R4" s="359" t="s">
        <v>10</v>
      </c>
      <c r="S4" s="374"/>
      <c r="T4" s="359" t="s">
        <v>11</v>
      </c>
      <c r="U4" s="360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80" t="s">
        <v>13</v>
      </c>
      <c r="E5" s="442" t="s">
        <v>190</v>
      </c>
      <c r="F5" s="334"/>
      <c r="G5" s="334"/>
      <c r="H5" s="334"/>
      <c r="I5" s="334"/>
      <c r="J5" s="362"/>
      <c r="K5" s="13"/>
      <c r="L5" s="423" t="str">
        <f>C26 &amp; "/001
" &amp; D26 &amp; "
" &amp; L26 &amp; "
" &amp; M26 &amp; "
" &amp; N26 &amp; " คน
" &amp;O26</f>
        <v>958325/001
Artificial Intelligence for Game Development
อ.ดร.ปฏิสนธิ์
C308,C309
60 คน
เด็กตกแผนเพิ่มมา 13 คน (รวมใน 60 คนแล้ว)</v>
      </c>
      <c r="M5" s="334"/>
      <c r="N5" s="334"/>
      <c r="O5" s="334"/>
      <c r="P5" s="334"/>
      <c r="Q5" s="335"/>
      <c r="R5" s="12"/>
      <c r="S5" s="12"/>
      <c r="T5" s="12"/>
      <c r="U5" s="12"/>
      <c r="V5" s="14"/>
      <c r="W5" s="15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32"/>
      <c r="D6" s="24"/>
      <c r="E6" s="336"/>
      <c r="F6" s="337"/>
      <c r="G6" s="337"/>
      <c r="H6" s="337"/>
      <c r="I6" s="337"/>
      <c r="J6" s="365"/>
      <c r="K6" s="17"/>
      <c r="L6" s="336"/>
      <c r="M6" s="337"/>
      <c r="N6" s="337"/>
      <c r="O6" s="337"/>
      <c r="P6" s="337"/>
      <c r="Q6" s="338"/>
      <c r="R6" s="16"/>
      <c r="S6" s="16"/>
      <c r="T6" s="16"/>
      <c r="U6" s="16"/>
      <c r="V6" s="18"/>
      <c r="W6" s="19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72" t="s">
        <v>14</v>
      </c>
      <c r="B7" s="35"/>
      <c r="C7" s="21"/>
      <c r="E7" s="443" t="s">
        <v>191</v>
      </c>
      <c r="F7" s="334"/>
      <c r="G7" s="334"/>
      <c r="H7" s="334"/>
      <c r="I7" s="334"/>
      <c r="J7" s="362"/>
      <c r="K7" s="14"/>
      <c r="L7" s="439" t="s">
        <v>192</v>
      </c>
      <c r="M7" s="335"/>
      <c r="N7" s="439" t="s">
        <v>193</v>
      </c>
      <c r="O7" s="334"/>
      <c r="P7" s="334"/>
      <c r="Q7" s="334"/>
      <c r="R7" s="334"/>
      <c r="S7" s="334"/>
      <c r="T7" s="334"/>
      <c r="U7" s="335"/>
      <c r="V7" s="13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43.5" customHeight="1">
      <c r="A8" s="343"/>
      <c r="B8" s="37"/>
      <c r="C8" s="29"/>
      <c r="D8" s="24"/>
      <c r="E8" s="336"/>
      <c r="F8" s="337"/>
      <c r="G8" s="337"/>
      <c r="H8" s="337"/>
      <c r="I8" s="337"/>
      <c r="J8" s="365"/>
      <c r="K8" s="18"/>
      <c r="L8" s="336"/>
      <c r="M8" s="338"/>
      <c r="N8" s="336"/>
      <c r="O8" s="337"/>
      <c r="P8" s="337"/>
      <c r="Q8" s="337"/>
      <c r="R8" s="337"/>
      <c r="S8" s="337"/>
      <c r="T8" s="337"/>
      <c r="U8" s="338"/>
      <c r="V8" s="17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43"/>
      <c r="B9" s="159"/>
      <c r="C9" s="159"/>
      <c r="E9" s="443" t="s">
        <v>194</v>
      </c>
      <c r="F9" s="334"/>
      <c r="G9" s="334"/>
      <c r="H9" s="334"/>
      <c r="I9" s="334"/>
      <c r="J9" s="362"/>
      <c r="K9" s="81"/>
      <c r="L9" s="444"/>
      <c r="M9" s="334"/>
      <c r="N9" s="334"/>
      <c r="O9" s="334"/>
      <c r="P9" s="334"/>
      <c r="Q9" s="362"/>
      <c r="R9" s="159"/>
      <c r="S9" s="159"/>
      <c r="T9" s="159"/>
      <c r="U9" s="159"/>
      <c r="V9" s="50"/>
      <c r="W9" s="2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332"/>
      <c r="B10" s="159"/>
      <c r="C10" s="159"/>
      <c r="E10" s="336"/>
      <c r="F10" s="337"/>
      <c r="G10" s="337"/>
      <c r="H10" s="337"/>
      <c r="I10" s="337"/>
      <c r="J10" s="365"/>
      <c r="K10" s="159"/>
      <c r="L10" s="336"/>
      <c r="M10" s="337"/>
      <c r="N10" s="337"/>
      <c r="O10" s="337"/>
      <c r="P10" s="337"/>
      <c r="Q10" s="365"/>
      <c r="R10" s="29"/>
      <c r="S10" s="29"/>
      <c r="T10" s="29"/>
      <c r="U10" s="29"/>
      <c r="V10" s="50"/>
      <c r="W10" s="2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42" t="s">
        <v>16</v>
      </c>
      <c r="B11" s="89"/>
      <c r="C11" s="90"/>
      <c r="D11" s="90"/>
      <c r="E11" s="90"/>
      <c r="F11" s="90"/>
      <c r="G11" s="90"/>
      <c r="H11" s="90"/>
      <c r="I11" s="90"/>
      <c r="J11" s="14"/>
      <c r="K11" s="15"/>
      <c r="L11" s="447" t="s">
        <v>195</v>
      </c>
      <c r="M11" s="352"/>
      <c r="N11" s="352"/>
      <c r="O11" s="352"/>
      <c r="P11" s="352"/>
      <c r="Q11" s="352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32"/>
      <c r="B12" s="92"/>
      <c r="C12" s="24"/>
      <c r="D12" s="24"/>
      <c r="E12" s="24"/>
      <c r="F12" s="24"/>
      <c r="G12" s="24"/>
      <c r="H12" s="24"/>
      <c r="I12" s="24"/>
      <c r="J12" s="18"/>
      <c r="K12" s="19"/>
      <c r="L12" s="336"/>
      <c r="M12" s="337"/>
      <c r="N12" s="337"/>
      <c r="O12" s="337"/>
      <c r="P12" s="337"/>
      <c r="Q12" s="337"/>
      <c r="R12" s="24"/>
      <c r="S12" s="24"/>
      <c r="T12" s="24"/>
      <c r="U12" s="24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344" t="s">
        <v>17</v>
      </c>
      <c r="B13" s="35"/>
      <c r="C13" s="21"/>
      <c r="E13" s="348" t="s">
        <v>196</v>
      </c>
      <c r="F13" s="334"/>
      <c r="G13" s="334"/>
      <c r="H13" s="334"/>
      <c r="I13" s="334"/>
      <c r="J13" s="334"/>
      <c r="K13" s="223"/>
      <c r="L13" s="373" t="str">
        <f>C25 &amp; "/sec.001 
" &amp; D25 &amp; " 
" &amp;L25 &amp; "
" &amp; N25 &amp; " คน
" &amp; M25 &amp; "
" &amp; O25</f>
        <v xml:space="preserve">958321/sec.001 
Game Development 3 
อ.ดร.เกียรติกร
58 คน
C308,C309,307
เด็กตกแผนเพิ่มมา 13 คน </v>
      </c>
      <c r="M13" s="335"/>
      <c r="N13" s="378" t="s">
        <v>197</v>
      </c>
      <c r="O13" s="334"/>
      <c r="P13" s="334"/>
      <c r="Q13" s="334"/>
      <c r="R13" s="334"/>
      <c r="S13" s="334"/>
      <c r="T13" s="334"/>
      <c r="U13" s="335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1.25" customHeight="1">
      <c r="A14" s="343"/>
      <c r="B14" s="37"/>
      <c r="C14" s="29"/>
      <c r="D14" s="24"/>
      <c r="E14" s="336"/>
      <c r="F14" s="337"/>
      <c r="G14" s="337"/>
      <c r="H14" s="337"/>
      <c r="I14" s="337"/>
      <c r="J14" s="337"/>
      <c r="K14" s="224"/>
      <c r="L14" s="336"/>
      <c r="M14" s="338"/>
      <c r="N14" s="336"/>
      <c r="O14" s="337"/>
      <c r="P14" s="337"/>
      <c r="Q14" s="337"/>
      <c r="R14" s="337"/>
      <c r="S14" s="337"/>
      <c r="T14" s="337"/>
      <c r="U14" s="338"/>
      <c r="V14" s="23"/>
      <c r="W14" s="3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3.25" customHeight="1">
      <c r="A15" s="343"/>
      <c r="B15" s="438" t="s">
        <v>198</v>
      </c>
      <c r="C15" s="334"/>
      <c r="D15" s="438" t="s">
        <v>199</v>
      </c>
      <c r="E15" s="334"/>
      <c r="F15" s="334"/>
      <c r="G15" s="334"/>
      <c r="H15" s="334"/>
      <c r="I15" s="334"/>
      <c r="J15" s="334"/>
      <c r="K15" s="362"/>
      <c r="P15" s="446"/>
      <c r="Q15" s="334"/>
      <c r="R15" s="335"/>
      <c r="S15" s="159"/>
      <c r="T15" s="50"/>
      <c r="U15" s="26"/>
      <c r="V15" s="26"/>
      <c r="W15" s="161"/>
      <c r="X15" s="98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8.75" customHeight="1">
      <c r="A16" s="332"/>
      <c r="B16" s="336"/>
      <c r="C16" s="337"/>
      <c r="D16" s="336"/>
      <c r="E16" s="337"/>
      <c r="F16" s="337"/>
      <c r="G16" s="337"/>
      <c r="H16" s="337"/>
      <c r="I16" s="337"/>
      <c r="J16" s="337"/>
      <c r="K16" s="365"/>
      <c r="L16" s="24"/>
      <c r="M16" s="24"/>
      <c r="N16" s="24"/>
      <c r="O16" s="24"/>
      <c r="P16" s="337"/>
      <c r="Q16" s="337"/>
      <c r="R16" s="338"/>
      <c r="S16" s="159"/>
      <c r="T16" s="50"/>
      <c r="U16" s="26"/>
      <c r="V16" s="26"/>
      <c r="W16" s="161"/>
      <c r="X16" s="98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445" t="s">
        <v>18</v>
      </c>
      <c r="B17" s="35"/>
      <c r="C17" s="21"/>
      <c r="E17" s="421" t="s">
        <v>200</v>
      </c>
      <c r="F17" s="334"/>
      <c r="G17" s="334"/>
      <c r="H17" s="334"/>
      <c r="I17" s="334"/>
      <c r="J17" s="362"/>
      <c r="K17" s="11"/>
      <c r="L17" s="421" t="s">
        <v>201</v>
      </c>
      <c r="M17" s="334"/>
      <c r="N17" s="334"/>
      <c r="O17" s="334"/>
      <c r="P17" s="334"/>
      <c r="Q17" s="362"/>
      <c r="R17" s="21"/>
      <c r="S17" s="21"/>
      <c r="T17" s="13"/>
      <c r="U17" s="32"/>
      <c r="V17" s="32"/>
      <c r="W17" s="33"/>
      <c r="X17" s="98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28.5" customHeight="1">
      <c r="A18" s="346"/>
      <c r="B18" s="37"/>
      <c r="C18" s="29"/>
      <c r="E18" s="336"/>
      <c r="F18" s="337"/>
      <c r="G18" s="337"/>
      <c r="H18" s="337"/>
      <c r="I18" s="337"/>
      <c r="J18" s="365"/>
      <c r="K18" s="16"/>
      <c r="L18" s="336"/>
      <c r="M18" s="337"/>
      <c r="N18" s="337"/>
      <c r="O18" s="337"/>
      <c r="P18" s="337"/>
      <c r="Q18" s="365"/>
      <c r="R18" s="29"/>
      <c r="S18" s="29"/>
      <c r="T18" s="17"/>
      <c r="U18" s="23"/>
      <c r="V18" s="23"/>
      <c r="W18" s="34"/>
      <c r="X18" s="98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38" t="s">
        <v>19</v>
      </c>
      <c r="B19" s="39"/>
      <c r="C19" s="40"/>
      <c r="D19" s="40"/>
      <c r="E19" s="40"/>
      <c r="F19" s="40"/>
      <c r="G19" s="40"/>
      <c r="H19" s="40"/>
      <c r="I19" s="40"/>
      <c r="J19" s="40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0"/>
      <c r="W19" s="4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38" t="s">
        <v>20</v>
      </c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39" t="s">
        <v>21</v>
      </c>
      <c r="T23" s="340"/>
      <c r="U23" s="341"/>
      <c r="V23" s="339" t="s">
        <v>22</v>
      </c>
      <c r="W23" s="341"/>
      <c r="X23" s="339" t="s">
        <v>23</v>
      </c>
      <c r="Y23" s="341"/>
      <c r="Z23" s="331" t="s">
        <v>24</v>
      </c>
      <c r="AA23" s="331" t="s">
        <v>25</v>
      </c>
      <c r="AB23" s="331" t="s">
        <v>26</v>
      </c>
      <c r="AC23" s="331" t="s">
        <v>27</v>
      </c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.75" customHeight="1">
      <c r="A24" s="44" t="s">
        <v>28</v>
      </c>
      <c r="D24" s="162" t="s">
        <v>136</v>
      </c>
      <c r="E24" s="394" t="s">
        <v>31</v>
      </c>
      <c r="F24" s="352"/>
      <c r="G24" s="352"/>
      <c r="H24" s="352"/>
      <c r="I24" s="352"/>
      <c r="J24" s="100"/>
      <c r="K24" s="100"/>
      <c r="L24" s="101" t="s">
        <v>97</v>
      </c>
      <c r="M24" s="101" t="s">
        <v>98</v>
      </c>
      <c r="N24" s="163" t="s">
        <v>137</v>
      </c>
      <c r="O24" s="102" t="s">
        <v>35</v>
      </c>
      <c r="P24" s="102"/>
      <c r="R24" s="55"/>
      <c r="S24" s="48" t="s">
        <v>36</v>
      </c>
      <c r="T24" s="48" t="s">
        <v>37</v>
      </c>
      <c r="U24" s="48" t="s">
        <v>38</v>
      </c>
      <c r="V24" s="48" t="s">
        <v>39</v>
      </c>
      <c r="W24" s="48" t="s">
        <v>40</v>
      </c>
      <c r="X24" s="48" t="s">
        <v>41</v>
      </c>
      <c r="Y24" s="48" t="s">
        <v>42</v>
      </c>
      <c r="Z24" s="332"/>
      <c r="AA24" s="332"/>
      <c r="AB24" s="332"/>
      <c r="AC24" s="332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9.5" customHeight="1">
      <c r="A25" s="50" t="s">
        <v>43</v>
      </c>
      <c r="B25" s="164">
        <v>1</v>
      </c>
      <c r="C25" s="165">
        <v>958321</v>
      </c>
      <c r="D25" s="426" t="s">
        <v>138</v>
      </c>
      <c r="E25" s="352"/>
      <c r="F25" s="352"/>
      <c r="G25" s="352"/>
      <c r="H25" s="352"/>
      <c r="I25" s="352"/>
      <c r="J25" s="166">
        <v>3</v>
      </c>
      <c r="K25" s="167" t="s">
        <v>139</v>
      </c>
      <c r="L25" s="146" t="s">
        <v>140</v>
      </c>
      <c r="M25" s="168" t="s">
        <v>202</v>
      </c>
      <c r="N25" s="113">
        <v>58</v>
      </c>
      <c r="O25" s="169" t="s">
        <v>203</v>
      </c>
      <c r="P25" s="170"/>
      <c r="S25" s="116"/>
      <c r="T25" s="116"/>
      <c r="U25" s="116"/>
      <c r="V25" s="116"/>
      <c r="W25" s="116"/>
      <c r="X25" s="117"/>
      <c r="Y25" s="116"/>
      <c r="Z25" s="116"/>
      <c r="AA25" s="118"/>
      <c r="AB25" s="118"/>
      <c r="AC25" s="119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0" t="s">
        <v>43</v>
      </c>
      <c r="B26" s="171">
        <v>2</v>
      </c>
      <c r="C26" s="172">
        <v>958325</v>
      </c>
      <c r="D26" s="427" t="s">
        <v>142</v>
      </c>
      <c r="E26" s="352"/>
      <c r="F26" s="352"/>
      <c r="G26" s="352"/>
      <c r="H26" s="352"/>
      <c r="I26" s="352"/>
      <c r="J26" s="173">
        <v>3</v>
      </c>
      <c r="K26" s="174" t="s">
        <v>139</v>
      </c>
      <c r="L26" s="126" t="s">
        <v>104</v>
      </c>
      <c r="M26" s="168" t="s">
        <v>204</v>
      </c>
      <c r="N26" s="113">
        <f>47+13</f>
        <v>60</v>
      </c>
      <c r="O26" s="169" t="s">
        <v>149</v>
      </c>
      <c r="P26" s="170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23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31.5">
      <c r="A27" s="50" t="s">
        <v>43</v>
      </c>
      <c r="B27" s="175">
        <v>3</v>
      </c>
      <c r="C27" s="176">
        <v>958331</v>
      </c>
      <c r="D27" s="428" t="s">
        <v>145</v>
      </c>
      <c r="E27" s="352"/>
      <c r="F27" s="352"/>
      <c r="G27" s="352"/>
      <c r="H27" s="352"/>
      <c r="I27" s="352"/>
      <c r="J27" s="177">
        <v>3</v>
      </c>
      <c r="K27" s="178" t="s">
        <v>139</v>
      </c>
      <c r="L27" s="126" t="s">
        <v>146</v>
      </c>
      <c r="M27" s="168" t="s">
        <v>147</v>
      </c>
      <c r="N27" s="113" t="s">
        <v>148</v>
      </c>
      <c r="O27" s="169" t="s">
        <v>149</v>
      </c>
      <c r="P27" s="170"/>
      <c r="S27" s="179"/>
      <c r="T27" s="179" t="s">
        <v>150</v>
      </c>
      <c r="U27" s="179"/>
      <c r="V27" s="179"/>
      <c r="W27" s="179"/>
      <c r="X27" s="179"/>
      <c r="Y27" s="179"/>
      <c r="Z27" s="179"/>
      <c r="AA27" s="179"/>
      <c r="AB27" s="179"/>
      <c r="AC27" s="138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B28" s="429" t="s">
        <v>113</v>
      </c>
      <c r="C28" s="352"/>
      <c r="D28" s="180" t="s">
        <v>112</v>
      </c>
      <c r="E28" s="430"/>
      <c r="F28" s="352"/>
      <c r="G28" s="352"/>
      <c r="H28" s="352"/>
      <c r="I28" s="352"/>
      <c r="J28" s="181">
        <v>6</v>
      </c>
      <c r="K28" s="182"/>
      <c r="L28" s="146"/>
      <c r="M28" s="168"/>
      <c r="N28" s="113"/>
      <c r="O28" s="183"/>
      <c r="P28" s="170"/>
      <c r="R28" s="150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33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0" t="s">
        <v>43</v>
      </c>
      <c r="B29" s="184" t="s">
        <v>15</v>
      </c>
      <c r="C29" s="185">
        <v>958341</v>
      </c>
      <c r="D29" s="436" t="s">
        <v>151</v>
      </c>
      <c r="E29" s="352"/>
      <c r="F29" s="352"/>
      <c r="G29" s="352"/>
      <c r="H29" s="352"/>
      <c r="I29" s="352"/>
      <c r="J29" s="186">
        <v>3</v>
      </c>
      <c r="K29" s="187" t="s">
        <v>139</v>
      </c>
      <c r="L29" s="146" t="s">
        <v>140</v>
      </c>
      <c r="M29" s="168" t="s">
        <v>152</v>
      </c>
      <c r="N29" s="113">
        <v>30</v>
      </c>
      <c r="O29" s="183" t="s">
        <v>153</v>
      </c>
      <c r="P29" s="170"/>
      <c r="R29" s="150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33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0" t="s">
        <v>43</v>
      </c>
      <c r="B30" s="184">
        <v>4</v>
      </c>
      <c r="C30" s="188">
        <v>958481</v>
      </c>
      <c r="D30" s="431" t="s">
        <v>15</v>
      </c>
      <c r="E30" s="352"/>
      <c r="F30" s="352"/>
      <c r="G30" s="352"/>
      <c r="H30" s="352"/>
      <c r="I30" s="352"/>
      <c r="J30" s="189">
        <v>3</v>
      </c>
      <c r="K30" s="190" t="s">
        <v>154</v>
      </c>
      <c r="L30" s="146" t="s">
        <v>140</v>
      </c>
      <c r="M30" s="168" t="s">
        <v>152</v>
      </c>
      <c r="N30" s="113">
        <v>30</v>
      </c>
      <c r="O30" s="183" t="s">
        <v>155</v>
      </c>
      <c r="P30" s="170"/>
      <c r="R30" s="150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33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0" t="s">
        <v>43</v>
      </c>
      <c r="B31" s="191">
        <v>5</v>
      </c>
      <c r="C31" s="192">
        <v>958441</v>
      </c>
      <c r="D31" s="432" t="s">
        <v>156</v>
      </c>
      <c r="E31" s="352"/>
      <c r="F31" s="352"/>
      <c r="G31" s="352"/>
      <c r="H31" s="352"/>
      <c r="I31" s="352"/>
      <c r="J31" s="193">
        <v>3</v>
      </c>
      <c r="K31" s="194" t="s">
        <v>139</v>
      </c>
      <c r="L31" s="146" t="s">
        <v>115</v>
      </c>
      <c r="M31" s="168" t="s">
        <v>205</v>
      </c>
      <c r="N31" s="113">
        <v>30</v>
      </c>
      <c r="O31" s="183"/>
      <c r="P31" s="170"/>
      <c r="R31" s="150"/>
      <c r="S31" s="195"/>
      <c r="T31" s="195" t="s">
        <v>158</v>
      </c>
      <c r="U31" s="195"/>
      <c r="V31" s="195"/>
      <c r="W31" s="195"/>
      <c r="X31" s="195"/>
      <c r="Y31" s="195"/>
      <c r="Z31" s="195"/>
      <c r="AA31" s="195"/>
      <c r="AB31" s="195"/>
      <c r="AC31" s="196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0" t="s">
        <v>159</v>
      </c>
      <c r="B32" s="197">
        <v>6</v>
      </c>
      <c r="C32" s="198">
        <v>958481</v>
      </c>
      <c r="D32" s="433" t="s">
        <v>160</v>
      </c>
      <c r="E32" s="352"/>
      <c r="F32" s="352"/>
      <c r="G32" s="352"/>
      <c r="H32" s="352"/>
      <c r="I32" s="352"/>
      <c r="J32" s="199">
        <v>3</v>
      </c>
      <c r="K32" s="200" t="s">
        <v>139</v>
      </c>
      <c r="L32" s="146" t="s">
        <v>116</v>
      </c>
      <c r="M32" s="201" t="s">
        <v>161</v>
      </c>
      <c r="N32" s="113">
        <v>25</v>
      </c>
      <c r="O32" s="183"/>
      <c r="P32" s="170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33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0" t="s">
        <v>43</v>
      </c>
      <c r="B33" s="202">
        <v>7</v>
      </c>
      <c r="C33" s="203">
        <v>958481</v>
      </c>
      <c r="D33" s="434" t="s">
        <v>162</v>
      </c>
      <c r="E33" s="352"/>
      <c r="F33" s="352"/>
      <c r="G33" s="352"/>
      <c r="H33" s="352"/>
      <c r="I33" s="352"/>
      <c r="J33" s="204">
        <v>3</v>
      </c>
      <c r="K33" s="205" t="s">
        <v>163</v>
      </c>
      <c r="L33" s="206" t="s">
        <v>111</v>
      </c>
      <c r="M33" s="201" t="s">
        <v>164</v>
      </c>
      <c r="N33" s="113">
        <v>59</v>
      </c>
      <c r="O33" s="183"/>
      <c r="P33" s="170"/>
      <c r="S33" s="207"/>
      <c r="T33" s="207"/>
      <c r="U33" s="207"/>
      <c r="V33" s="207"/>
      <c r="W33" s="207"/>
      <c r="X33" s="207" t="s">
        <v>165</v>
      </c>
      <c r="Y33" s="207"/>
      <c r="Z33" s="207"/>
      <c r="AA33" s="207"/>
      <c r="AB33" s="207"/>
      <c r="AC33" s="208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0" t="s">
        <v>43</v>
      </c>
      <c r="B34" s="209">
        <v>8</v>
      </c>
      <c r="C34" s="210">
        <v>951212</v>
      </c>
      <c r="D34" s="435" t="s">
        <v>166</v>
      </c>
      <c r="E34" s="352"/>
      <c r="F34" s="352"/>
      <c r="G34" s="352"/>
      <c r="H34" s="352"/>
      <c r="I34" s="352"/>
      <c r="J34" s="211">
        <v>3</v>
      </c>
      <c r="K34" s="212" t="s">
        <v>139</v>
      </c>
      <c r="L34" s="146" t="s">
        <v>206</v>
      </c>
      <c r="M34" s="168" t="s">
        <v>207</v>
      </c>
      <c r="N34" s="113">
        <v>25</v>
      </c>
      <c r="O34" s="183"/>
      <c r="P34" s="170"/>
      <c r="S34" s="215"/>
      <c r="T34" s="115"/>
      <c r="U34" s="115"/>
      <c r="V34" s="115"/>
      <c r="W34" s="115"/>
      <c r="X34" s="115"/>
      <c r="Y34" s="115"/>
      <c r="Z34" s="115"/>
      <c r="AA34" s="115"/>
      <c r="AB34" s="115"/>
      <c r="AC34" s="133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50"/>
      <c r="B35" s="50"/>
      <c r="C35" s="75" t="s">
        <v>54</v>
      </c>
      <c r="E35" s="77"/>
      <c r="F35" s="77"/>
      <c r="G35" s="77"/>
      <c r="H35" s="77"/>
      <c r="I35" s="77"/>
      <c r="J35" s="77">
        <f>SUM(J25:J28)</f>
        <v>15</v>
      </c>
      <c r="L35" s="155"/>
      <c r="M35" s="55"/>
      <c r="N35" s="55"/>
      <c r="O35" s="55"/>
      <c r="P35" s="55"/>
      <c r="Q35" s="55"/>
      <c r="R35" s="55"/>
      <c r="S35" s="55"/>
      <c r="T35" s="47"/>
      <c r="U35" s="47"/>
      <c r="V35" s="47"/>
      <c r="W35" s="47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5.75" customHeight="1">
      <c r="A36" s="50"/>
      <c r="B36" s="50"/>
      <c r="C36" s="392" t="s">
        <v>119</v>
      </c>
      <c r="D36" s="352"/>
      <c r="E36" s="352"/>
      <c r="F36" s="352"/>
      <c r="G36" s="352"/>
      <c r="H36" s="142"/>
      <c r="I36" s="142"/>
      <c r="J36" s="50"/>
      <c r="K36" s="50"/>
      <c r="L36" s="47"/>
      <c r="M36" s="47"/>
      <c r="N36" s="47"/>
      <c r="O36" s="47"/>
      <c r="P36" s="47"/>
      <c r="Q36" s="55"/>
      <c r="R36" s="55"/>
      <c r="S36" s="55"/>
      <c r="T36" s="47"/>
      <c r="U36" s="47"/>
      <c r="V36" s="47"/>
      <c r="W36" s="47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50"/>
      <c r="B37" s="10"/>
      <c r="C37" s="156"/>
      <c r="D37" s="156"/>
      <c r="E37" s="156"/>
      <c r="F37" s="156"/>
      <c r="G37" s="156"/>
      <c r="H37" s="156"/>
      <c r="I37" s="156"/>
      <c r="J37" s="10"/>
      <c r="K37" s="10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10"/>
      <c r="B38" s="10"/>
      <c r="C38" s="156"/>
      <c r="D38" s="156"/>
      <c r="E38" s="156"/>
      <c r="F38" s="156"/>
      <c r="G38" s="156"/>
      <c r="H38" s="156"/>
      <c r="I38" s="156"/>
      <c r="J38" s="10"/>
      <c r="K38" s="10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5"/>
      <c r="B39" s="5"/>
      <c r="C39" s="79"/>
      <c r="D39" s="79"/>
      <c r="E39" s="79"/>
      <c r="F39" s="79"/>
      <c r="G39" s="79"/>
      <c r="H39" s="79"/>
      <c r="I39" s="5"/>
      <c r="J39" s="10"/>
      <c r="K39" s="10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10"/>
      <c r="B40" s="5"/>
      <c r="C40" s="5"/>
      <c r="D40" s="5"/>
      <c r="E40" s="5"/>
      <c r="F40" s="5"/>
      <c r="G40" s="5"/>
      <c r="H40" s="5"/>
      <c r="I40" s="5"/>
      <c r="J40" s="10"/>
      <c r="K40" s="10"/>
      <c r="L40" s="10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0"/>
      <c r="K41" s="10"/>
      <c r="L41" s="10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0"/>
      <c r="K42" s="10"/>
      <c r="L42" s="10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57"/>
      <c r="B43" s="157"/>
      <c r="C43" s="157" t="s">
        <v>170</v>
      </c>
      <c r="D43" s="216" t="str">
        <f>C25 &amp; " " &amp; D25</f>
        <v>958321 Game Development 3</v>
      </c>
      <c r="E43" s="157"/>
      <c r="F43" s="157"/>
      <c r="G43" s="157"/>
      <c r="H43" s="157"/>
      <c r="I43" s="157"/>
      <c r="J43" s="10"/>
      <c r="K43" s="10"/>
      <c r="L43" s="10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8">
    <mergeCell ref="V23:W23"/>
    <mergeCell ref="D15:K16"/>
    <mergeCell ref="P15:R16"/>
    <mergeCell ref="A11:A12"/>
    <mergeCell ref="L11:Q12"/>
    <mergeCell ref="A13:A16"/>
    <mergeCell ref="E13:J14"/>
    <mergeCell ref="L13:M14"/>
    <mergeCell ref="N13:U14"/>
    <mergeCell ref="B15:C16"/>
    <mergeCell ref="X4:Y4"/>
    <mergeCell ref="D33:I33"/>
    <mergeCell ref="D34:I34"/>
    <mergeCell ref="C36:G36"/>
    <mergeCell ref="E24:I24"/>
    <mergeCell ref="D25:I25"/>
    <mergeCell ref="D26:I26"/>
    <mergeCell ref="D27:I27"/>
    <mergeCell ref="B28:C28"/>
    <mergeCell ref="E28:I28"/>
    <mergeCell ref="D29:I29"/>
    <mergeCell ref="X23:Y23"/>
    <mergeCell ref="D30:I30"/>
    <mergeCell ref="D31:I31"/>
    <mergeCell ref="D32:I32"/>
    <mergeCell ref="E17:J18"/>
    <mergeCell ref="J4:K4"/>
    <mergeCell ref="L4:M4"/>
    <mergeCell ref="Z4:AA4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AA23:AA24"/>
    <mergeCell ref="AB23:AB24"/>
    <mergeCell ref="AC23:AC24"/>
    <mergeCell ref="A5:A6"/>
    <mergeCell ref="E5:J6"/>
    <mergeCell ref="L5:Q6"/>
    <mergeCell ref="A7:A10"/>
    <mergeCell ref="E7:J8"/>
    <mergeCell ref="L7:M8"/>
    <mergeCell ref="N7:U8"/>
    <mergeCell ref="E9:J10"/>
    <mergeCell ref="L9:Q10"/>
    <mergeCell ref="Z23:Z24"/>
    <mergeCell ref="A17:A18"/>
    <mergeCell ref="L17:Q18"/>
    <mergeCell ref="S23:U23"/>
  </mergeCells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490E-AD42-3347-9C43-DDA384D3B900}">
  <dimension ref="A1:W23"/>
  <sheetViews>
    <sheetView tabSelected="1" workbookViewId="0">
      <pane xSplit="1" ySplit="2" topLeftCell="B6" activePane="bottomRight" state="frozen"/>
      <selection pane="topRight" activeCell="B1" sqref="B1"/>
      <selection pane="bottomLeft" activeCell="A5" sqref="A5"/>
      <selection pane="bottomRight" activeCell="M7" sqref="M7:R7"/>
    </sheetView>
  </sheetViews>
  <sheetFormatPr defaultColWidth="11.42578125" defaultRowHeight="12.75"/>
  <sheetData>
    <row r="1" spans="1:23" ht="18.75" thickBot="1">
      <c r="A1" s="391" t="s">
        <v>485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</row>
    <row r="2" spans="1:23" ht="13.5" thickBot="1">
      <c r="A2" s="313" t="s">
        <v>486</v>
      </c>
      <c r="B2" s="314" t="s">
        <v>487</v>
      </c>
      <c r="C2" s="324">
        <v>0.33333333333333331</v>
      </c>
      <c r="D2" s="324">
        <v>0.35416666666666663</v>
      </c>
      <c r="E2" s="324">
        <v>0.375</v>
      </c>
      <c r="F2" s="324">
        <v>0.39583333333333331</v>
      </c>
      <c r="G2" s="324">
        <v>0.41666666666666663</v>
      </c>
      <c r="H2" s="324">
        <v>0.4375</v>
      </c>
      <c r="I2" s="324">
        <v>0.45833333333333331</v>
      </c>
      <c r="J2" s="324">
        <v>0.47916666666666663</v>
      </c>
      <c r="K2" s="324">
        <v>0.5</v>
      </c>
      <c r="L2" s="324">
        <v>0.52083333333333326</v>
      </c>
      <c r="M2" s="324">
        <v>0.54166666666666663</v>
      </c>
      <c r="N2" s="324">
        <v>0.5625</v>
      </c>
      <c r="O2" s="324">
        <v>0.58333333333333326</v>
      </c>
      <c r="P2" s="324">
        <v>0.60416666666666663</v>
      </c>
      <c r="Q2" s="324">
        <v>0.625</v>
      </c>
      <c r="R2" s="324">
        <v>0.64583333333333326</v>
      </c>
      <c r="S2" s="324">
        <v>0.66666666666666663</v>
      </c>
      <c r="T2" s="324">
        <v>0.6875</v>
      </c>
      <c r="U2" s="324">
        <v>0.70833333333333326</v>
      </c>
      <c r="V2" s="324">
        <v>0.72916666666666663</v>
      </c>
      <c r="W2" s="324">
        <v>0.75</v>
      </c>
    </row>
    <row r="3" spans="1:23" ht="45" customHeight="1">
      <c r="A3" s="387" t="s">
        <v>488</v>
      </c>
      <c r="B3" s="327" t="s">
        <v>489</v>
      </c>
      <c r="C3" s="497"/>
      <c r="D3" s="486"/>
      <c r="E3" s="487"/>
      <c r="F3" s="488" t="s">
        <v>490</v>
      </c>
      <c r="G3" s="489"/>
      <c r="H3" s="490"/>
      <c r="I3" s="488" t="s">
        <v>491</v>
      </c>
      <c r="J3" s="489"/>
      <c r="K3" s="490"/>
      <c r="L3" s="486"/>
      <c r="M3" s="492"/>
      <c r="N3" s="493"/>
      <c r="O3" s="492"/>
      <c r="P3" s="494"/>
      <c r="Q3" s="493"/>
      <c r="R3" s="495"/>
      <c r="S3" s="495"/>
      <c r="T3" s="495"/>
      <c r="U3" s="495"/>
      <c r="V3" s="498"/>
      <c r="W3" s="482"/>
    </row>
    <row r="4" spans="1:23" ht="45" customHeight="1">
      <c r="A4" s="388"/>
      <c r="B4" s="315" t="s">
        <v>492</v>
      </c>
      <c r="C4" s="499"/>
      <c r="D4" s="323"/>
      <c r="E4" s="496"/>
      <c r="F4" s="381" t="s">
        <v>529</v>
      </c>
      <c r="G4" s="382"/>
      <c r="H4" s="383"/>
      <c r="I4" s="381" t="s">
        <v>515</v>
      </c>
      <c r="J4" s="382"/>
      <c r="K4" s="383"/>
      <c r="L4" s="322"/>
      <c r="M4" s="322"/>
      <c r="N4" s="322"/>
      <c r="O4" s="496"/>
      <c r="P4" s="381" t="s">
        <v>531</v>
      </c>
      <c r="Q4" s="382"/>
      <c r="R4" s="382"/>
      <c r="S4" s="330"/>
      <c r="T4" s="329"/>
      <c r="U4" s="322"/>
      <c r="V4" s="500"/>
      <c r="W4" s="482"/>
    </row>
    <row r="5" spans="1:23" ht="45" customHeight="1">
      <c r="A5" s="388"/>
      <c r="B5" s="316" t="s">
        <v>493</v>
      </c>
      <c r="C5" s="501"/>
      <c r="D5" s="322"/>
      <c r="E5" s="322"/>
      <c r="F5" s="322"/>
      <c r="G5" s="322"/>
      <c r="H5" s="322"/>
      <c r="I5" s="322"/>
      <c r="J5" s="322"/>
      <c r="K5" s="322"/>
      <c r="L5" s="322"/>
      <c r="M5" s="381" t="s">
        <v>532</v>
      </c>
      <c r="N5" s="382"/>
      <c r="O5" s="382"/>
      <c r="P5" s="382"/>
      <c r="Q5" s="382"/>
      <c r="R5" s="383"/>
      <c r="S5" s="323"/>
      <c r="T5" s="322"/>
      <c r="U5" s="322"/>
      <c r="V5" s="500"/>
      <c r="W5" s="482"/>
    </row>
    <row r="6" spans="1:23" ht="45" customHeight="1" thickBot="1">
      <c r="A6" s="389"/>
      <c r="B6" s="317" t="s">
        <v>494</v>
      </c>
      <c r="C6" s="503" t="s">
        <v>503</v>
      </c>
      <c r="D6" s="491"/>
      <c r="E6" s="491"/>
      <c r="F6" s="522"/>
      <c r="G6" s="522"/>
      <c r="H6" s="522"/>
      <c r="I6" s="522"/>
      <c r="J6" s="522"/>
      <c r="K6" s="522"/>
      <c r="L6" s="491"/>
      <c r="M6" s="522"/>
      <c r="N6" s="522"/>
      <c r="O6" s="522"/>
      <c r="P6" s="522"/>
      <c r="Q6" s="522"/>
      <c r="R6" s="522"/>
      <c r="S6" s="522"/>
      <c r="T6" s="522"/>
      <c r="U6" s="522"/>
      <c r="V6" s="523"/>
      <c r="W6" s="482"/>
    </row>
    <row r="7" spans="1:23" ht="45" customHeight="1">
      <c r="A7" s="387" t="s">
        <v>495</v>
      </c>
      <c r="B7" s="318" t="s">
        <v>489</v>
      </c>
      <c r="C7" s="497"/>
      <c r="D7" s="486"/>
      <c r="E7" s="487"/>
      <c r="F7" s="514" t="s">
        <v>496</v>
      </c>
      <c r="G7" s="515"/>
      <c r="H7" s="490"/>
      <c r="I7" s="488" t="s">
        <v>497</v>
      </c>
      <c r="J7" s="489"/>
      <c r="K7" s="490"/>
      <c r="L7" s="486"/>
      <c r="M7" s="488" t="s">
        <v>535</v>
      </c>
      <c r="N7" s="489"/>
      <c r="O7" s="489"/>
      <c r="P7" s="489"/>
      <c r="Q7" s="489"/>
      <c r="R7" s="490"/>
      <c r="S7" s="486"/>
      <c r="T7" s="486"/>
      <c r="U7" s="486"/>
      <c r="V7" s="506"/>
      <c r="W7" s="482"/>
    </row>
    <row r="8" spans="1:23" ht="45" customHeight="1" thickBot="1">
      <c r="A8" s="388"/>
      <c r="B8" s="315" t="s">
        <v>492</v>
      </c>
      <c r="C8" s="501"/>
      <c r="D8" s="325"/>
      <c r="E8" s="516"/>
      <c r="F8" s="527"/>
      <c r="G8" s="527"/>
      <c r="H8" s="528"/>
      <c r="I8" s="519" t="s">
        <v>533</v>
      </c>
      <c r="J8" s="505"/>
      <c r="K8" s="520"/>
      <c r="L8" s="323"/>
      <c r="M8" s="519" t="s">
        <v>534</v>
      </c>
      <c r="N8" s="505"/>
      <c r="O8" s="505"/>
      <c r="P8" s="505"/>
      <c r="Q8" s="505"/>
      <c r="R8" s="520"/>
      <c r="S8" s="521"/>
      <c r="T8" s="483"/>
      <c r="U8" s="483"/>
      <c r="V8" s="507"/>
      <c r="W8" s="482"/>
    </row>
    <row r="9" spans="1:23" ht="45" customHeight="1" thickBot="1">
      <c r="A9" s="388"/>
      <c r="B9" s="316" t="s">
        <v>493</v>
      </c>
      <c r="C9" s="502" t="s">
        <v>522</v>
      </c>
      <c r="D9" s="382"/>
      <c r="E9" s="485"/>
      <c r="F9" s="529" t="s">
        <v>516</v>
      </c>
      <c r="G9" s="530"/>
      <c r="H9" s="530"/>
      <c r="I9" s="530"/>
      <c r="J9" s="530"/>
      <c r="K9" s="531"/>
      <c r="L9" s="330"/>
      <c r="M9" s="524" t="s">
        <v>518</v>
      </c>
      <c r="N9" s="525"/>
      <c r="O9" s="525" t="s">
        <v>530</v>
      </c>
      <c r="P9" s="525"/>
      <c r="Q9" s="525"/>
      <c r="R9" s="525"/>
      <c r="S9" s="525"/>
      <c r="T9" s="525"/>
      <c r="U9" s="525"/>
      <c r="V9" s="526"/>
      <c r="W9" s="482"/>
    </row>
    <row r="10" spans="1:23" ht="45" customHeight="1" thickBot="1">
      <c r="A10" s="389"/>
      <c r="B10" s="317" t="s">
        <v>494</v>
      </c>
      <c r="C10" s="503" t="s">
        <v>503</v>
      </c>
      <c r="D10" s="491"/>
      <c r="E10" s="491"/>
      <c r="F10" s="522"/>
      <c r="G10" s="522"/>
      <c r="H10" s="522"/>
      <c r="I10" s="522"/>
      <c r="J10" s="522"/>
      <c r="K10" s="522"/>
      <c r="L10" s="491"/>
      <c r="M10" s="522"/>
      <c r="N10" s="522"/>
      <c r="O10" s="522"/>
      <c r="P10" s="522"/>
      <c r="Q10" s="522"/>
      <c r="R10" s="522"/>
      <c r="S10" s="522"/>
      <c r="T10" s="522"/>
      <c r="U10" s="522"/>
      <c r="V10" s="523"/>
      <c r="W10" s="482"/>
    </row>
    <row r="11" spans="1:23" ht="45" customHeight="1">
      <c r="A11" s="387" t="s">
        <v>498</v>
      </c>
      <c r="B11" s="318" t="s">
        <v>489</v>
      </c>
      <c r="C11" s="497"/>
      <c r="D11" s="486"/>
      <c r="E11" s="486"/>
      <c r="F11" s="486"/>
      <c r="G11" s="486"/>
      <c r="H11" s="486"/>
      <c r="I11" s="486"/>
      <c r="J11" s="486"/>
      <c r="K11" s="486"/>
      <c r="L11" s="486"/>
      <c r="M11" s="510" t="s">
        <v>504</v>
      </c>
      <c r="N11" s="511"/>
      <c r="O11" s="510" t="s">
        <v>505</v>
      </c>
      <c r="P11" s="512"/>
      <c r="Q11" s="512"/>
      <c r="R11" s="512"/>
      <c r="S11" s="512"/>
      <c r="T11" s="512"/>
      <c r="U11" s="512"/>
      <c r="V11" s="513"/>
      <c r="W11" s="482"/>
    </row>
    <row r="12" spans="1:23" ht="45" customHeight="1" thickBot="1">
      <c r="A12" s="388"/>
      <c r="B12" s="315" t="s">
        <v>492</v>
      </c>
      <c r="C12" s="532"/>
      <c r="D12" s="483"/>
      <c r="E12" s="483"/>
      <c r="F12" s="483"/>
      <c r="G12" s="483"/>
      <c r="H12" s="483"/>
      <c r="I12" s="483"/>
      <c r="J12" s="483"/>
      <c r="K12" s="483"/>
      <c r="L12" s="483"/>
      <c r="M12" s="328"/>
      <c r="N12" s="329"/>
      <c r="O12" s="328"/>
      <c r="P12" s="330"/>
      <c r="Q12" s="329"/>
      <c r="R12" s="322"/>
      <c r="S12" s="322"/>
      <c r="T12" s="322"/>
      <c r="U12" s="322"/>
      <c r="V12" s="500"/>
      <c r="W12" s="482"/>
    </row>
    <row r="13" spans="1:23" ht="45" customHeight="1" thickBot="1">
      <c r="A13" s="388"/>
      <c r="B13" s="316" t="s">
        <v>493</v>
      </c>
      <c r="C13" s="534" t="s">
        <v>506</v>
      </c>
      <c r="D13" s="535"/>
      <c r="E13" s="530" t="s">
        <v>519</v>
      </c>
      <c r="F13" s="530"/>
      <c r="G13" s="530"/>
      <c r="H13" s="530"/>
      <c r="I13" s="530"/>
      <c r="J13" s="530"/>
      <c r="K13" s="530"/>
      <c r="L13" s="531"/>
      <c r="M13" s="326"/>
      <c r="N13" s="322"/>
      <c r="O13" s="322"/>
      <c r="P13" s="322"/>
      <c r="Q13" s="322"/>
      <c r="R13" s="322"/>
      <c r="S13" s="322"/>
      <c r="T13" s="322"/>
      <c r="U13" s="322"/>
      <c r="V13" s="500"/>
      <c r="W13" s="482"/>
    </row>
    <row r="14" spans="1:23" ht="45" customHeight="1" thickBot="1">
      <c r="A14" s="389"/>
      <c r="B14" s="317" t="s">
        <v>494</v>
      </c>
      <c r="C14" s="533" t="s">
        <v>503</v>
      </c>
      <c r="D14" s="522"/>
      <c r="E14" s="522"/>
      <c r="F14" s="522"/>
      <c r="G14" s="522"/>
      <c r="H14" s="522"/>
      <c r="I14" s="522"/>
      <c r="J14" s="522"/>
      <c r="K14" s="522"/>
      <c r="L14" s="522"/>
      <c r="M14" s="491"/>
      <c r="N14" s="491"/>
      <c r="O14" s="491"/>
      <c r="P14" s="491"/>
      <c r="Q14" s="491"/>
      <c r="R14" s="491"/>
      <c r="S14" s="491"/>
      <c r="T14" s="491"/>
      <c r="U14" s="491"/>
      <c r="V14" s="504"/>
      <c r="W14" s="482"/>
    </row>
    <row r="15" spans="1:23" ht="45" customHeight="1" thickBot="1">
      <c r="A15" s="387" t="s">
        <v>499</v>
      </c>
      <c r="B15" s="327" t="s">
        <v>489</v>
      </c>
      <c r="C15" s="497"/>
      <c r="D15" s="486"/>
      <c r="E15" s="487"/>
      <c r="F15" s="488" t="s">
        <v>490</v>
      </c>
      <c r="G15" s="489"/>
      <c r="H15" s="490"/>
      <c r="I15" s="488" t="s">
        <v>491</v>
      </c>
      <c r="J15" s="489"/>
      <c r="K15" s="490"/>
      <c r="L15" s="486"/>
      <c r="M15" s="536"/>
      <c r="N15" s="536"/>
      <c r="O15" s="536"/>
      <c r="P15" s="536"/>
      <c r="Q15" s="536"/>
      <c r="R15" s="536"/>
      <c r="S15" s="536"/>
      <c r="T15" s="536"/>
      <c r="U15" s="536"/>
      <c r="V15" s="537"/>
      <c r="W15" s="482"/>
    </row>
    <row r="16" spans="1:23" ht="45" customHeight="1">
      <c r="A16" s="388"/>
      <c r="B16" s="315" t="s">
        <v>492</v>
      </c>
      <c r="C16" s="499"/>
      <c r="D16" s="323"/>
      <c r="F16" s="381" t="s">
        <v>501</v>
      </c>
      <c r="G16" s="382"/>
      <c r="H16" s="383"/>
      <c r="I16" s="381" t="s">
        <v>502</v>
      </c>
      <c r="J16" s="382"/>
      <c r="K16" s="383"/>
      <c r="L16" s="325"/>
      <c r="M16" s="538" t="s">
        <v>507</v>
      </c>
      <c r="N16" s="539"/>
      <c r="O16" s="540" t="s">
        <v>508</v>
      </c>
      <c r="P16" s="541"/>
      <c r="Q16" s="541"/>
      <c r="R16" s="541"/>
      <c r="S16" s="541"/>
      <c r="T16" s="541"/>
      <c r="U16" s="541"/>
      <c r="V16" s="542"/>
      <c r="W16" s="482"/>
    </row>
    <row r="17" spans="1:23" ht="45" customHeight="1" thickBot="1">
      <c r="A17" s="388"/>
      <c r="B17" s="316" t="s">
        <v>493</v>
      </c>
      <c r="C17" s="502"/>
      <c r="D17" s="382"/>
      <c r="E17" s="383"/>
      <c r="F17" s="322"/>
      <c r="G17" s="322"/>
      <c r="H17" s="322"/>
      <c r="I17" s="322"/>
      <c r="J17" s="322"/>
      <c r="K17" s="322"/>
      <c r="L17" s="325"/>
      <c r="M17" s="543" t="s">
        <v>520</v>
      </c>
      <c r="N17" s="544"/>
      <c r="O17" s="544" t="s">
        <v>521</v>
      </c>
      <c r="P17" s="544"/>
      <c r="Q17" s="544"/>
      <c r="R17" s="544"/>
      <c r="S17" s="544"/>
      <c r="T17" s="544"/>
      <c r="U17" s="544"/>
      <c r="V17" s="545"/>
      <c r="W17" s="482"/>
    </row>
    <row r="18" spans="1:23" ht="45" customHeight="1" thickBot="1">
      <c r="A18" s="390"/>
      <c r="B18" s="319" t="s">
        <v>494</v>
      </c>
      <c r="C18" s="503" t="s">
        <v>503</v>
      </c>
      <c r="D18" s="491"/>
      <c r="E18" s="491"/>
      <c r="F18" s="491"/>
      <c r="G18" s="491"/>
      <c r="H18" s="491"/>
      <c r="I18" s="491"/>
      <c r="J18" s="491"/>
      <c r="K18" s="491"/>
      <c r="L18" s="491"/>
      <c r="M18" s="522"/>
      <c r="N18" s="522"/>
      <c r="O18" s="522"/>
      <c r="P18" s="522"/>
      <c r="Q18" s="522"/>
      <c r="R18" s="522"/>
      <c r="S18" s="522"/>
      <c r="T18" s="522"/>
      <c r="U18" s="522"/>
      <c r="V18" s="523"/>
      <c r="W18" s="482"/>
    </row>
    <row r="19" spans="1:23" ht="45" customHeight="1" thickBot="1">
      <c r="A19" s="384" t="s">
        <v>500</v>
      </c>
      <c r="B19" s="320" t="s">
        <v>489</v>
      </c>
      <c r="C19" s="497"/>
      <c r="D19" s="486"/>
      <c r="E19" s="487"/>
      <c r="F19" s="488" t="s">
        <v>496</v>
      </c>
      <c r="G19" s="489"/>
      <c r="H19" s="490"/>
      <c r="I19" s="488" t="s">
        <v>497</v>
      </c>
      <c r="J19" s="489"/>
      <c r="K19" s="490"/>
      <c r="L19" s="486"/>
      <c r="M19" s="514" t="s">
        <v>509</v>
      </c>
      <c r="N19" s="515"/>
      <c r="O19" s="515"/>
      <c r="P19" s="515"/>
      <c r="Q19" s="515"/>
      <c r="R19" s="546"/>
      <c r="S19" s="547"/>
      <c r="T19" s="547"/>
      <c r="U19" s="547"/>
      <c r="V19" s="548"/>
      <c r="W19" s="482"/>
    </row>
    <row r="20" spans="1:23" ht="45" customHeight="1" thickBot="1">
      <c r="A20" s="385"/>
      <c r="B20" s="315" t="s">
        <v>492</v>
      </c>
      <c r="C20" s="501"/>
      <c r="D20" s="322"/>
      <c r="E20" s="328"/>
      <c r="F20" s="555"/>
      <c r="G20" s="556"/>
      <c r="H20" s="483"/>
      <c r="I20" s="519" t="s">
        <v>510</v>
      </c>
      <c r="J20" s="505"/>
      <c r="K20" s="520"/>
      <c r="L20" s="328"/>
      <c r="M20" s="538" t="s">
        <v>511</v>
      </c>
      <c r="N20" s="541"/>
      <c r="O20" s="541"/>
      <c r="P20" s="541"/>
      <c r="Q20" s="541"/>
      <c r="R20" s="539"/>
      <c r="S20" s="549"/>
      <c r="T20" s="549"/>
      <c r="U20" s="549"/>
      <c r="V20" s="550"/>
      <c r="W20" s="482"/>
    </row>
    <row r="21" spans="1:23" ht="45" customHeight="1" thickBot="1">
      <c r="A21" s="385"/>
      <c r="B21" s="517" t="s">
        <v>493</v>
      </c>
      <c r="C21" s="502" t="s">
        <v>512</v>
      </c>
      <c r="D21" s="382"/>
      <c r="E21" s="382"/>
      <c r="F21" s="529" t="s">
        <v>524</v>
      </c>
      <c r="G21" s="530"/>
      <c r="H21" s="530"/>
      <c r="I21" s="530"/>
      <c r="J21" s="530"/>
      <c r="K21" s="531"/>
      <c r="L21" s="330"/>
      <c r="M21" s="551" t="s">
        <v>528</v>
      </c>
      <c r="N21" s="509"/>
      <c r="O21" s="509"/>
      <c r="P21" s="509"/>
      <c r="Q21" s="509"/>
      <c r="R21" s="509"/>
      <c r="S21" s="330"/>
      <c r="T21" s="329"/>
      <c r="U21" s="323"/>
      <c r="V21" s="552"/>
      <c r="W21" s="482"/>
    </row>
    <row r="22" spans="1:23" ht="45" customHeight="1" thickBot="1">
      <c r="A22" s="385"/>
      <c r="B22" s="518"/>
      <c r="C22" s="501"/>
      <c r="D22" s="322"/>
      <c r="E22" s="322"/>
      <c r="F22" s="484"/>
      <c r="G22" s="484"/>
      <c r="H22" s="484"/>
      <c r="I22" s="484"/>
      <c r="J22" s="484"/>
      <c r="K22" s="484"/>
      <c r="L22" s="325"/>
      <c r="M22" s="543" t="s">
        <v>527</v>
      </c>
      <c r="N22" s="553"/>
      <c r="O22" s="554" t="s">
        <v>513</v>
      </c>
      <c r="P22" s="544"/>
      <c r="Q22" s="544"/>
      <c r="R22" s="544"/>
      <c r="S22" s="544"/>
      <c r="T22" s="544"/>
      <c r="U22" s="544"/>
      <c r="V22" s="545"/>
      <c r="W22" s="482"/>
    </row>
    <row r="23" spans="1:23" ht="45" customHeight="1" thickBot="1">
      <c r="A23" s="386"/>
      <c r="B23" s="321" t="s">
        <v>494</v>
      </c>
      <c r="C23" s="503" t="s">
        <v>503</v>
      </c>
      <c r="D23" s="491"/>
      <c r="E23" s="491"/>
      <c r="F23" s="491"/>
      <c r="G23" s="491"/>
      <c r="H23" s="491"/>
      <c r="I23" s="491"/>
      <c r="J23" s="491"/>
      <c r="K23" s="491"/>
      <c r="L23" s="491"/>
      <c r="M23" s="522"/>
      <c r="N23" s="522"/>
      <c r="O23" s="522"/>
      <c r="P23" s="522"/>
      <c r="Q23" s="522"/>
      <c r="R23" s="522"/>
      <c r="S23" s="522"/>
      <c r="T23" s="522"/>
      <c r="U23" s="522"/>
      <c r="V23" s="523"/>
      <c r="W23" s="482"/>
    </row>
  </sheetData>
  <mergeCells count="50">
    <mergeCell ref="A1:W1"/>
    <mergeCell ref="A3:A6"/>
    <mergeCell ref="F3:H3"/>
    <mergeCell ref="I3:K3"/>
    <mergeCell ref="F4:H4"/>
    <mergeCell ref="P4:R4"/>
    <mergeCell ref="C6:V6"/>
    <mergeCell ref="A11:A14"/>
    <mergeCell ref="A15:A18"/>
    <mergeCell ref="I15:K15"/>
    <mergeCell ref="A7:A10"/>
    <mergeCell ref="I7:K7"/>
    <mergeCell ref="F16:H16"/>
    <mergeCell ref="C9:E9"/>
    <mergeCell ref="F9:K9"/>
    <mergeCell ref="E13:L13"/>
    <mergeCell ref="A19:A23"/>
    <mergeCell ref="I19:K19"/>
    <mergeCell ref="M20:R20"/>
    <mergeCell ref="M16:N16"/>
    <mergeCell ref="F19:H19"/>
    <mergeCell ref="O16:V16"/>
    <mergeCell ref="M17:N17"/>
    <mergeCell ref="O17:V17"/>
    <mergeCell ref="C21:E21"/>
    <mergeCell ref="F21:K21"/>
    <mergeCell ref="M22:N22"/>
    <mergeCell ref="O22:V22"/>
    <mergeCell ref="M21:R21"/>
    <mergeCell ref="B21:B22"/>
    <mergeCell ref="M8:R8"/>
    <mergeCell ref="M11:N11"/>
    <mergeCell ref="I4:K4"/>
    <mergeCell ref="M5:R5"/>
    <mergeCell ref="I8:K8"/>
    <mergeCell ref="M7:R7"/>
    <mergeCell ref="M9:N9"/>
    <mergeCell ref="O9:V9"/>
    <mergeCell ref="M19:R19"/>
    <mergeCell ref="I20:K20"/>
    <mergeCell ref="I16:K16"/>
    <mergeCell ref="F7:H7"/>
    <mergeCell ref="O11:V11"/>
    <mergeCell ref="C10:V10"/>
    <mergeCell ref="C14:V14"/>
    <mergeCell ref="C23:V23"/>
    <mergeCell ref="C18:V18"/>
    <mergeCell ref="F15:H15"/>
    <mergeCell ref="C13:D13"/>
    <mergeCell ref="C17:E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outlinePr summaryBelow="0" summaryRight="0"/>
    <pageSetUpPr fitToPage="1"/>
  </sheetPr>
  <dimension ref="A1:AP1003"/>
  <sheetViews>
    <sheetView workbookViewId="0">
      <selection activeCell="B22" sqref="B22:J22"/>
    </sheetView>
  </sheetViews>
  <sheetFormatPr defaultColWidth="14.42578125" defaultRowHeight="15" customHeight="1"/>
  <cols>
    <col min="1" max="2" width="10.140625" customWidth="1"/>
    <col min="3" max="3" width="12.140625" customWidth="1"/>
    <col min="4" max="4" width="15.85546875" customWidth="1"/>
    <col min="5" max="5" width="11.5703125" customWidth="1"/>
    <col min="6" max="11" width="10.140625" customWidth="1"/>
    <col min="12" max="12" width="14.85546875" customWidth="1"/>
    <col min="13" max="14" width="10.140625" customWidth="1"/>
    <col min="15" max="15" width="12" customWidth="1"/>
    <col min="16" max="23" width="7.5703125" customWidth="1"/>
    <col min="24" max="24" width="5.85546875" customWidth="1"/>
    <col min="25" max="25" width="9.5703125" customWidth="1"/>
    <col min="26" max="26" width="8.85546875" customWidth="1"/>
    <col min="27" max="27" width="10" customWidth="1"/>
    <col min="28" max="28" width="9.85546875" customWidth="1"/>
    <col min="29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208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56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50" t="s">
        <v>209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57" t="s">
        <v>3</v>
      </c>
      <c r="E4" s="358"/>
      <c r="F4" s="357" t="s">
        <v>4</v>
      </c>
      <c r="G4" s="358"/>
      <c r="H4" s="357" t="s">
        <v>5</v>
      </c>
      <c r="I4" s="358"/>
      <c r="J4" s="357" t="s">
        <v>6</v>
      </c>
      <c r="K4" s="358"/>
      <c r="L4" s="357" t="s">
        <v>7</v>
      </c>
      <c r="M4" s="358"/>
      <c r="N4" s="357" t="s">
        <v>8</v>
      </c>
      <c r="O4" s="358"/>
      <c r="P4" s="357" t="s">
        <v>9</v>
      </c>
      <c r="Q4" s="341"/>
      <c r="R4" s="361" t="s">
        <v>10</v>
      </c>
      <c r="S4" s="335"/>
      <c r="T4" s="361" t="s">
        <v>11</v>
      </c>
      <c r="U4" s="362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80" t="s">
        <v>13</v>
      </c>
      <c r="L5" s="225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32"/>
      <c r="B6" s="24"/>
      <c r="C6" s="24"/>
      <c r="D6" s="24"/>
      <c r="E6" s="24"/>
      <c r="F6" s="24"/>
      <c r="G6" s="24"/>
      <c r="H6" s="24"/>
      <c r="I6" s="24"/>
      <c r="J6" s="24"/>
      <c r="K6" s="24"/>
      <c r="L6" s="228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30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72" t="s">
        <v>14</v>
      </c>
      <c r="B7" s="35"/>
      <c r="C7" s="21"/>
      <c r="D7" s="21"/>
      <c r="E7" s="21"/>
      <c r="F7" s="21"/>
      <c r="G7" s="21"/>
      <c r="H7" s="21"/>
      <c r="I7" s="21"/>
      <c r="J7" s="21"/>
      <c r="K7" s="21"/>
      <c r="L7" s="35"/>
      <c r="M7" s="21"/>
      <c r="N7" s="21"/>
      <c r="O7" s="21"/>
      <c r="P7" s="21"/>
      <c r="Q7" s="21"/>
      <c r="R7" s="21"/>
      <c r="S7" s="21"/>
      <c r="T7" s="21"/>
      <c r="U7" s="21"/>
      <c r="V7" s="21"/>
      <c r="W7" s="231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332"/>
      <c r="B8" s="37"/>
      <c r="C8" s="29"/>
      <c r="D8" s="29"/>
      <c r="E8" s="29"/>
      <c r="F8" s="29"/>
      <c r="G8" s="29"/>
      <c r="H8" s="29"/>
      <c r="I8" s="29"/>
      <c r="J8" s="29"/>
      <c r="K8" s="29"/>
      <c r="L8" s="37"/>
      <c r="M8" s="29"/>
      <c r="N8" s="29"/>
      <c r="O8" s="29"/>
      <c r="P8" s="29"/>
      <c r="Q8" s="29"/>
      <c r="R8" s="29"/>
      <c r="S8" s="29"/>
      <c r="T8" s="29"/>
      <c r="U8" s="29"/>
      <c r="V8" s="29"/>
      <c r="W8" s="232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42" t="s">
        <v>16</v>
      </c>
      <c r="B9" s="30"/>
      <c r="C9" s="14"/>
      <c r="D9" s="14"/>
      <c r="E9" s="14"/>
      <c r="F9" s="14"/>
      <c r="G9" s="14"/>
      <c r="H9" s="14"/>
      <c r="I9" s="14"/>
      <c r="J9" s="14"/>
      <c r="K9" s="15"/>
      <c r="V9" s="14"/>
      <c r="W9" s="1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332"/>
      <c r="B10" s="31"/>
      <c r="C10" s="18"/>
      <c r="D10" s="18"/>
      <c r="E10" s="18"/>
      <c r="F10" s="18"/>
      <c r="G10" s="18"/>
      <c r="H10" s="18"/>
      <c r="I10" s="18"/>
      <c r="J10" s="18"/>
      <c r="K10" s="1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6" customHeight="1">
      <c r="A11" s="344" t="s">
        <v>17</v>
      </c>
      <c r="B11" s="20"/>
      <c r="C11" s="20"/>
      <c r="D11" s="20"/>
      <c r="E11" s="20"/>
      <c r="F11" s="14"/>
      <c r="G11" s="14"/>
      <c r="H11" s="14"/>
      <c r="I11" s="14"/>
      <c r="J11" s="14"/>
      <c r="K11" s="15"/>
      <c r="V11" s="32"/>
      <c r="W11" s="33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7.25" customHeight="1">
      <c r="A12" s="343"/>
      <c r="B12" s="16"/>
      <c r="C12" s="16"/>
      <c r="D12" s="16"/>
      <c r="E12" s="16"/>
      <c r="F12" s="18"/>
      <c r="G12" s="18"/>
      <c r="H12" s="18"/>
      <c r="I12" s="18"/>
      <c r="J12" s="18"/>
      <c r="K12" s="19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3"/>
      <c r="W12" s="34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4" customHeight="1">
      <c r="A13" s="343"/>
      <c r="B13" s="233"/>
      <c r="C13" s="234"/>
      <c r="D13" s="234"/>
      <c r="E13" s="234"/>
      <c r="F13" s="14"/>
      <c r="G13" s="14"/>
      <c r="H13" s="14"/>
      <c r="I13" s="14"/>
      <c r="J13" s="14"/>
      <c r="K13" s="15"/>
      <c r="W13" s="235"/>
      <c r="X13" s="98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2" customHeight="1">
      <c r="A14" s="332"/>
      <c r="B14" s="236"/>
      <c r="C14" s="237"/>
      <c r="D14" s="237"/>
      <c r="E14" s="237"/>
      <c r="F14" s="237"/>
      <c r="G14" s="237"/>
      <c r="H14" s="237"/>
      <c r="I14" s="237"/>
      <c r="J14" s="237"/>
      <c r="K14" s="238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93"/>
      <c r="X14" s="98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45" t="s">
        <v>18</v>
      </c>
      <c r="B15" s="35"/>
      <c r="C15" s="21"/>
      <c r="K15" s="239"/>
      <c r="R15" s="21"/>
      <c r="S15" s="21"/>
      <c r="T15" s="13"/>
      <c r="U15" s="32"/>
      <c r="V15" s="32"/>
      <c r="W15" s="33"/>
      <c r="X15" s="98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346"/>
      <c r="B16" s="37"/>
      <c r="C16" s="29"/>
      <c r="K16" s="240"/>
      <c r="L16" s="24"/>
      <c r="M16" s="24"/>
      <c r="N16" s="24"/>
      <c r="O16" s="24"/>
      <c r="P16" s="24"/>
      <c r="Q16" s="24"/>
      <c r="R16" s="29"/>
      <c r="S16" s="29"/>
      <c r="T16" s="17"/>
      <c r="U16" s="23"/>
      <c r="V16" s="23"/>
      <c r="W16" s="34"/>
      <c r="X16" s="98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38" t="s">
        <v>19</v>
      </c>
      <c r="B17" s="39"/>
      <c r="C17" s="40"/>
      <c r="D17" s="40"/>
      <c r="E17" s="40"/>
      <c r="F17" s="40"/>
      <c r="G17" s="40"/>
      <c r="H17" s="40"/>
      <c r="I17" s="40"/>
      <c r="J17" s="40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0"/>
      <c r="W17" s="4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38" t="s">
        <v>20</v>
      </c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 t="s">
        <v>210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39" t="s">
        <v>21</v>
      </c>
      <c r="S21" s="340"/>
      <c r="T21" s="341"/>
      <c r="U21" s="339" t="s">
        <v>22</v>
      </c>
      <c r="V21" s="341"/>
      <c r="W21" s="339" t="s">
        <v>23</v>
      </c>
      <c r="X21" s="341"/>
      <c r="Y21" s="331" t="s">
        <v>24</v>
      </c>
      <c r="Z21" s="331" t="s">
        <v>25</v>
      </c>
      <c r="AA21" s="331" t="s">
        <v>26</v>
      </c>
      <c r="AB21" s="331" t="s">
        <v>27</v>
      </c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55"/>
      <c r="B22" s="394" t="s">
        <v>31</v>
      </c>
      <c r="C22" s="352"/>
      <c r="D22" s="352"/>
      <c r="E22" s="352"/>
      <c r="F22" s="352"/>
      <c r="G22" s="352"/>
      <c r="H22" s="352"/>
      <c r="I22" s="352"/>
      <c r="J22" s="352"/>
      <c r="K22" s="100" t="s">
        <v>32</v>
      </c>
      <c r="L22" s="101" t="s">
        <v>97</v>
      </c>
      <c r="M22" s="101" t="s">
        <v>98</v>
      </c>
      <c r="N22" s="241" t="s">
        <v>211</v>
      </c>
      <c r="O22" s="394" t="s">
        <v>35</v>
      </c>
      <c r="P22" s="352"/>
      <c r="R22" s="48" t="s">
        <v>36</v>
      </c>
      <c r="S22" s="48" t="s">
        <v>37</v>
      </c>
      <c r="T22" s="48" t="s">
        <v>38</v>
      </c>
      <c r="U22" s="48" t="s">
        <v>39</v>
      </c>
      <c r="V22" s="48" t="s">
        <v>40</v>
      </c>
      <c r="W22" s="48" t="s">
        <v>41</v>
      </c>
      <c r="X22" s="48" t="s">
        <v>42</v>
      </c>
      <c r="Y22" s="332"/>
      <c r="Z22" s="332"/>
      <c r="AA22" s="332"/>
      <c r="AB22" s="332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242"/>
      <c r="B23" s="164">
        <v>1</v>
      </c>
      <c r="C23" s="165">
        <v>958491</v>
      </c>
      <c r="D23" s="426" t="s">
        <v>212</v>
      </c>
      <c r="E23" s="352"/>
      <c r="F23" s="352"/>
      <c r="G23" s="352"/>
      <c r="H23" s="352"/>
      <c r="I23" s="352"/>
      <c r="J23" s="352"/>
      <c r="K23" s="166">
        <v>9</v>
      </c>
      <c r="L23" s="146" t="s">
        <v>213</v>
      </c>
      <c r="M23" s="146" t="s">
        <v>15</v>
      </c>
      <c r="N23" s="243">
        <v>10</v>
      </c>
      <c r="O23" s="150"/>
      <c r="P23" s="145"/>
      <c r="R23" s="116"/>
      <c r="S23" s="116"/>
      <c r="T23" s="116"/>
      <c r="U23" s="116"/>
      <c r="V23" s="116"/>
      <c r="W23" s="117"/>
      <c r="X23" s="116"/>
      <c r="Y23" s="116"/>
      <c r="Z23" s="118"/>
      <c r="AA23" s="118"/>
      <c r="AB23" s="11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244"/>
      <c r="B24" s="164">
        <v>2</v>
      </c>
      <c r="C24" s="165">
        <v>958491</v>
      </c>
      <c r="D24" s="427"/>
      <c r="E24" s="352"/>
      <c r="F24" s="352"/>
      <c r="G24" s="352"/>
      <c r="H24" s="352"/>
      <c r="I24" s="352"/>
      <c r="J24" s="352"/>
      <c r="K24" s="173"/>
      <c r="L24" s="126" t="s">
        <v>214</v>
      </c>
      <c r="M24" s="146"/>
      <c r="N24" s="243">
        <v>10</v>
      </c>
      <c r="O24" s="150"/>
      <c r="P24" s="145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23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50"/>
      <c r="B25" s="164">
        <v>3</v>
      </c>
      <c r="C25" s="165">
        <v>958491</v>
      </c>
      <c r="D25" s="428"/>
      <c r="E25" s="352"/>
      <c r="F25" s="352"/>
      <c r="G25" s="352"/>
      <c r="H25" s="352"/>
      <c r="I25" s="352"/>
      <c r="J25" s="352"/>
      <c r="K25" s="177"/>
      <c r="L25" s="126" t="s">
        <v>215</v>
      </c>
      <c r="M25" s="146"/>
      <c r="N25" s="243">
        <v>10</v>
      </c>
      <c r="O25" s="150"/>
      <c r="P25" s="145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0"/>
      <c r="B26" s="164">
        <v>4</v>
      </c>
      <c r="C26" s="165">
        <v>958491</v>
      </c>
      <c r="D26" s="431"/>
      <c r="E26" s="352"/>
      <c r="F26" s="352"/>
      <c r="G26" s="352"/>
      <c r="H26" s="352"/>
      <c r="I26" s="352"/>
      <c r="J26" s="352"/>
      <c r="K26" s="189"/>
      <c r="L26" s="146" t="s">
        <v>216</v>
      </c>
      <c r="M26" s="146"/>
      <c r="N26" s="243">
        <v>10</v>
      </c>
      <c r="O26" s="245"/>
      <c r="P26" s="145"/>
      <c r="R26" s="15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50"/>
      <c r="B27" s="164">
        <v>5</v>
      </c>
      <c r="C27" s="165">
        <v>958491</v>
      </c>
      <c r="D27" s="432"/>
      <c r="E27" s="352"/>
      <c r="F27" s="352"/>
      <c r="G27" s="352"/>
      <c r="H27" s="352"/>
      <c r="I27" s="352"/>
      <c r="J27" s="352"/>
      <c r="K27" s="193"/>
      <c r="L27" s="146" t="s">
        <v>217</v>
      </c>
      <c r="M27" s="146"/>
      <c r="N27" s="243">
        <v>10</v>
      </c>
      <c r="O27" s="245"/>
      <c r="P27" s="145"/>
      <c r="R27" s="15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0"/>
      <c r="B28" s="164">
        <v>7</v>
      </c>
      <c r="C28" s="165">
        <v>958491</v>
      </c>
      <c r="D28" s="448"/>
      <c r="E28" s="352"/>
      <c r="F28" s="352"/>
      <c r="G28" s="352"/>
      <c r="H28" s="352"/>
      <c r="I28" s="352"/>
      <c r="J28" s="352"/>
      <c r="K28" s="246"/>
      <c r="L28" s="146" t="s">
        <v>218</v>
      </c>
      <c r="M28" s="146"/>
      <c r="N28" s="243">
        <v>10</v>
      </c>
      <c r="O28" s="245"/>
      <c r="S28" s="247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0"/>
      <c r="B29" s="164">
        <v>8</v>
      </c>
      <c r="C29" s="165">
        <v>958491</v>
      </c>
      <c r="D29" s="248"/>
      <c r="E29" s="248"/>
      <c r="F29" s="248"/>
      <c r="G29" s="248"/>
      <c r="H29" s="248"/>
      <c r="I29" s="248"/>
      <c r="J29" s="248"/>
      <c r="K29" s="248"/>
      <c r="L29" s="155" t="s">
        <v>219</v>
      </c>
      <c r="M29" s="55"/>
      <c r="N29" s="243">
        <v>10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44"/>
      <c r="B30" s="164">
        <v>9</v>
      </c>
      <c r="C30" s="165">
        <v>958491</v>
      </c>
      <c r="D30" s="249"/>
      <c r="E30" s="249"/>
      <c r="F30" s="249"/>
      <c r="G30" s="249"/>
      <c r="H30" s="249"/>
      <c r="I30" s="249"/>
      <c r="J30" s="249"/>
      <c r="K30" s="249"/>
      <c r="L30" s="250" t="s">
        <v>108</v>
      </c>
      <c r="M30" s="47"/>
      <c r="N30" s="243">
        <v>10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0"/>
      <c r="B31" s="50"/>
      <c r="C31" s="26"/>
      <c r="D31" s="449"/>
      <c r="E31" s="352"/>
      <c r="F31" s="352"/>
      <c r="G31" s="352"/>
      <c r="H31" s="352"/>
      <c r="I31" s="352"/>
      <c r="J31" s="352"/>
      <c r="K31" s="26"/>
      <c r="L31" s="155"/>
      <c r="M31" s="55"/>
      <c r="N31" s="55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0"/>
      <c r="B32" s="50"/>
      <c r="C32" s="75" t="s">
        <v>54</v>
      </c>
      <c r="D32" s="404"/>
      <c r="E32" s="352"/>
      <c r="F32" s="352"/>
      <c r="G32" s="352"/>
      <c r="H32" s="352"/>
      <c r="I32" s="352"/>
      <c r="J32" s="352"/>
      <c r="K32" s="77">
        <f>SUM(K23:K31)</f>
        <v>9</v>
      </c>
      <c r="L32" s="155"/>
      <c r="M32" s="55"/>
      <c r="N32" s="55"/>
      <c r="O32" s="55"/>
      <c r="P32" s="55"/>
      <c r="Q32" s="55"/>
      <c r="R32" s="55"/>
      <c r="S32" s="55"/>
      <c r="T32" s="47"/>
      <c r="U32" s="47"/>
      <c r="V32" s="47"/>
      <c r="W32" s="47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50"/>
      <c r="B33" s="50"/>
      <c r="C33" s="392" t="s">
        <v>119</v>
      </c>
      <c r="D33" s="352"/>
      <c r="E33" s="352"/>
      <c r="F33" s="352"/>
      <c r="G33" s="352"/>
      <c r="H33" s="142"/>
      <c r="I33" s="142"/>
      <c r="J33" s="50"/>
      <c r="K33" s="50"/>
      <c r="L33" s="47"/>
      <c r="M33" s="47"/>
      <c r="N33" s="47"/>
      <c r="O33" s="47"/>
      <c r="P33" s="47"/>
      <c r="Q33" s="55"/>
      <c r="R33" s="55"/>
      <c r="S33" s="55"/>
      <c r="T33" s="47"/>
      <c r="U33" s="47"/>
      <c r="V33" s="47"/>
      <c r="W33" s="47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0"/>
      <c r="B34" s="50"/>
      <c r="C34" s="20"/>
      <c r="D34" s="20"/>
      <c r="E34" s="20"/>
      <c r="F34" s="20"/>
      <c r="G34" s="20"/>
      <c r="H34" s="20"/>
      <c r="I34" s="142"/>
      <c r="J34" s="50"/>
      <c r="K34" s="50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56"/>
      <c r="D35" s="156"/>
      <c r="E35" s="156"/>
      <c r="F35" s="156"/>
      <c r="G35" s="156"/>
      <c r="H35" s="156"/>
      <c r="I35" s="156"/>
      <c r="J35" s="10"/>
      <c r="K35" s="10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79"/>
      <c r="D36" s="79"/>
      <c r="E36" s="79"/>
      <c r="F36" s="79"/>
      <c r="G36" s="79"/>
      <c r="H36" s="79"/>
      <c r="I36" s="5"/>
      <c r="J36" s="10"/>
      <c r="K36" s="10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0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0"/>
      <c r="K38" s="10"/>
      <c r="L38" s="10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0"/>
      <c r="K39" s="10"/>
      <c r="L39" s="10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0"/>
      <c r="K40" s="10"/>
      <c r="L40" s="10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A5:A6"/>
    <mergeCell ref="A7:A8"/>
    <mergeCell ref="A9:A10"/>
    <mergeCell ref="R4:S4"/>
    <mergeCell ref="T4:U4"/>
    <mergeCell ref="X4:Y4"/>
    <mergeCell ref="J4:K4"/>
    <mergeCell ref="L4:M4"/>
    <mergeCell ref="Y21:Y22"/>
    <mergeCell ref="Z21:Z22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A11:A14"/>
    <mergeCell ref="A15:A16"/>
    <mergeCell ref="C33:G33"/>
    <mergeCell ref="AA21:AA22"/>
    <mergeCell ref="AB21:AB22"/>
    <mergeCell ref="B22:J22"/>
    <mergeCell ref="O22:P22"/>
    <mergeCell ref="D23:J23"/>
    <mergeCell ref="D24:J24"/>
    <mergeCell ref="D25:J25"/>
    <mergeCell ref="D26:J26"/>
    <mergeCell ref="D27:J27"/>
    <mergeCell ref="D28:J28"/>
    <mergeCell ref="D31:J31"/>
    <mergeCell ref="D32:J32"/>
    <mergeCell ref="R21:T21"/>
    <mergeCell ref="U21:V21"/>
    <mergeCell ref="W21:X21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P1009"/>
  <sheetViews>
    <sheetView workbookViewId="0">
      <selection sqref="A1:F1"/>
    </sheetView>
  </sheetViews>
  <sheetFormatPr defaultColWidth="14.42578125" defaultRowHeight="15" customHeight="1"/>
  <cols>
    <col min="1" max="1" width="26.85546875" customWidth="1"/>
    <col min="2" max="2" width="22.85546875" customWidth="1"/>
    <col min="3" max="3" width="85.85546875" customWidth="1"/>
    <col min="4" max="4" width="19.5703125" customWidth="1"/>
    <col min="5" max="6" width="21.140625" customWidth="1"/>
  </cols>
  <sheetData>
    <row r="1" spans="1:16" ht="33.75" customHeight="1">
      <c r="A1" s="453" t="s">
        <v>220</v>
      </c>
      <c r="B1" s="352"/>
      <c r="C1" s="352"/>
      <c r="D1" s="352"/>
      <c r="E1" s="352"/>
      <c r="F1" s="352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21">
      <c r="A2" s="251"/>
      <c r="B2" s="251"/>
      <c r="C2" s="251"/>
      <c r="D2" s="252"/>
      <c r="E2" s="252"/>
      <c r="F2" s="252"/>
      <c r="G2" s="251"/>
      <c r="H2" s="251"/>
      <c r="I2" s="251"/>
      <c r="J2" s="251"/>
      <c r="K2" s="251"/>
      <c r="L2" s="251"/>
      <c r="M2" s="251"/>
      <c r="N2" s="251"/>
      <c r="O2" s="251"/>
      <c r="P2" s="251"/>
    </row>
    <row r="3" spans="1:16" ht="24.75" customHeight="1">
      <c r="A3" s="253" t="s">
        <v>221</v>
      </c>
      <c r="B3" s="253" t="s">
        <v>222</v>
      </c>
      <c r="C3" s="253" t="s">
        <v>223</v>
      </c>
      <c r="D3" s="253" t="s">
        <v>224</v>
      </c>
      <c r="E3" s="253" t="s">
        <v>225</v>
      </c>
      <c r="F3" s="253" t="s">
        <v>226</v>
      </c>
      <c r="G3" s="251"/>
      <c r="H3" s="251"/>
      <c r="I3" s="254" t="s">
        <v>227</v>
      </c>
      <c r="J3" s="255" t="s">
        <v>115</v>
      </c>
      <c r="K3" s="255" t="s">
        <v>78</v>
      </c>
      <c r="L3" s="255" t="s">
        <v>47</v>
      </c>
      <c r="M3" s="255" t="s">
        <v>228</v>
      </c>
      <c r="N3" s="255" t="s">
        <v>229</v>
      </c>
      <c r="O3" s="255" t="s">
        <v>116</v>
      </c>
      <c r="P3" s="255" t="s">
        <v>230</v>
      </c>
    </row>
    <row r="4" spans="1:16" ht="26.25" customHeight="1">
      <c r="A4" s="451" t="s">
        <v>227</v>
      </c>
      <c r="B4" s="452">
        <v>2</v>
      </c>
      <c r="C4" s="256" t="s">
        <v>231</v>
      </c>
      <c r="D4" s="257">
        <v>2</v>
      </c>
      <c r="E4" s="257">
        <v>56</v>
      </c>
      <c r="F4" s="257" t="s">
        <v>232</v>
      </c>
      <c r="G4" s="251"/>
      <c r="H4" s="258" t="s">
        <v>233</v>
      </c>
      <c r="I4" s="258">
        <f>B4</f>
        <v>2</v>
      </c>
      <c r="J4" s="258">
        <f>B6</f>
        <v>3</v>
      </c>
      <c r="K4" s="259">
        <f>B9</f>
        <v>4</v>
      </c>
      <c r="L4" s="258">
        <f>B13</f>
        <v>2</v>
      </c>
      <c r="M4" s="258">
        <f>B15</f>
        <v>2</v>
      </c>
      <c r="N4" s="258">
        <f>B17</f>
        <v>2</v>
      </c>
      <c r="O4" s="258">
        <f>B19</f>
        <v>2</v>
      </c>
      <c r="P4" s="258">
        <f>B21</f>
        <v>0</v>
      </c>
    </row>
    <row r="5" spans="1:16" ht="25.5" customHeight="1">
      <c r="A5" s="332"/>
      <c r="B5" s="332"/>
      <c r="C5" s="256" t="s">
        <v>234</v>
      </c>
      <c r="D5" s="257">
        <v>3</v>
      </c>
      <c r="E5" s="257">
        <v>66</v>
      </c>
      <c r="F5" s="257" t="s">
        <v>235</v>
      </c>
      <c r="G5" s="251"/>
      <c r="H5" s="258" t="s">
        <v>236</v>
      </c>
      <c r="I5" s="258">
        <v>1</v>
      </c>
      <c r="J5" s="258">
        <v>1</v>
      </c>
      <c r="K5" s="258">
        <v>1</v>
      </c>
      <c r="L5" s="258">
        <v>1</v>
      </c>
      <c r="M5" s="258">
        <v>1</v>
      </c>
      <c r="N5" s="258">
        <v>1</v>
      </c>
      <c r="O5" s="258">
        <v>1</v>
      </c>
      <c r="P5" s="258">
        <v>0</v>
      </c>
    </row>
    <row r="6" spans="1:16" ht="26.25" customHeight="1">
      <c r="A6" s="454" t="s">
        <v>115</v>
      </c>
      <c r="B6" s="455">
        <v>3</v>
      </c>
      <c r="C6" s="260" t="s">
        <v>237</v>
      </c>
      <c r="D6" s="261">
        <v>1</v>
      </c>
      <c r="E6" s="261">
        <v>55</v>
      </c>
      <c r="F6" s="261" t="s">
        <v>232</v>
      </c>
      <c r="G6" s="251"/>
      <c r="H6" s="258" t="s">
        <v>54</v>
      </c>
      <c r="I6" s="258">
        <f t="shared" ref="I6:P6" si="0">I4+I5</f>
        <v>3</v>
      </c>
      <c r="J6" s="258">
        <f t="shared" si="0"/>
        <v>4</v>
      </c>
      <c r="K6" s="258">
        <f t="shared" si="0"/>
        <v>5</v>
      </c>
      <c r="L6" s="258">
        <f t="shared" si="0"/>
        <v>3</v>
      </c>
      <c r="M6" s="258">
        <f t="shared" si="0"/>
        <v>3</v>
      </c>
      <c r="N6" s="258">
        <f t="shared" si="0"/>
        <v>3</v>
      </c>
      <c r="O6" s="258">
        <f t="shared" si="0"/>
        <v>3</v>
      </c>
      <c r="P6" s="258">
        <f t="shared" si="0"/>
        <v>0</v>
      </c>
    </row>
    <row r="7" spans="1:16" ht="28.5" customHeight="1">
      <c r="A7" s="343"/>
      <c r="B7" s="343"/>
      <c r="C7" s="260" t="s">
        <v>238</v>
      </c>
      <c r="D7" s="261">
        <v>1</v>
      </c>
      <c r="E7" s="261">
        <v>56</v>
      </c>
      <c r="F7" s="261" t="s">
        <v>232</v>
      </c>
      <c r="G7" s="251"/>
      <c r="H7" s="251"/>
      <c r="I7" s="251"/>
      <c r="J7" s="251"/>
      <c r="K7" s="251"/>
      <c r="L7" s="251"/>
      <c r="M7" s="251"/>
      <c r="N7" s="251"/>
      <c r="O7" s="251"/>
      <c r="P7" s="251"/>
    </row>
    <row r="8" spans="1:16" ht="29.25" customHeight="1">
      <c r="A8" s="332"/>
      <c r="B8" s="332"/>
      <c r="C8" s="260" t="s">
        <v>239</v>
      </c>
      <c r="D8" s="261">
        <v>3</v>
      </c>
      <c r="E8" s="261">
        <v>30</v>
      </c>
      <c r="F8" s="261" t="s">
        <v>240</v>
      </c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1:16" ht="43.5" customHeight="1">
      <c r="A9" s="451" t="s">
        <v>78</v>
      </c>
      <c r="B9" s="452">
        <v>4</v>
      </c>
      <c r="C9" s="256" t="s">
        <v>241</v>
      </c>
      <c r="D9" s="262" t="s">
        <v>242</v>
      </c>
      <c r="E9" s="262">
        <v>5</v>
      </c>
      <c r="F9" s="262" t="s">
        <v>232</v>
      </c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1:16" ht="29.25" customHeight="1">
      <c r="A10" s="343"/>
      <c r="B10" s="343"/>
      <c r="C10" s="256" t="s">
        <v>243</v>
      </c>
      <c r="D10" s="257">
        <v>2</v>
      </c>
      <c r="E10" s="257">
        <v>55</v>
      </c>
      <c r="F10" s="257" t="s">
        <v>235</v>
      </c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1:16" ht="32.25" customHeight="1">
      <c r="A11" s="343"/>
      <c r="B11" s="343"/>
      <c r="C11" s="256" t="s">
        <v>244</v>
      </c>
      <c r="D11" s="257">
        <v>2</v>
      </c>
      <c r="E11" s="257">
        <v>55</v>
      </c>
      <c r="F11" s="257" t="s">
        <v>235</v>
      </c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1:16" ht="30.75" customHeight="1">
      <c r="A12" s="332"/>
      <c r="B12" s="332"/>
      <c r="C12" s="256" t="s">
        <v>245</v>
      </c>
      <c r="D12" s="257">
        <v>3</v>
      </c>
      <c r="E12" s="257">
        <v>66</v>
      </c>
      <c r="F12" s="257" t="s">
        <v>246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1:16" ht="26.25" customHeight="1">
      <c r="A13" s="454" t="s">
        <v>47</v>
      </c>
      <c r="B13" s="455">
        <v>2</v>
      </c>
      <c r="C13" s="260" t="s">
        <v>247</v>
      </c>
      <c r="D13" s="261">
        <v>1</v>
      </c>
      <c r="E13" s="261">
        <v>56</v>
      </c>
      <c r="F13" s="261" t="s">
        <v>232</v>
      </c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1:16" ht="27.75" customHeight="1">
      <c r="A14" s="332"/>
      <c r="B14" s="332"/>
      <c r="C14" s="260" t="s">
        <v>248</v>
      </c>
      <c r="D14" s="261">
        <v>2</v>
      </c>
      <c r="E14" s="261">
        <v>55</v>
      </c>
      <c r="F14" s="261" t="s">
        <v>232</v>
      </c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1:16" ht="29.25" customHeight="1">
      <c r="A15" s="451" t="s">
        <v>228</v>
      </c>
      <c r="B15" s="452">
        <v>2</v>
      </c>
      <c r="C15" s="256" t="s">
        <v>249</v>
      </c>
      <c r="D15" s="257">
        <v>2</v>
      </c>
      <c r="E15" s="257">
        <v>22</v>
      </c>
      <c r="F15" s="257" t="s">
        <v>235</v>
      </c>
      <c r="G15" s="251"/>
      <c r="H15" s="251"/>
      <c r="I15" s="251"/>
      <c r="J15" s="251"/>
      <c r="K15" s="251"/>
      <c r="L15" s="251"/>
      <c r="M15" s="251"/>
      <c r="N15" s="251"/>
      <c r="O15" s="251"/>
      <c r="P15" s="251"/>
    </row>
    <row r="16" spans="1:16" ht="28.5" customHeight="1">
      <c r="A16" s="332"/>
      <c r="B16" s="332"/>
      <c r="C16" s="256" t="s">
        <v>250</v>
      </c>
      <c r="D16" s="257" t="s">
        <v>251</v>
      </c>
      <c r="E16" s="257">
        <v>75</v>
      </c>
      <c r="F16" s="257" t="s">
        <v>252</v>
      </c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1:16" ht="27.75" customHeight="1">
      <c r="A17" s="454" t="s">
        <v>229</v>
      </c>
      <c r="B17" s="455">
        <v>2</v>
      </c>
      <c r="C17" s="260" t="s">
        <v>253</v>
      </c>
      <c r="D17" s="261">
        <v>3</v>
      </c>
      <c r="E17" s="261">
        <v>66</v>
      </c>
      <c r="F17" s="261" t="s">
        <v>235</v>
      </c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1:16" ht="30.75" customHeight="1">
      <c r="A18" s="332"/>
      <c r="B18" s="332"/>
      <c r="C18" s="260" t="s">
        <v>254</v>
      </c>
      <c r="D18" s="261">
        <v>3</v>
      </c>
      <c r="E18" s="261">
        <v>30</v>
      </c>
      <c r="F18" s="261" t="s">
        <v>240</v>
      </c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1:16" ht="28.5" customHeight="1">
      <c r="A19" s="451" t="s">
        <v>116</v>
      </c>
      <c r="B19" s="452">
        <v>2</v>
      </c>
      <c r="C19" s="256" t="s">
        <v>255</v>
      </c>
      <c r="D19" s="257">
        <v>3</v>
      </c>
      <c r="E19" s="257">
        <v>30</v>
      </c>
      <c r="F19" s="257" t="s">
        <v>240</v>
      </c>
      <c r="G19" s="251"/>
      <c r="H19" s="251"/>
      <c r="I19" s="251"/>
      <c r="J19" s="251"/>
      <c r="K19" s="251"/>
      <c r="L19" s="251"/>
      <c r="M19" s="251"/>
      <c r="N19" s="251"/>
      <c r="O19" s="251"/>
      <c r="P19" s="251"/>
    </row>
    <row r="20" spans="1:16" ht="27.75" customHeight="1">
      <c r="A20" s="332"/>
      <c r="B20" s="332"/>
      <c r="C20" s="256" t="s">
        <v>256</v>
      </c>
      <c r="D20" s="257">
        <v>3</v>
      </c>
      <c r="E20" s="257">
        <v>30</v>
      </c>
      <c r="F20" s="257" t="s">
        <v>240</v>
      </c>
      <c r="G20" s="251"/>
      <c r="H20" s="251"/>
      <c r="I20" s="251"/>
      <c r="J20" s="251"/>
      <c r="K20" s="251"/>
      <c r="L20" s="251"/>
      <c r="M20" s="251"/>
      <c r="N20" s="251"/>
      <c r="O20" s="251"/>
      <c r="P20" s="251"/>
    </row>
    <row r="21" spans="1:16" ht="27.75" customHeight="1">
      <c r="A21" s="263" t="s">
        <v>230</v>
      </c>
      <c r="B21" s="264">
        <v>0</v>
      </c>
      <c r="C21" s="265" t="s">
        <v>257</v>
      </c>
      <c r="D21" s="266"/>
      <c r="E21" s="266"/>
      <c r="F21" s="266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1:16" ht="21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1:16" ht="21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</row>
    <row r="24" spans="1:16" ht="21">
      <c r="A24" s="251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1:16" ht="21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1:16" ht="2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1:16" ht="21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</row>
    <row r="28" spans="1:16" ht="21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</row>
    <row r="29" spans="1:16" ht="21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</row>
    <row r="30" spans="1:16" ht="21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</row>
    <row r="31" spans="1:16" ht="21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</row>
    <row r="32" spans="1:16" ht="21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</row>
    <row r="33" spans="1:16" ht="21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</row>
    <row r="34" spans="1:16" ht="21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</row>
    <row r="35" spans="1:16" ht="21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</row>
    <row r="36" spans="1:16" ht="21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</row>
    <row r="37" spans="1:16" ht="21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</row>
    <row r="38" spans="1:16" ht="21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</row>
    <row r="39" spans="1:16" ht="21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</row>
    <row r="40" spans="1:16" ht="21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</row>
    <row r="41" spans="1:16" ht="2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</row>
    <row r="42" spans="1:16" ht="21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</row>
    <row r="43" spans="1:16" ht="21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</row>
    <row r="44" spans="1:16" ht="21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</row>
    <row r="45" spans="1:16" ht="21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</row>
    <row r="46" spans="1:16" ht="21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</row>
    <row r="47" spans="1:16" ht="21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</row>
    <row r="48" spans="1:16" ht="21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</row>
    <row r="49" spans="1:16" ht="21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</row>
    <row r="50" spans="1:16" ht="21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</row>
    <row r="51" spans="1:16" ht="2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</row>
    <row r="52" spans="1:16" ht="21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</row>
    <row r="53" spans="1:16" ht="21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</row>
    <row r="54" spans="1:16" ht="21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</row>
    <row r="55" spans="1:16" ht="21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</row>
    <row r="56" spans="1:16" ht="21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</row>
    <row r="57" spans="1:16" ht="21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</row>
    <row r="58" spans="1:16" ht="21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</row>
    <row r="59" spans="1:16" ht="21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</row>
    <row r="60" spans="1:16" ht="21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</row>
    <row r="61" spans="1:16" ht="2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</row>
    <row r="62" spans="1:16" ht="21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</row>
    <row r="63" spans="1:16" ht="21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</row>
    <row r="64" spans="1:16" ht="21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</row>
    <row r="65" spans="1:16" ht="21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</row>
    <row r="66" spans="1:16" ht="21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</row>
    <row r="67" spans="1:16" ht="21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</row>
    <row r="68" spans="1:16" ht="21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</row>
    <row r="69" spans="1:16" ht="21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</row>
    <row r="70" spans="1:16" ht="21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</row>
    <row r="71" spans="1:16" ht="2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</row>
    <row r="72" spans="1:16" ht="21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</row>
    <row r="73" spans="1:16" ht="21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</row>
    <row r="74" spans="1:16" ht="21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</row>
    <row r="75" spans="1:16" ht="21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</row>
    <row r="76" spans="1:16" ht="21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</row>
    <row r="77" spans="1:16" ht="21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</row>
    <row r="78" spans="1:16" ht="21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</row>
    <row r="79" spans="1:16" ht="21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</row>
    <row r="80" spans="1:16" ht="21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</row>
    <row r="81" spans="1:16" ht="2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</row>
    <row r="82" spans="1:16" ht="21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</row>
    <row r="83" spans="1:16" ht="21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</row>
    <row r="84" spans="1:16" ht="21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</row>
    <row r="85" spans="1:16" ht="21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</row>
    <row r="86" spans="1:16" ht="21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</row>
    <row r="87" spans="1:16" ht="21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</row>
    <row r="88" spans="1:16" ht="21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</row>
    <row r="89" spans="1:16" ht="21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</row>
    <row r="90" spans="1:16" ht="21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</row>
    <row r="91" spans="1:16" ht="2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</row>
    <row r="92" spans="1:16" ht="21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</row>
    <row r="93" spans="1:16" ht="21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</row>
    <row r="94" spans="1:16" ht="21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</row>
    <row r="95" spans="1:16" ht="21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</row>
    <row r="96" spans="1:16" ht="21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</row>
    <row r="97" spans="1:16" ht="21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</row>
    <row r="98" spans="1:16" ht="21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</row>
    <row r="99" spans="1:16" ht="21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</row>
    <row r="100" spans="1:16" ht="21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</row>
    <row r="101" spans="1:16" ht="2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</row>
    <row r="102" spans="1:16" ht="2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</row>
    <row r="103" spans="1:16" ht="21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</row>
    <row r="104" spans="1:16" ht="21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</row>
    <row r="105" spans="1:16" ht="2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</row>
    <row r="106" spans="1:16" ht="21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</row>
    <row r="107" spans="1:16" ht="21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</row>
    <row r="108" spans="1:16" ht="21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</row>
    <row r="109" spans="1:16" ht="21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</row>
    <row r="110" spans="1:16" ht="2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</row>
    <row r="111" spans="1:16" ht="2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</row>
    <row r="112" spans="1:16" ht="21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</row>
    <row r="113" spans="1:16" ht="21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</row>
    <row r="114" spans="1:16" ht="21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</row>
    <row r="115" spans="1:16" ht="21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</row>
    <row r="116" spans="1:16" ht="21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</row>
    <row r="117" spans="1:16" ht="21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</row>
    <row r="118" spans="1:16" ht="21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</row>
    <row r="119" spans="1:16" ht="21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</row>
    <row r="120" spans="1:16" ht="21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</row>
    <row r="121" spans="1:16" ht="2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</row>
    <row r="122" spans="1:16" ht="21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</row>
    <row r="123" spans="1:16" ht="21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</row>
    <row r="124" spans="1:16" ht="21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</row>
    <row r="125" spans="1:16" ht="21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</row>
    <row r="126" spans="1:16" ht="21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</row>
    <row r="127" spans="1:16" ht="21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</row>
    <row r="128" spans="1:16" ht="21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</row>
    <row r="129" spans="1:16" ht="21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</row>
    <row r="130" spans="1:16" ht="21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</row>
    <row r="131" spans="1:16" ht="2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</row>
    <row r="132" spans="1:16" ht="21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</row>
    <row r="133" spans="1:16" ht="21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</row>
    <row r="134" spans="1:16" ht="21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</row>
    <row r="135" spans="1:16" ht="21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</row>
    <row r="136" spans="1:16" ht="21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</row>
    <row r="137" spans="1:16" ht="21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</row>
    <row r="138" spans="1:16" ht="21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</row>
    <row r="139" spans="1:16" ht="21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</row>
    <row r="140" spans="1:16" ht="21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</row>
    <row r="141" spans="1:16" ht="2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</row>
    <row r="142" spans="1:16" ht="21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</row>
    <row r="143" spans="1:16" ht="21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</row>
    <row r="144" spans="1:16" ht="21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</row>
    <row r="145" spans="1:16" ht="21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</row>
    <row r="146" spans="1:16" ht="21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</row>
    <row r="147" spans="1:16" ht="21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</row>
    <row r="148" spans="1:16" ht="21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</row>
    <row r="149" spans="1:16" ht="21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</row>
    <row r="150" spans="1:16" ht="21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</row>
    <row r="151" spans="1:16" ht="2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</row>
    <row r="152" spans="1:16" ht="21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</row>
    <row r="153" spans="1:16" ht="21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</row>
    <row r="154" spans="1:16" ht="21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</row>
    <row r="155" spans="1:16" ht="21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</row>
    <row r="156" spans="1:16" ht="2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</row>
    <row r="157" spans="1:16" ht="2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</row>
    <row r="158" spans="1:16" ht="2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</row>
    <row r="159" spans="1:16" ht="2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</row>
    <row r="160" spans="1:16" ht="2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</row>
    <row r="161" spans="1:16" ht="2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</row>
    <row r="162" spans="1:16" ht="2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</row>
    <row r="163" spans="1:16" ht="2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</row>
    <row r="164" spans="1:16" ht="2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</row>
    <row r="165" spans="1:16" ht="2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</row>
    <row r="166" spans="1:16" ht="2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</row>
    <row r="167" spans="1:16" ht="2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</row>
    <row r="168" spans="1:16" ht="2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</row>
    <row r="169" spans="1:16" ht="2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</row>
    <row r="170" spans="1:16" ht="2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</row>
    <row r="171" spans="1:16" ht="2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</row>
    <row r="172" spans="1:16" ht="2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</row>
    <row r="173" spans="1:16" ht="2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</row>
    <row r="174" spans="1:16" ht="2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</row>
    <row r="175" spans="1:16" ht="2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</row>
    <row r="176" spans="1:16" ht="2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</row>
    <row r="177" spans="1:16" ht="2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</row>
    <row r="178" spans="1:16" ht="2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</row>
    <row r="179" spans="1:16" ht="2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</row>
    <row r="180" spans="1:16" ht="2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</row>
    <row r="181" spans="1:16" ht="2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</row>
    <row r="182" spans="1:16" ht="2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</row>
    <row r="183" spans="1:16" ht="2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</row>
    <row r="184" spans="1:16" ht="2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</row>
    <row r="185" spans="1:16" ht="2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</row>
    <row r="186" spans="1:16" ht="2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</row>
    <row r="187" spans="1:16" ht="2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</row>
    <row r="188" spans="1:16" ht="2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</row>
    <row r="189" spans="1:16" ht="2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</row>
    <row r="190" spans="1:16" ht="2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</row>
    <row r="191" spans="1:16" ht="2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</row>
    <row r="192" spans="1:16" ht="2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</row>
    <row r="193" spans="1:16" ht="2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</row>
    <row r="194" spans="1:16" ht="2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</row>
    <row r="195" spans="1:16" ht="2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</row>
    <row r="196" spans="1:16" ht="2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</row>
    <row r="197" spans="1:16" ht="2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</row>
    <row r="198" spans="1:16" ht="2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</row>
    <row r="199" spans="1:16" ht="2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</row>
    <row r="200" spans="1:16" ht="2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</row>
    <row r="201" spans="1:16" ht="2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</row>
    <row r="202" spans="1:16" ht="2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</row>
    <row r="203" spans="1:16" ht="2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</row>
    <row r="204" spans="1:16" ht="2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</row>
    <row r="205" spans="1:16" ht="2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</row>
    <row r="206" spans="1:16" ht="2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</row>
    <row r="207" spans="1:16" ht="2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</row>
    <row r="208" spans="1:16" ht="2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</row>
    <row r="209" spans="1:16" ht="2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</row>
    <row r="210" spans="1:16" ht="2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</row>
    <row r="211" spans="1:16" ht="2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</row>
    <row r="212" spans="1:16" ht="2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</row>
    <row r="213" spans="1:16" ht="2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</row>
    <row r="214" spans="1:16" ht="2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</row>
    <row r="215" spans="1:16" ht="2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</row>
    <row r="216" spans="1:16" ht="2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</row>
    <row r="217" spans="1:16" ht="2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</row>
    <row r="218" spans="1:16" ht="2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</row>
    <row r="219" spans="1:16" ht="2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</row>
    <row r="220" spans="1:16" ht="2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</row>
    <row r="221" spans="1:16" ht="2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</row>
    <row r="222" spans="1:16" ht="2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</row>
    <row r="223" spans="1:16" ht="2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</row>
    <row r="224" spans="1:16" ht="2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</row>
    <row r="225" spans="1:16" ht="2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</row>
    <row r="226" spans="1:16" ht="2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</row>
    <row r="227" spans="1:16" ht="2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</row>
    <row r="228" spans="1:16" ht="2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</row>
    <row r="229" spans="1:16" ht="2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</row>
    <row r="230" spans="1:16" ht="2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</row>
    <row r="231" spans="1:16" ht="2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</row>
    <row r="232" spans="1:16" ht="2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</row>
    <row r="233" spans="1:16" ht="2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</row>
    <row r="234" spans="1:16" ht="2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</row>
    <row r="235" spans="1:16" ht="2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</row>
    <row r="236" spans="1:16" ht="2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</row>
    <row r="237" spans="1:16" ht="2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</row>
    <row r="238" spans="1:16" ht="2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</row>
    <row r="239" spans="1:16" ht="2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</row>
    <row r="240" spans="1:16" ht="2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</row>
    <row r="241" spans="1:16" ht="2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</row>
    <row r="242" spans="1:16" ht="2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</row>
    <row r="243" spans="1:16" ht="2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</row>
    <row r="244" spans="1:16" ht="2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</row>
    <row r="245" spans="1:16" ht="2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</row>
    <row r="246" spans="1:16" ht="2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</row>
    <row r="247" spans="1:16" ht="2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</row>
    <row r="248" spans="1:16" ht="2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</row>
    <row r="249" spans="1:16" ht="2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</row>
    <row r="250" spans="1:16" ht="2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</row>
    <row r="251" spans="1:16" ht="2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</row>
    <row r="252" spans="1:16" ht="2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</row>
    <row r="253" spans="1:16" ht="2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</row>
    <row r="254" spans="1:16" ht="2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</row>
    <row r="255" spans="1:16" ht="2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</row>
    <row r="256" spans="1:16" ht="2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</row>
    <row r="257" spans="1:16" ht="2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</row>
    <row r="258" spans="1:16" ht="2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</row>
    <row r="259" spans="1:16" ht="2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</row>
    <row r="260" spans="1:16" ht="2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</row>
    <row r="261" spans="1:16" ht="2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</row>
    <row r="262" spans="1:16" ht="2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</row>
    <row r="263" spans="1:16" ht="2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</row>
    <row r="264" spans="1:16" ht="2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</row>
    <row r="265" spans="1:16" ht="2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</row>
    <row r="266" spans="1:16" ht="2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</row>
    <row r="267" spans="1:16" ht="2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</row>
    <row r="268" spans="1:16" ht="2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</row>
    <row r="269" spans="1:16" ht="2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</row>
    <row r="270" spans="1:16" ht="2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</row>
    <row r="271" spans="1:16" ht="2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</row>
    <row r="272" spans="1:16" ht="2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</row>
    <row r="273" spans="1:16" ht="2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</row>
    <row r="274" spans="1:16" ht="2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</row>
    <row r="275" spans="1:16" ht="2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</row>
    <row r="276" spans="1:16" ht="2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</row>
    <row r="277" spans="1:16" ht="2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</row>
    <row r="278" spans="1:16" ht="2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</row>
    <row r="279" spans="1:16" ht="2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</row>
    <row r="280" spans="1:16" ht="2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</row>
    <row r="281" spans="1:16" ht="2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</row>
    <row r="282" spans="1:16" ht="2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</row>
    <row r="283" spans="1:16" ht="2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</row>
    <row r="284" spans="1:16" ht="2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</row>
    <row r="285" spans="1:16" ht="2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</row>
    <row r="286" spans="1:16" ht="2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</row>
    <row r="287" spans="1:16" ht="2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</row>
    <row r="288" spans="1:16" ht="2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</row>
    <row r="289" spans="1:16" ht="2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</row>
    <row r="290" spans="1:16" ht="2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</row>
    <row r="291" spans="1:16" ht="2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</row>
    <row r="292" spans="1:16" ht="2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</row>
    <row r="293" spans="1:16" ht="2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</row>
    <row r="294" spans="1:16" ht="2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</row>
    <row r="295" spans="1:16" ht="2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</row>
    <row r="296" spans="1:16" ht="2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</row>
    <row r="297" spans="1:16" ht="2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</row>
    <row r="298" spans="1:16" ht="2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</row>
    <row r="299" spans="1:16" ht="2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</row>
    <row r="300" spans="1:16" ht="2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</row>
    <row r="301" spans="1:16" ht="2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</row>
    <row r="302" spans="1:16" ht="2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</row>
    <row r="303" spans="1:16" ht="2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</row>
    <row r="304" spans="1:16" ht="2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</row>
    <row r="305" spans="1:16" ht="2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</row>
    <row r="306" spans="1:16" ht="2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</row>
    <row r="307" spans="1:16" ht="2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</row>
    <row r="308" spans="1:16" ht="2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</row>
    <row r="309" spans="1:16" ht="2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</row>
    <row r="310" spans="1:16" ht="2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</row>
    <row r="311" spans="1:16" ht="2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</row>
    <row r="312" spans="1:16" ht="2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</row>
    <row r="313" spans="1:16" ht="2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</row>
    <row r="314" spans="1:16" ht="2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</row>
    <row r="315" spans="1:16" ht="2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</row>
    <row r="316" spans="1:16" ht="2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</row>
    <row r="317" spans="1:16" ht="2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</row>
    <row r="318" spans="1:16" ht="2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</row>
    <row r="319" spans="1:16" ht="2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</row>
    <row r="320" spans="1:16" ht="2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</row>
    <row r="321" spans="1:16" ht="2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</row>
    <row r="322" spans="1:16" ht="2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</row>
    <row r="323" spans="1:16" ht="2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</row>
    <row r="324" spans="1:16" ht="2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</row>
    <row r="325" spans="1:16" ht="2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</row>
    <row r="326" spans="1:16" ht="2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</row>
    <row r="327" spans="1:16" ht="2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</row>
    <row r="328" spans="1:16" ht="2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</row>
    <row r="329" spans="1:16" ht="2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</row>
    <row r="330" spans="1:16" ht="2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</row>
    <row r="331" spans="1:16" ht="2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</row>
    <row r="332" spans="1:16" ht="2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</row>
    <row r="333" spans="1:16" ht="2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</row>
    <row r="334" spans="1:16" ht="2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</row>
    <row r="335" spans="1:16" ht="2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</row>
    <row r="336" spans="1:16" ht="2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</row>
    <row r="337" spans="1:16" ht="2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</row>
    <row r="338" spans="1:16" ht="2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</row>
    <row r="339" spans="1:16" ht="2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</row>
    <row r="340" spans="1:16" ht="2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</row>
    <row r="341" spans="1:16" ht="2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</row>
    <row r="342" spans="1:16" ht="2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</row>
    <row r="343" spans="1:16" ht="2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</row>
    <row r="344" spans="1:16" ht="2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</row>
    <row r="345" spans="1:16" ht="2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</row>
    <row r="346" spans="1:16" ht="2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</row>
    <row r="347" spans="1:16" ht="2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</row>
    <row r="348" spans="1:16" ht="2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</row>
    <row r="349" spans="1:16" ht="2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</row>
    <row r="350" spans="1:16" ht="2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</row>
    <row r="351" spans="1:16" ht="2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</row>
    <row r="352" spans="1:16" ht="2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</row>
    <row r="353" spans="1:16" ht="2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</row>
    <row r="354" spans="1:16" ht="2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</row>
    <row r="355" spans="1:16" ht="2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</row>
    <row r="356" spans="1:16" ht="2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</row>
    <row r="357" spans="1:16" ht="2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</row>
    <row r="358" spans="1:16" ht="2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</row>
    <row r="359" spans="1:16" ht="2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</row>
    <row r="360" spans="1:16" ht="2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</row>
    <row r="361" spans="1:16" ht="2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</row>
    <row r="362" spans="1:16" ht="2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</row>
    <row r="363" spans="1:16" ht="2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</row>
    <row r="364" spans="1:16" ht="2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</row>
    <row r="365" spans="1:16" ht="2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</row>
    <row r="366" spans="1:16" ht="2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</row>
    <row r="367" spans="1:16" ht="2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</row>
    <row r="368" spans="1:16" ht="2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</row>
    <row r="369" spans="1:16" ht="2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</row>
    <row r="370" spans="1:16" ht="2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</row>
    <row r="371" spans="1:16" ht="2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</row>
    <row r="372" spans="1:16" ht="2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</row>
    <row r="373" spans="1:16" ht="2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</row>
    <row r="374" spans="1:16" ht="2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</row>
    <row r="375" spans="1:16" ht="2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</row>
    <row r="376" spans="1:16" ht="2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</row>
    <row r="377" spans="1:16" ht="2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</row>
    <row r="378" spans="1:16" ht="2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</row>
    <row r="379" spans="1:16" ht="2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</row>
    <row r="380" spans="1:16" ht="2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</row>
    <row r="381" spans="1:16" ht="2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</row>
    <row r="382" spans="1:16" ht="2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</row>
    <row r="383" spans="1:16" ht="2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</row>
    <row r="384" spans="1:16" ht="2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</row>
    <row r="385" spans="1:16" ht="2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</row>
    <row r="386" spans="1:16" ht="2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</row>
    <row r="387" spans="1:16" ht="2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</row>
    <row r="388" spans="1:16" ht="2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</row>
    <row r="389" spans="1:16" ht="2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</row>
    <row r="390" spans="1:16" ht="2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</row>
    <row r="391" spans="1:16" ht="2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</row>
    <row r="392" spans="1:16" ht="2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</row>
    <row r="393" spans="1:16" ht="2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</row>
    <row r="394" spans="1:16" ht="2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</row>
    <row r="395" spans="1:16" ht="2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</row>
    <row r="396" spans="1:16" ht="2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</row>
    <row r="397" spans="1:16" ht="2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</row>
    <row r="398" spans="1:16" ht="2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</row>
    <row r="399" spans="1:16" ht="2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</row>
    <row r="400" spans="1:16" ht="2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</row>
    <row r="401" spans="1:16" ht="2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</row>
    <row r="402" spans="1:16" ht="2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</row>
    <row r="403" spans="1:16" ht="2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</row>
    <row r="404" spans="1:16" ht="2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</row>
    <row r="405" spans="1:16" ht="2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</row>
    <row r="406" spans="1:16" ht="2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</row>
    <row r="407" spans="1:16" ht="2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</row>
    <row r="408" spans="1:16" ht="2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</row>
    <row r="409" spans="1:16" ht="2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</row>
    <row r="410" spans="1:16" ht="2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</row>
    <row r="411" spans="1:16" ht="2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</row>
    <row r="412" spans="1:16" ht="2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</row>
    <row r="413" spans="1:16" ht="2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</row>
    <row r="414" spans="1:16" ht="2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</row>
    <row r="415" spans="1:16" ht="2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</row>
    <row r="416" spans="1:16" ht="2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</row>
    <row r="417" spans="1:16" ht="2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</row>
    <row r="418" spans="1:16" ht="2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</row>
    <row r="419" spans="1:16" ht="2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</row>
    <row r="420" spans="1:16" ht="2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</row>
    <row r="421" spans="1:16" ht="2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</row>
    <row r="422" spans="1:16" ht="2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</row>
    <row r="423" spans="1:16" ht="2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</row>
    <row r="424" spans="1:16" ht="2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</row>
    <row r="425" spans="1:16" ht="2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</row>
    <row r="426" spans="1:16" ht="2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</row>
    <row r="427" spans="1:16" ht="2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</row>
    <row r="428" spans="1:16" ht="2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</row>
    <row r="429" spans="1:16" ht="2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</row>
    <row r="430" spans="1:16" ht="2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</row>
    <row r="431" spans="1:16" ht="2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</row>
    <row r="432" spans="1:16" ht="2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</row>
    <row r="433" spans="1:16" ht="2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</row>
    <row r="434" spans="1:16" ht="2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</row>
    <row r="435" spans="1:16" ht="2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</row>
    <row r="436" spans="1:16" ht="2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</row>
    <row r="437" spans="1:16" ht="2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</row>
    <row r="438" spans="1:16" ht="2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</row>
    <row r="439" spans="1:16" ht="2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</row>
    <row r="440" spans="1:16" ht="2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</row>
    <row r="441" spans="1:16" ht="2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</row>
    <row r="442" spans="1:16" ht="2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</row>
    <row r="443" spans="1:16" ht="2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</row>
    <row r="444" spans="1:16" ht="2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</row>
    <row r="445" spans="1:16" ht="2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</row>
    <row r="446" spans="1:16" ht="2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</row>
    <row r="447" spans="1:16" ht="2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</row>
    <row r="448" spans="1:16" ht="2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</row>
    <row r="449" spans="1:16" ht="2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</row>
    <row r="450" spans="1:16" ht="2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</row>
    <row r="451" spans="1:16" ht="2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</row>
    <row r="452" spans="1:16" ht="2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</row>
    <row r="453" spans="1:16" ht="2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</row>
    <row r="454" spans="1:16" ht="2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</row>
    <row r="455" spans="1:16" ht="2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</row>
    <row r="456" spans="1:16" ht="2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</row>
    <row r="457" spans="1:16" ht="2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</row>
    <row r="458" spans="1:16" ht="2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</row>
    <row r="459" spans="1:16" ht="2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</row>
    <row r="460" spans="1:16" ht="2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</row>
    <row r="461" spans="1:16" ht="2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</row>
    <row r="462" spans="1:16" ht="2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</row>
    <row r="463" spans="1:16" ht="2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</row>
    <row r="464" spans="1:16" ht="2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</row>
    <row r="465" spans="1:16" ht="2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</row>
    <row r="466" spans="1:16" ht="2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</row>
    <row r="467" spans="1:16" ht="2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</row>
    <row r="468" spans="1:16" ht="2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</row>
    <row r="469" spans="1:16" ht="2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</row>
    <row r="470" spans="1:16" ht="2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</row>
    <row r="471" spans="1:16" ht="2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</row>
    <row r="472" spans="1:16" ht="2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</row>
    <row r="473" spans="1:16" ht="2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</row>
    <row r="474" spans="1:16" ht="2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</row>
    <row r="475" spans="1:16" ht="2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</row>
    <row r="476" spans="1:16" ht="2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</row>
    <row r="477" spans="1:16" ht="2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</row>
    <row r="478" spans="1:16" ht="2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</row>
    <row r="479" spans="1:16" ht="2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</row>
    <row r="480" spans="1:16" ht="2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</row>
    <row r="481" spans="1:16" ht="2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</row>
    <row r="482" spans="1:16" ht="2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</row>
    <row r="483" spans="1:16" ht="2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</row>
    <row r="484" spans="1:16" ht="2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</row>
    <row r="485" spans="1:16" ht="2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</row>
    <row r="486" spans="1:16" ht="2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</row>
    <row r="487" spans="1:16" ht="2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</row>
    <row r="488" spans="1:16" ht="2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</row>
    <row r="489" spans="1:16" ht="2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</row>
    <row r="490" spans="1:16" ht="2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</row>
    <row r="491" spans="1:16" ht="2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</row>
    <row r="492" spans="1:16" ht="2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</row>
    <row r="493" spans="1:16" ht="2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</row>
    <row r="494" spans="1:16" ht="2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</row>
    <row r="495" spans="1:16" ht="2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</row>
    <row r="496" spans="1:16" ht="2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</row>
    <row r="497" spans="1:16" ht="2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</row>
    <row r="498" spans="1:16" ht="2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</row>
    <row r="499" spans="1:16" ht="2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</row>
    <row r="500" spans="1:16" ht="2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</row>
    <row r="501" spans="1:16" ht="2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</row>
    <row r="502" spans="1:16" ht="2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</row>
    <row r="503" spans="1:16" ht="2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</row>
    <row r="504" spans="1:16" ht="2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</row>
    <row r="505" spans="1:16" ht="2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</row>
    <row r="506" spans="1:16" ht="2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</row>
    <row r="507" spans="1:16" ht="2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</row>
    <row r="508" spans="1:16" ht="2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</row>
    <row r="509" spans="1:16" ht="2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</row>
    <row r="510" spans="1:16" ht="2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</row>
    <row r="511" spans="1:16" ht="2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</row>
    <row r="512" spans="1:16" ht="2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</row>
    <row r="513" spans="1:16" ht="2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</row>
    <row r="514" spans="1:16" ht="2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</row>
    <row r="515" spans="1:16" ht="2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</row>
    <row r="516" spans="1:16" ht="2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</row>
    <row r="517" spans="1:16" ht="2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</row>
    <row r="518" spans="1:16" ht="2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</row>
    <row r="519" spans="1:16" ht="2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</row>
    <row r="520" spans="1:16" ht="2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</row>
    <row r="521" spans="1:16" ht="2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</row>
    <row r="522" spans="1:16" ht="2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</row>
    <row r="523" spans="1:16" ht="2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</row>
    <row r="524" spans="1:16" ht="2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</row>
    <row r="525" spans="1:16" ht="2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</row>
    <row r="526" spans="1:16" ht="2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</row>
    <row r="527" spans="1:16" ht="2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</row>
    <row r="528" spans="1:16" ht="2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</row>
    <row r="529" spans="1:16" ht="2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</row>
    <row r="530" spans="1:16" ht="2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</row>
    <row r="531" spans="1:16" ht="2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</row>
    <row r="532" spans="1:16" ht="2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</row>
    <row r="533" spans="1:16" ht="2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</row>
    <row r="534" spans="1:16" ht="2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</row>
    <row r="535" spans="1:16" ht="2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</row>
    <row r="536" spans="1:16" ht="2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</row>
    <row r="537" spans="1:16" ht="2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</row>
    <row r="538" spans="1:16" ht="2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</row>
    <row r="539" spans="1:16" ht="2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</row>
    <row r="540" spans="1:16" ht="2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</row>
    <row r="541" spans="1:16" ht="2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</row>
    <row r="542" spans="1:16" ht="2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</row>
    <row r="543" spans="1:16" ht="2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</row>
    <row r="544" spans="1:16" ht="2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</row>
    <row r="545" spans="1:16" ht="2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</row>
    <row r="546" spans="1:16" ht="2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</row>
    <row r="547" spans="1:16" ht="2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</row>
    <row r="548" spans="1:16" ht="2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</row>
    <row r="549" spans="1:16" ht="2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</row>
    <row r="550" spans="1:16" ht="2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</row>
    <row r="551" spans="1:16" ht="2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</row>
    <row r="552" spans="1:16" ht="2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</row>
    <row r="553" spans="1:16" ht="2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</row>
    <row r="554" spans="1:16" ht="2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</row>
    <row r="555" spans="1:16" ht="2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</row>
    <row r="556" spans="1:16" ht="2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</row>
    <row r="557" spans="1:16" ht="2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</row>
    <row r="558" spans="1:16" ht="2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</row>
    <row r="559" spans="1:16" ht="2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</row>
    <row r="560" spans="1:16" ht="2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</row>
    <row r="561" spans="1:16" ht="2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</row>
    <row r="562" spans="1:16" ht="2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</row>
    <row r="563" spans="1:16" ht="2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</row>
    <row r="564" spans="1:16" ht="2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</row>
    <row r="565" spans="1:16" ht="2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</row>
    <row r="566" spans="1:16" ht="2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</row>
    <row r="567" spans="1:16" ht="2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</row>
    <row r="568" spans="1:16" ht="2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</row>
    <row r="569" spans="1:16" ht="2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</row>
    <row r="570" spans="1:16" ht="2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</row>
    <row r="571" spans="1:16" ht="2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</row>
    <row r="572" spans="1:16" ht="2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</row>
    <row r="573" spans="1:16" ht="2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</row>
    <row r="574" spans="1:16" ht="2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</row>
    <row r="575" spans="1:16" ht="2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</row>
    <row r="576" spans="1:16" ht="2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</row>
    <row r="577" spans="1:16" ht="2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</row>
    <row r="578" spans="1:16" ht="2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</row>
    <row r="579" spans="1:16" ht="2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</row>
    <row r="580" spans="1:16" ht="2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</row>
    <row r="581" spans="1:16" ht="2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</row>
    <row r="582" spans="1:16" ht="2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</row>
    <row r="583" spans="1:16" ht="2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</row>
    <row r="584" spans="1:16" ht="2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</row>
    <row r="585" spans="1:16" ht="2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</row>
    <row r="586" spans="1:16" ht="2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</row>
    <row r="587" spans="1:16" ht="2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</row>
    <row r="588" spans="1:16" ht="2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</row>
    <row r="589" spans="1:16" ht="2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</row>
    <row r="590" spans="1:16" ht="2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</row>
    <row r="591" spans="1:16" ht="2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</row>
    <row r="592" spans="1:16" ht="2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</row>
    <row r="593" spans="1:16" ht="2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</row>
    <row r="594" spans="1:16" ht="2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</row>
    <row r="595" spans="1:16" ht="2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</row>
    <row r="596" spans="1:16" ht="2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</row>
    <row r="597" spans="1:16" ht="2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</row>
    <row r="598" spans="1:16" ht="2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</row>
    <row r="599" spans="1:16" ht="2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</row>
    <row r="600" spans="1:16" ht="2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</row>
    <row r="601" spans="1:16" ht="2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</row>
    <row r="602" spans="1:16" ht="2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</row>
    <row r="603" spans="1:16" ht="2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</row>
    <row r="604" spans="1:16" ht="2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</row>
    <row r="605" spans="1:16" ht="2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</row>
    <row r="606" spans="1:16" ht="2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</row>
    <row r="607" spans="1:16" ht="2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</row>
    <row r="608" spans="1:16" ht="2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</row>
    <row r="609" spans="1:16" ht="2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</row>
    <row r="610" spans="1:16" ht="2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</row>
    <row r="611" spans="1:16" ht="2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</row>
    <row r="612" spans="1:16" ht="2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</row>
    <row r="613" spans="1:16" ht="2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</row>
    <row r="614" spans="1:16" ht="2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</row>
    <row r="615" spans="1:16" ht="2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</row>
    <row r="616" spans="1:16" ht="2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</row>
    <row r="617" spans="1:16" ht="2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</row>
    <row r="618" spans="1:16" ht="2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</row>
    <row r="619" spans="1:16" ht="2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</row>
    <row r="620" spans="1:16" ht="2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</row>
    <row r="621" spans="1:16" ht="2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</row>
    <row r="622" spans="1:16" ht="2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</row>
    <row r="623" spans="1:16" ht="2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</row>
    <row r="624" spans="1:16" ht="2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</row>
    <row r="625" spans="1:16" ht="2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</row>
    <row r="626" spans="1:16" ht="2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</row>
    <row r="627" spans="1:16" ht="2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</row>
    <row r="628" spans="1:16" ht="2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</row>
    <row r="629" spans="1:16" ht="2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</row>
    <row r="630" spans="1:16" ht="2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</row>
    <row r="631" spans="1:16" ht="2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</row>
    <row r="632" spans="1:16" ht="2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</row>
    <row r="633" spans="1:16" ht="2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</row>
    <row r="634" spans="1:16" ht="2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</row>
    <row r="635" spans="1:16" ht="2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</row>
    <row r="636" spans="1:16" ht="2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</row>
    <row r="637" spans="1:16" ht="2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</row>
    <row r="638" spans="1:16" ht="2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</row>
    <row r="639" spans="1:16" ht="2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</row>
    <row r="640" spans="1:16" ht="2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</row>
    <row r="641" spans="1:16" ht="2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</row>
    <row r="642" spans="1:16" ht="2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</row>
    <row r="643" spans="1:16" ht="2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</row>
    <row r="644" spans="1:16" ht="2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</row>
    <row r="645" spans="1:16" ht="2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</row>
    <row r="646" spans="1:16" ht="2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</row>
    <row r="647" spans="1:16" ht="2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</row>
    <row r="648" spans="1:16" ht="2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</row>
    <row r="649" spans="1:16" ht="2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</row>
    <row r="650" spans="1:16" ht="2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</row>
    <row r="651" spans="1:16" ht="2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</row>
    <row r="652" spans="1:16" ht="2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</row>
    <row r="653" spans="1:16" ht="2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</row>
    <row r="654" spans="1:16" ht="2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</row>
    <row r="655" spans="1:16" ht="2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</row>
    <row r="656" spans="1:16" ht="2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</row>
    <row r="657" spans="1:16" ht="2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</row>
    <row r="658" spans="1:16" ht="2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</row>
    <row r="659" spans="1:16" ht="2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</row>
    <row r="660" spans="1:16" ht="2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</row>
    <row r="661" spans="1:16" ht="2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</row>
    <row r="662" spans="1:16" ht="2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</row>
    <row r="663" spans="1:16" ht="2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</row>
    <row r="664" spans="1:16" ht="2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</row>
    <row r="665" spans="1:16" ht="2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</row>
    <row r="666" spans="1:16" ht="2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</row>
    <row r="667" spans="1:16" ht="2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</row>
    <row r="668" spans="1:16" ht="2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</row>
    <row r="669" spans="1:16" ht="2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</row>
    <row r="670" spans="1:16" ht="2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</row>
    <row r="671" spans="1:16" ht="2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</row>
    <row r="672" spans="1:16" ht="2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</row>
    <row r="673" spans="1:16" ht="2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</row>
    <row r="674" spans="1:16" ht="2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</row>
    <row r="675" spans="1:16" ht="2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</row>
    <row r="676" spans="1:16" ht="2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</row>
    <row r="677" spans="1:16" ht="2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</row>
    <row r="678" spans="1:16" ht="2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</row>
    <row r="679" spans="1:16" ht="2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</row>
    <row r="680" spans="1:16" ht="2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</row>
    <row r="681" spans="1:16" ht="2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</row>
    <row r="682" spans="1:16" ht="2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</row>
    <row r="683" spans="1:16" ht="2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</row>
    <row r="684" spans="1:16" ht="2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</row>
    <row r="685" spans="1:16" ht="2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</row>
    <row r="686" spans="1:16" ht="2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</row>
    <row r="687" spans="1:16" ht="2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</row>
    <row r="688" spans="1:16" ht="2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</row>
    <row r="689" spans="1:16" ht="2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</row>
    <row r="690" spans="1:16" ht="2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</row>
    <row r="691" spans="1:16" ht="2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</row>
    <row r="692" spans="1:16" ht="2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</row>
    <row r="693" spans="1:16" ht="2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</row>
    <row r="694" spans="1:16" ht="2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</row>
    <row r="695" spans="1:16" ht="2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</row>
    <row r="696" spans="1:16" ht="2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</row>
    <row r="697" spans="1:16" ht="2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</row>
    <row r="698" spans="1:16" ht="2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</row>
    <row r="699" spans="1:16" ht="2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</row>
    <row r="700" spans="1:16" ht="2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</row>
    <row r="701" spans="1:16" ht="2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</row>
    <row r="702" spans="1:16" ht="2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</row>
    <row r="703" spans="1:16" ht="2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</row>
    <row r="704" spans="1:16" ht="2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</row>
    <row r="705" spans="1:16" ht="2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</row>
    <row r="706" spans="1:16" ht="2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</row>
    <row r="707" spans="1:16" ht="2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</row>
    <row r="708" spans="1:16" ht="2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</row>
    <row r="709" spans="1:16" ht="2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</row>
    <row r="710" spans="1:16" ht="2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</row>
    <row r="711" spans="1:16" ht="2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</row>
    <row r="712" spans="1:16" ht="2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</row>
    <row r="713" spans="1:16" ht="2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</row>
    <row r="714" spans="1:16" ht="2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</row>
    <row r="715" spans="1:16" ht="2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</row>
    <row r="716" spans="1:16" ht="2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</row>
    <row r="717" spans="1:16" ht="2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</row>
    <row r="718" spans="1:16" ht="2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</row>
    <row r="719" spans="1:16" ht="2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</row>
    <row r="720" spans="1:16" ht="2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</row>
    <row r="721" spans="1:16" ht="2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</row>
    <row r="722" spans="1:16" ht="2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</row>
    <row r="723" spans="1:16" ht="2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</row>
    <row r="724" spans="1:16" ht="2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</row>
    <row r="725" spans="1:16" ht="2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</row>
    <row r="726" spans="1:16" ht="2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</row>
    <row r="727" spans="1:16" ht="2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</row>
    <row r="728" spans="1:16" ht="2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</row>
    <row r="729" spans="1:16" ht="2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</row>
    <row r="730" spans="1:16" ht="2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</row>
    <row r="731" spans="1:16" ht="2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</row>
    <row r="732" spans="1:16" ht="2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</row>
    <row r="733" spans="1:16" ht="2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</row>
    <row r="734" spans="1:16" ht="2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</row>
    <row r="735" spans="1:16" ht="2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</row>
    <row r="736" spans="1:16" ht="2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</row>
    <row r="737" spans="1:16" ht="2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</row>
    <row r="738" spans="1:16" ht="2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</row>
    <row r="739" spans="1:16" ht="2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</row>
    <row r="740" spans="1:16" ht="2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</row>
    <row r="741" spans="1:16" ht="2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</row>
    <row r="742" spans="1:16" ht="2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</row>
    <row r="743" spans="1:16" ht="2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</row>
    <row r="744" spans="1:16" ht="2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</row>
    <row r="745" spans="1:16" ht="2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</row>
    <row r="746" spans="1:16" ht="2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</row>
    <row r="747" spans="1:16" ht="2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</row>
    <row r="748" spans="1:16" ht="2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</row>
    <row r="749" spans="1:16" ht="2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</row>
    <row r="750" spans="1:16" ht="2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</row>
    <row r="751" spans="1:16" ht="2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</row>
    <row r="752" spans="1:16" ht="2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</row>
    <row r="753" spans="1:16" ht="2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</row>
    <row r="754" spans="1:16" ht="2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</row>
    <row r="755" spans="1:16" ht="2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</row>
    <row r="756" spans="1:16" ht="2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</row>
    <row r="757" spans="1:16" ht="2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</row>
    <row r="758" spans="1:16" ht="2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</row>
    <row r="759" spans="1:16" ht="2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</row>
    <row r="760" spans="1:16" ht="2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</row>
    <row r="761" spans="1:16" ht="2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</row>
    <row r="762" spans="1:16" ht="2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</row>
    <row r="763" spans="1:16" ht="2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</row>
    <row r="764" spans="1:16" ht="2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</row>
    <row r="765" spans="1:16" ht="2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</row>
    <row r="766" spans="1:16" ht="2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</row>
    <row r="767" spans="1:16" ht="2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</row>
    <row r="768" spans="1:16" ht="2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</row>
    <row r="769" spans="1:16" ht="2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</row>
    <row r="770" spans="1:16" ht="2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</row>
    <row r="771" spans="1:16" ht="2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</row>
    <row r="772" spans="1:16" ht="2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</row>
    <row r="773" spans="1:16" ht="2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</row>
    <row r="774" spans="1:16" ht="2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</row>
    <row r="775" spans="1:16" ht="2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</row>
    <row r="776" spans="1:16" ht="2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</row>
    <row r="777" spans="1:16" ht="2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</row>
    <row r="778" spans="1:16" ht="2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</row>
    <row r="779" spans="1:16" ht="2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</row>
    <row r="780" spans="1:16" ht="2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</row>
    <row r="781" spans="1:16" ht="2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</row>
    <row r="782" spans="1:16" ht="2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</row>
    <row r="783" spans="1:16" ht="2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</row>
    <row r="784" spans="1:16" ht="2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</row>
    <row r="785" spans="1:16" ht="2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</row>
    <row r="786" spans="1:16" ht="2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</row>
    <row r="787" spans="1:16" ht="2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</row>
    <row r="788" spans="1:16" ht="2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</row>
    <row r="789" spans="1:16" ht="2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</row>
    <row r="790" spans="1:16" ht="2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</row>
    <row r="791" spans="1:16" ht="2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</row>
    <row r="792" spans="1:16" ht="2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</row>
    <row r="793" spans="1:16" ht="2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</row>
    <row r="794" spans="1:16" ht="2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</row>
    <row r="795" spans="1:16" ht="2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</row>
    <row r="796" spans="1:16" ht="2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</row>
    <row r="797" spans="1:16" ht="2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</row>
    <row r="798" spans="1:16" ht="2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</row>
    <row r="799" spans="1:16" ht="2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</row>
    <row r="800" spans="1:16" ht="2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</row>
    <row r="801" spans="1:16" ht="2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</row>
    <row r="802" spans="1:16" ht="2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</row>
    <row r="803" spans="1:16" ht="2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</row>
    <row r="804" spans="1:16" ht="2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</row>
    <row r="805" spans="1:16" ht="2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</row>
    <row r="806" spans="1:16" ht="2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</row>
    <row r="807" spans="1:16" ht="2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</row>
    <row r="808" spans="1:16" ht="2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</row>
    <row r="809" spans="1:16" ht="2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</row>
    <row r="810" spans="1:16" ht="2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</row>
    <row r="811" spans="1:16" ht="2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</row>
    <row r="812" spans="1:16" ht="2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</row>
    <row r="813" spans="1:16" ht="2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</row>
    <row r="814" spans="1:16" ht="2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</row>
    <row r="815" spans="1:16" ht="2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</row>
    <row r="816" spans="1:16" ht="2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</row>
    <row r="817" spans="1:16" ht="2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</row>
    <row r="818" spans="1:16" ht="2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</row>
    <row r="819" spans="1:16" ht="2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</row>
    <row r="820" spans="1:16" ht="2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</row>
    <row r="821" spans="1:16" ht="2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</row>
    <row r="822" spans="1:16" ht="2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</row>
    <row r="823" spans="1:16" ht="2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</row>
    <row r="824" spans="1:16" ht="2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</row>
    <row r="825" spans="1:16" ht="2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</row>
    <row r="826" spans="1:16" ht="2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</row>
    <row r="827" spans="1:16" ht="2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</row>
    <row r="828" spans="1:16" ht="2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</row>
    <row r="829" spans="1:16" ht="2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</row>
    <row r="830" spans="1:16" ht="2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</row>
    <row r="831" spans="1:16" ht="2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</row>
    <row r="832" spans="1:16" ht="2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</row>
    <row r="833" spans="1:16" ht="2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</row>
    <row r="834" spans="1:16" ht="2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</row>
    <row r="835" spans="1:16" ht="2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</row>
    <row r="836" spans="1:16" ht="2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</row>
    <row r="837" spans="1:16" ht="2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</row>
    <row r="838" spans="1:16" ht="2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</row>
    <row r="839" spans="1:16" ht="2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</row>
    <row r="840" spans="1:16" ht="2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</row>
    <row r="841" spans="1:16" ht="2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</row>
    <row r="842" spans="1:16" ht="2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</row>
    <row r="843" spans="1:16" ht="2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</row>
    <row r="844" spans="1:16" ht="2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</row>
    <row r="845" spans="1:16" ht="2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</row>
    <row r="846" spans="1:16" ht="2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</row>
    <row r="847" spans="1:16" ht="2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</row>
    <row r="848" spans="1:16" ht="2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</row>
    <row r="849" spans="1:16" ht="2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</row>
    <row r="850" spans="1:16" ht="2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</row>
    <row r="851" spans="1:16" ht="2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</row>
    <row r="852" spans="1:16" ht="2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</row>
    <row r="853" spans="1:16" ht="2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</row>
    <row r="854" spans="1:16" ht="2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</row>
    <row r="855" spans="1:16" ht="2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</row>
    <row r="856" spans="1:16" ht="2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</row>
    <row r="857" spans="1:16" ht="2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</row>
    <row r="858" spans="1:16" ht="2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</row>
    <row r="859" spans="1:16" ht="2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</row>
    <row r="860" spans="1:16" ht="2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</row>
    <row r="861" spans="1:16" ht="2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</row>
    <row r="862" spans="1:16" ht="2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</row>
    <row r="863" spans="1:16" ht="2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</row>
    <row r="864" spans="1:16" ht="2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</row>
    <row r="865" spans="1:16" ht="2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</row>
    <row r="866" spans="1:16" ht="2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</row>
    <row r="867" spans="1:16" ht="2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</row>
    <row r="868" spans="1:16" ht="2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</row>
    <row r="869" spans="1:16" ht="2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</row>
    <row r="870" spans="1:16" ht="2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</row>
    <row r="871" spans="1:16" ht="2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</row>
    <row r="872" spans="1:16" ht="2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</row>
    <row r="873" spans="1:16" ht="2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</row>
    <row r="874" spans="1:16" ht="2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</row>
    <row r="875" spans="1:16" ht="2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</row>
    <row r="876" spans="1:16" ht="2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</row>
    <row r="877" spans="1:16" ht="2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</row>
    <row r="878" spans="1:16" ht="2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</row>
    <row r="879" spans="1:16" ht="2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</row>
    <row r="880" spans="1:16" ht="2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</row>
    <row r="881" spans="1:16" ht="2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</row>
    <row r="882" spans="1:16" ht="2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</row>
    <row r="883" spans="1:16" ht="2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</row>
    <row r="884" spans="1:16" ht="2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</row>
    <row r="885" spans="1:16" ht="2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</row>
    <row r="886" spans="1:16" ht="2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</row>
    <row r="887" spans="1:16" ht="2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</row>
    <row r="888" spans="1:16" ht="2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</row>
    <row r="889" spans="1:16" ht="2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</row>
    <row r="890" spans="1:16" ht="2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</row>
    <row r="891" spans="1:16" ht="2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</row>
    <row r="892" spans="1:16" ht="2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</row>
    <row r="893" spans="1:16" ht="2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</row>
    <row r="894" spans="1:16" ht="2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</row>
    <row r="895" spans="1:16" ht="2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</row>
    <row r="896" spans="1:16" ht="2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</row>
    <row r="897" spans="1:16" ht="2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</row>
    <row r="898" spans="1:16" ht="2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</row>
    <row r="899" spans="1:16" ht="2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</row>
    <row r="900" spans="1:16" ht="2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</row>
    <row r="901" spans="1:16" ht="2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</row>
    <row r="902" spans="1:16" ht="2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</row>
    <row r="903" spans="1:16" ht="2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</row>
    <row r="904" spans="1:16" ht="2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</row>
    <row r="905" spans="1:16" ht="2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</row>
    <row r="906" spans="1:16" ht="2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</row>
    <row r="907" spans="1:16" ht="2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</row>
    <row r="908" spans="1:16" ht="2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</row>
    <row r="909" spans="1:16" ht="2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</row>
    <row r="910" spans="1:16" ht="2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</row>
    <row r="911" spans="1:16" ht="2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</row>
    <row r="912" spans="1:16" ht="2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</row>
    <row r="913" spans="1:16" ht="2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</row>
    <row r="914" spans="1:16" ht="2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</row>
    <row r="915" spans="1:16" ht="2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</row>
    <row r="916" spans="1:16" ht="2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</row>
    <row r="917" spans="1:16" ht="2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</row>
    <row r="918" spans="1:16" ht="2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</row>
    <row r="919" spans="1:16" ht="2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</row>
    <row r="920" spans="1:16" ht="2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</row>
    <row r="921" spans="1:16" ht="2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</row>
    <row r="922" spans="1:16" ht="2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</row>
    <row r="923" spans="1:16" ht="2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</row>
    <row r="924" spans="1:16" ht="2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</row>
    <row r="925" spans="1:16" ht="2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</row>
    <row r="926" spans="1:16" ht="2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</row>
    <row r="927" spans="1:16" ht="2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</row>
    <row r="928" spans="1:16" ht="2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</row>
    <row r="929" spans="1:16" ht="2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</row>
    <row r="930" spans="1:16" ht="2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</row>
    <row r="931" spans="1:16" ht="2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</row>
    <row r="932" spans="1:16" ht="2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</row>
    <row r="933" spans="1:16" ht="2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</row>
    <row r="934" spans="1:16" ht="2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</row>
    <row r="935" spans="1:16" ht="2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</row>
    <row r="936" spans="1:16" ht="2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</row>
    <row r="937" spans="1:16" ht="2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</row>
    <row r="938" spans="1:16" ht="2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</row>
    <row r="939" spans="1:16" ht="2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</row>
    <row r="940" spans="1:16" ht="2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</row>
    <row r="941" spans="1:16" ht="2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</row>
    <row r="942" spans="1:16" ht="2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</row>
    <row r="943" spans="1:16" ht="2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</row>
    <row r="944" spans="1:16" ht="2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</row>
    <row r="945" spans="1:16" ht="2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</row>
    <row r="946" spans="1:16" ht="2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</row>
    <row r="947" spans="1:16" ht="2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</row>
    <row r="948" spans="1:16" ht="2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</row>
    <row r="949" spans="1:16" ht="2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</row>
    <row r="950" spans="1:16" ht="2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</row>
    <row r="951" spans="1:16" ht="2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</row>
    <row r="952" spans="1:16" ht="2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</row>
    <row r="953" spans="1:16" ht="2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</row>
    <row r="954" spans="1:16" ht="2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</row>
    <row r="955" spans="1:16" ht="2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</row>
    <row r="956" spans="1:16" ht="2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</row>
    <row r="957" spans="1:16" ht="2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</row>
    <row r="958" spans="1:16" ht="2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</row>
    <row r="959" spans="1:16" ht="2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</row>
    <row r="960" spans="1:16" ht="2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</row>
    <row r="961" spans="1:16" ht="2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</row>
    <row r="962" spans="1:16" ht="2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</row>
    <row r="963" spans="1:16" ht="2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</row>
    <row r="964" spans="1:16" ht="2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</row>
    <row r="965" spans="1:16" ht="2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</row>
    <row r="966" spans="1:16" ht="2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</row>
    <row r="967" spans="1:16" ht="2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</row>
    <row r="968" spans="1:16" ht="2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</row>
    <row r="969" spans="1:16" ht="2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</row>
    <row r="970" spans="1:16" ht="2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</row>
    <row r="971" spans="1:16" ht="2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</row>
    <row r="972" spans="1:16" ht="2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</row>
    <row r="973" spans="1:16" ht="2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</row>
    <row r="974" spans="1:16" ht="2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</row>
    <row r="975" spans="1:16" ht="2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</row>
    <row r="976" spans="1:16" ht="2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</row>
    <row r="977" spans="1:16" ht="2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</row>
    <row r="978" spans="1:16" ht="2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</row>
    <row r="979" spans="1:16" ht="2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</row>
    <row r="980" spans="1:16" ht="2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</row>
    <row r="981" spans="1:16" ht="2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</row>
    <row r="982" spans="1:16" ht="2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</row>
    <row r="983" spans="1:16" ht="2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</row>
    <row r="984" spans="1:16" ht="2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</row>
    <row r="985" spans="1:16" ht="2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</row>
    <row r="986" spans="1:16" ht="2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</row>
    <row r="987" spans="1:16" ht="2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</row>
    <row r="988" spans="1:16" ht="2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</row>
    <row r="989" spans="1:16" ht="2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</row>
    <row r="990" spans="1:16" ht="2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</row>
    <row r="991" spans="1:16" ht="2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</row>
    <row r="992" spans="1:16" ht="2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</row>
    <row r="993" spans="1:16" ht="2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</row>
    <row r="994" spans="1:16" ht="2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</row>
    <row r="995" spans="1:16" ht="2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</row>
    <row r="996" spans="1:16" ht="2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</row>
    <row r="997" spans="1:16" ht="2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</row>
    <row r="998" spans="1:16" ht="2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</row>
    <row r="999" spans="1:16" ht="2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</row>
    <row r="1000" spans="1:16" ht="21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</row>
    <row r="1001" spans="1:16" ht="21">
      <c r="A1001" s="251"/>
      <c r="B1001" s="251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</row>
    <row r="1002" spans="1:16" ht="21">
      <c r="A1002" s="251"/>
      <c r="B1002" s="251"/>
      <c r="C1002" s="251"/>
      <c r="D1002" s="251"/>
      <c r="E1002" s="251"/>
      <c r="F1002" s="251"/>
      <c r="G1002" s="251"/>
      <c r="H1002" s="251"/>
      <c r="I1002" s="251"/>
      <c r="J1002" s="251"/>
      <c r="K1002" s="251"/>
      <c r="L1002" s="251"/>
      <c r="M1002" s="251"/>
      <c r="N1002" s="251"/>
      <c r="O1002" s="251"/>
      <c r="P1002" s="251"/>
    </row>
    <row r="1003" spans="1:16" ht="21">
      <c r="A1003" s="251"/>
      <c r="B1003" s="251"/>
      <c r="C1003" s="251"/>
      <c r="D1003" s="251"/>
      <c r="E1003" s="251"/>
      <c r="F1003" s="251"/>
      <c r="G1003" s="251"/>
      <c r="H1003" s="251"/>
      <c r="I1003" s="251"/>
      <c r="J1003" s="251"/>
      <c r="K1003" s="251"/>
      <c r="L1003" s="251"/>
      <c r="M1003" s="251"/>
      <c r="N1003" s="251"/>
      <c r="O1003" s="251"/>
      <c r="P1003" s="251"/>
    </row>
    <row r="1004" spans="1:16" ht="21">
      <c r="A1004" s="251"/>
      <c r="B1004" s="251"/>
      <c r="C1004" s="251"/>
      <c r="D1004" s="251"/>
      <c r="E1004" s="251"/>
      <c r="F1004" s="251"/>
      <c r="G1004" s="251"/>
      <c r="H1004" s="251"/>
      <c r="I1004" s="251"/>
      <c r="J1004" s="251"/>
      <c r="K1004" s="251"/>
      <c r="L1004" s="251"/>
      <c r="M1004" s="251"/>
      <c r="N1004" s="251"/>
      <c r="O1004" s="251"/>
      <c r="P1004" s="251"/>
    </row>
    <row r="1005" spans="1:16" ht="21">
      <c r="A1005" s="251"/>
      <c r="B1005" s="251"/>
      <c r="C1005" s="251"/>
      <c r="D1005" s="251"/>
      <c r="E1005" s="251"/>
      <c r="F1005" s="251"/>
      <c r="G1005" s="251"/>
      <c r="H1005" s="251"/>
      <c r="I1005" s="251"/>
      <c r="J1005" s="251"/>
      <c r="K1005" s="251"/>
      <c r="L1005" s="251"/>
      <c r="M1005" s="251"/>
      <c r="N1005" s="251"/>
      <c r="O1005" s="251"/>
      <c r="P1005" s="251"/>
    </row>
    <row r="1006" spans="1:16" ht="21">
      <c r="A1006" s="251"/>
      <c r="B1006" s="251"/>
      <c r="C1006" s="251"/>
      <c r="D1006" s="251"/>
      <c r="E1006" s="251"/>
      <c r="F1006" s="251"/>
      <c r="G1006" s="251"/>
      <c r="H1006" s="251"/>
      <c r="I1006" s="251"/>
      <c r="J1006" s="251"/>
      <c r="K1006" s="251"/>
      <c r="L1006" s="251"/>
      <c r="M1006" s="251"/>
      <c r="N1006" s="251"/>
      <c r="O1006" s="251"/>
      <c r="P1006" s="251"/>
    </row>
    <row r="1007" spans="1:16" ht="21">
      <c r="A1007" s="251"/>
      <c r="B1007" s="251"/>
      <c r="C1007" s="251"/>
      <c r="D1007" s="251"/>
      <c r="E1007" s="251"/>
      <c r="F1007" s="251"/>
      <c r="G1007" s="251"/>
      <c r="H1007" s="251"/>
      <c r="I1007" s="251"/>
      <c r="J1007" s="251"/>
      <c r="K1007" s="251"/>
      <c r="L1007" s="251"/>
      <c r="M1007" s="251"/>
      <c r="N1007" s="251"/>
      <c r="O1007" s="251"/>
      <c r="P1007" s="251"/>
    </row>
    <row r="1008" spans="1:16" ht="21">
      <c r="A1008" s="251"/>
      <c r="B1008" s="251"/>
      <c r="C1008" s="251"/>
      <c r="D1008" s="251"/>
      <c r="E1008" s="251"/>
      <c r="F1008" s="251"/>
      <c r="G1008" s="251"/>
      <c r="H1008" s="251"/>
      <c r="I1008" s="251"/>
      <c r="J1008" s="251"/>
      <c r="K1008" s="251"/>
      <c r="L1008" s="251"/>
      <c r="M1008" s="251"/>
      <c r="N1008" s="251"/>
      <c r="O1008" s="251"/>
      <c r="P1008" s="251"/>
    </row>
    <row r="1009" spans="1:16" ht="21">
      <c r="A1009" s="251"/>
      <c r="B1009" s="251"/>
      <c r="C1009" s="251"/>
      <c r="D1009" s="251"/>
      <c r="E1009" s="251"/>
      <c r="F1009" s="251"/>
      <c r="G1009" s="251"/>
      <c r="H1009" s="251"/>
      <c r="I1009" s="251"/>
      <c r="J1009" s="251"/>
      <c r="K1009" s="251"/>
      <c r="L1009" s="251"/>
      <c r="M1009" s="251"/>
      <c r="N1009" s="251"/>
      <c r="O1009" s="251"/>
      <c r="P1009" s="251"/>
    </row>
  </sheetData>
  <mergeCells count="15">
    <mergeCell ref="A19:A20"/>
    <mergeCell ref="B19:B20"/>
    <mergeCell ref="A1:F1"/>
    <mergeCell ref="A4:A5"/>
    <mergeCell ref="B4:B5"/>
    <mergeCell ref="A6:A8"/>
    <mergeCell ref="B6:B8"/>
    <mergeCell ref="A9:A12"/>
    <mergeCell ref="B9:B12"/>
    <mergeCell ref="A13:A14"/>
    <mergeCell ref="B13:B14"/>
    <mergeCell ref="A15:A16"/>
    <mergeCell ref="B15:B16"/>
    <mergeCell ref="A17:A18"/>
    <mergeCell ref="B17:B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93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67"/>
      <c r="B1" s="268" t="s">
        <v>258</v>
      </c>
      <c r="C1" s="268"/>
      <c r="D1" s="268"/>
      <c r="E1" s="268"/>
      <c r="F1" s="268"/>
    </row>
    <row r="2" spans="1:6" ht="15" customHeight="1">
      <c r="A2" s="267"/>
      <c r="B2" s="269" t="s">
        <v>259</v>
      </c>
      <c r="C2" s="270" t="s">
        <v>260</v>
      </c>
      <c r="D2" s="270" t="s">
        <v>261</v>
      </c>
      <c r="E2" s="270" t="s">
        <v>262</v>
      </c>
      <c r="F2" s="269" t="s">
        <v>263</v>
      </c>
    </row>
    <row r="3" spans="1:6" ht="15" customHeight="1">
      <c r="A3" s="267"/>
      <c r="B3" s="457" t="s">
        <v>264</v>
      </c>
      <c r="C3" s="352"/>
      <c r="D3" s="352"/>
      <c r="E3" s="352"/>
      <c r="F3" s="352"/>
    </row>
    <row r="4" spans="1:6" ht="15" customHeight="1">
      <c r="A4" s="267"/>
      <c r="B4" s="267" t="s">
        <v>52</v>
      </c>
      <c r="C4" s="87" t="s">
        <v>265</v>
      </c>
      <c r="D4" s="87" t="s">
        <v>266</v>
      </c>
      <c r="E4" s="87">
        <v>3</v>
      </c>
      <c r="F4" s="267" t="s">
        <v>267</v>
      </c>
    </row>
    <row r="5" spans="1:6" ht="15" customHeight="1">
      <c r="A5" s="267"/>
      <c r="B5" s="267" t="s">
        <v>268</v>
      </c>
      <c r="C5" s="87" t="s">
        <v>269</v>
      </c>
      <c r="D5" s="87" t="s">
        <v>270</v>
      </c>
      <c r="E5" s="87">
        <v>3</v>
      </c>
      <c r="F5" s="267" t="s">
        <v>267</v>
      </c>
    </row>
    <row r="6" spans="1:6" ht="15" customHeight="1">
      <c r="A6" s="267"/>
      <c r="B6" s="267" t="s">
        <v>99</v>
      </c>
      <c r="C6" s="87" t="s">
        <v>271</v>
      </c>
      <c r="D6" s="87" t="s">
        <v>272</v>
      </c>
      <c r="E6" s="87">
        <v>3</v>
      </c>
      <c r="F6" s="267" t="s">
        <v>267</v>
      </c>
    </row>
    <row r="7" spans="1:6" ht="15" customHeight="1">
      <c r="A7" s="267"/>
      <c r="B7" s="267" t="s">
        <v>273</v>
      </c>
      <c r="C7" s="87" t="s">
        <v>274</v>
      </c>
      <c r="D7" s="87" t="s">
        <v>275</v>
      </c>
      <c r="E7" s="87">
        <v>3</v>
      </c>
      <c r="F7" s="267" t="s">
        <v>267</v>
      </c>
    </row>
    <row r="8" spans="1:6" ht="15" customHeight="1">
      <c r="A8" s="267"/>
      <c r="B8" s="267" t="s">
        <v>276</v>
      </c>
      <c r="C8" s="87"/>
      <c r="D8" s="87" t="s">
        <v>277</v>
      </c>
      <c r="E8" s="87">
        <v>3</v>
      </c>
      <c r="F8" s="267"/>
    </row>
    <row r="9" spans="1:6" ht="15" customHeight="1">
      <c r="A9" s="267"/>
      <c r="B9" s="458" t="s">
        <v>278</v>
      </c>
      <c r="C9" s="352"/>
      <c r="D9" s="352"/>
      <c r="E9" s="352"/>
      <c r="F9" s="352"/>
    </row>
    <row r="10" spans="1:6" ht="15" customHeight="1">
      <c r="A10" s="267"/>
      <c r="B10" s="267" t="s">
        <v>49</v>
      </c>
      <c r="C10" s="87" t="s">
        <v>279</v>
      </c>
      <c r="D10" s="87" t="s">
        <v>280</v>
      </c>
      <c r="E10" s="87">
        <v>3</v>
      </c>
      <c r="F10" s="267" t="s">
        <v>267</v>
      </c>
    </row>
    <row r="11" spans="1:6" ht="15" customHeight="1">
      <c r="A11" s="267"/>
      <c r="B11" s="267" t="s">
        <v>281</v>
      </c>
      <c r="D11" s="87" t="s">
        <v>282</v>
      </c>
      <c r="E11" s="87">
        <v>3</v>
      </c>
      <c r="F11" s="267"/>
    </row>
    <row r="12" spans="1:6" ht="15" customHeight="1">
      <c r="A12" s="267"/>
      <c r="B12" s="267" t="s">
        <v>283</v>
      </c>
      <c r="D12" s="87" t="s">
        <v>284</v>
      </c>
      <c r="E12" s="87">
        <v>3</v>
      </c>
      <c r="F12" s="267"/>
    </row>
    <row r="13" spans="1:6" ht="15" customHeight="1">
      <c r="A13" s="267"/>
      <c r="B13" s="267" t="s">
        <v>285</v>
      </c>
      <c r="D13" s="87" t="s">
        <v>286</v>
      </c>
      <c r="E13" s="87">
        <v>3</v>
      </c>
      <c r="F13" s="267"/>
    </row>
    <row r="14" spans="1:6" ht="15" customHeight="1">
      <c r="A14" s="267"/>
      <c r="B14" s="267" t="s">
        <v>287</v>
      </c>
      <c r="D14" s="87" t="s">
        <v>288</v>
      </c>
      <c r="E14" s="87">
        <v>3</v>
      </c>
      <c r="F14" s="267"/>
    </row>
    <row r="15" spans="1:6" ht="15" customHeight="1">
      <c r="A15" s="267"/>
      <c r="B15" s="459" t="s">
        <v>289</v>
      </c>
      <c r="C15" s="352"/>
      <c r="D15" s="352"/>
      <c r="E15" s="352"/>
      <c r="F15" s="352"/>
    </row>
    <row r="16" spans="1:6" ht="15" customHeight="1">
      <c r="A16" s="267"/>
      <c r="B16" s="267" t="s">
        <v>50</v>
      </c>
      <c r="D16" s="87" t="s">
        <v>290</v>
      </c>
      <c r="E16" s="87">
        <v>3</v>
      </c>
      <c r="F16" s="267"/>
    </row>
    <row r="17" spans="1:6" ht="15" customHeight="1">
      <c r="A17" s="267"/>
      <c r="B17" s="460" t="s">
        <v>291</v>
      </c>
      <c r="C17" s="352"/>
      <c r="D17" s="352"/>
      <c r="E17" s="352"/>
      <c r="F17" s="352"/>
    </row>
    <row r="18" spans="1:6" ht="15" customHeight="1">
      <c r="A18" s="267"/>
      <c r="B18" s="267" t="s">
        <v>292</v>
      </c>
      <c r="D18" s="87" t="s">
        <v>293</v>
      </c>
      <c r="E18" s="87">
        <v>3</v>
      </c>
      <c r="F18" s="267"/>
    </row>
    <row r="19" spans="1:6" ht="15" customHeight="1">
      <c r="A19" s="267"/>
      <c r="B19" s="267" t="s">
        <v>294</v>
      </c>
      <c r="D19" s="87" t="s">
        <v>295</v>
      </c>
      <c r="E19" s="87">
        <v>3</v>
      </c>
      <c r="F19" s="267"/>
    </row>
    <row r="20" spans="1:6" ht="15" customHeight="1">
      <c r="A20" s="267"/>
      <c r="B20" s="267" t="s">
        <v>296</v>
      </c>
      <c r="D20" s="87" t="s">
        <v>297</v>
      </c>
      <c r="E20" s="87">
        <v>3</v>
      </c>
      <c r="F20" s="267"/>
    </row>
    <row r="21" spans="1:6" ht="15" customHeight="1">
      <c r="A21" s="267"/>
      <c r="B21" s="267" t="s">
        <v>298</v>
      </c>
      <c r="D21" s="87" t="s">
        <v>299</v>
      </c>
      <c r="E21" s="87">
        <v>3</v>
      </c>
      <c r="F21" s="267"/>
    </row>
    <row r="22" spans="1:6" ht="15" customHeight="1">
      <c r="A22" s="267"/>
      <c r="B22" s="267" t="s">
        <v>300</v>
      </c>
      <c r="D22" s="87" t="s">
        <v>301</v>
      </c>
      <c r="E22" s="87">
        <v>3</v>
      </c>
      <c r="F22" s="267"/>
    </row>
    <row r="23" spans="1:6" ht="15" customHeight="1">
      <c r="A23" s="267"/>
      <c r="B23" s="267" t="s">
        <v>302</v>
      </c>
      <c r="D23" s="87" t="s">
        <v>303</v>
      </c>
      <c r="E23" s="87">
        <v>3</v>
      </c>
      <c r="F23" s="267"/>
    </row>
    <row r="24" spans="1:6" ht="15" customHeight="1">
      <c r="A24" s="267"/>
      <c r="B24" s="267" t="s">
        <v>51</v>
      </c>
      <c r="D24" s="87" t="s">
        <v>304</v>
      </c>
      <c r="E24" s="87">
        <v>3</v>
      </c>
      <c r="F24" s="267"/>
    </row>
    <row r="25" spans="1:6" ht="12.75">
      <c r="A25" s="267"/>
      <c r="B25" s="456" t="s">
        <v>305</v>
      </c>
      <c r="C25" s="352"/>
      <c r="D25" s="352"/>
      <c r="E25" s="352"/>
      <c r="F25" s="352"/>
    </row>
    <row r="26" spans="1:6" ht="12.75">
      <c r="A26" s="267"/>
      <c r="B26" s="456" t="s">
        <v>306</v>
      </c>
      <c r="C26" s="352"/>
      <c r="D26" s="352"/>
      <c r="E26" s="352"/>
      <c r="F26" s="352"/>
    </row>
    <row r="27" spans="1:6" ht="12.75">
      <c r="A27" s="267"/>
      <c r="B27" s="267" t="s">
        <v>307</v>
      </c>
      <c r="D27" s="87" t="s">
        <v>308</v>
      </c>
      <c r="E27" s="87">
        <v>2</v>
      </c>
      <c r="F27" s="267" t="s">
        <v>309</v>
      </c>
    </row>
    <row r="28" spans="1:6" ht="12.75">
      <c r="A28" s="267"/>
      <c r="B28" s="267" t="s">
        <v>44</v>
      </c>
      <c r="D28" s="87" t="s">
        <v>310</v>
      </c>
      <c r="E28" s="87">
        <v>2</v>
      </c>
      <c r="F28" s="267" t="s">
        <v>309</v>
      </c>
    </row>
    <row r="29" spans="1:6" ht="12.75">
      <c r="A29" s="267"/>
      <c r="B29" s="267" t="s">
        <v>100</v>
      </c>
      <c r="D29" s="87" t="s">
        <v>311</v>
      </c>
      <c r="E29" s="87">
        <v>2</v>
      </c>
      <c r="F29" s="267" t="s">
        <v>312</v>
      </c>
    </row>
    <row r="30" spans="1:6" ht="12.75">
      <c r="A30" s="267"/>
      <c r="B30" s="267" t="s">
        <v>313</v>
      </c>
      <c r="D30" s="87" t="s">
        <v>314</v>
      </c>
      <c r="E30" s="87">
        <v>2</v>
      </c>
      <c r="F30" s="267" t="s">
        <v>309</v>
      </c>
    </row>
    <row r="31" spans="1:6" ht="12.75">
      <c r="A31" s="267"/>
      <c r="B31" s="267" t="s">
        <v>46</v>
      </c>
      <c r="D31" s="87" t="s">
        <v>315</v>
      </c>
      <c r="E31" s="87">
        <v>3</v>
      </c>
      <c r="F31" s="267" t="s">
        <v>316</v>
      </c>
    </row>
    <row r="32" spans="1:6" ht="12.75">
      <c r="A32" s="267"/>
      <c r="B32" s="267" t="s">
        <v>317</v>
      </c>
      <c r="D32" s="87" t="s">
        <v>318</v>
      </c>
      <c r="E32" s="87">
        <v>3</v>
      </c>
      <c r="F32" s="267" t="s">
        <v>316</v>
      </c>
    </row>
    <row r="33" spans="1:6" ht="25.5">
      <c r="A33" s="267"/>
      <c r="B33" s="271" t="s">
        <v>319</v>
      </c>
      <c r="C33" s="271"/>
      <c r="D33" s="271"/>
      <c r="E33" s="271"/>
      <c r="F33" s="271"/>
    </row>
    <row r="34" spans="1:6" ht="38.25">
      <c r="A34" s="267"/>
      <c r="B34" s="271" t="s">
        <v>320</v>
      </c>
      <c r="C34" s="271"/>
      <c r="D34" s="271"/>
      <c r="E34" s="271"/>
      <c r="F34" s="271"/>
    </row>
    <row r="35" spans="1:6" ht="12.75">
      <c r="A35" s="267"/>
      <c r="B35" s="267" t="s">
        <v>76</v>
      </c>
      <c r="D35" s="87" t="s">
        <v>321</v>
      </c>
      <c r="E35" s="87">
        <v>3</v>
      </c>
      <c r="F35" s="267" t="s">
        <v>267</v>
      </c>
    </row>
    <row r="36" spans="1:6" ht="12.75">
      <c r="A36" s="267"/>
      <c r="B36" s="267" t="s">
        <v>101</v>
      </c>
      <c r="D36" s="87" t="s">
        <v>322</v>
      </c>
      <c r="E36" s="87">
        <v>3</v>
      </c>
      <c r="F36" s="267"/>
    </row>
    <row r="37" spans="1:6" ht="12.75">
      <c r="A37" s="267"/>
      <c r="B37" s="267" t="s">
        <v>323</v>
      </c>
      <c r="D37" s="87" t="s">
        <v>324</v>
      </c>
      <c r="E37" s="87">
        <v>3</v>
      </c>
      <c r="F37" s="267"/>
    </row>
    <row r="38" spans="1:6" ht="12.75">
      <c r="A38" s="267"/>
      <c r="B38" s="267" t="s">
        <v>103</v>
      </c>
      <c r="D38" s="87" t="s">
        <v>325</v>
      </c>
      <c r="E38" s="87">
        <v>3</v>
      </c>
      <c r="F38" s="267"/>
    </row>
    <row r="39" spans="1:6" ht="12.75">
      <c r="A39" s="267"/>
      <c r="B39" s="267" t="s">
        <v>326</v>
      </c>
      <c r="D39" s="87" t="s">
        <v>327</v>
      </c>
      <c r="E39" s="87">
        <v>3</v>
      </c>
      <c r="F39" s="267"/>
    </row>
    <row r="40" spans="1:6" ht="12.75">
      <c r="A40" s="267"/>
      <c r="B40" s="267" t="s">
        <v>107</v>
      </c>
      <c r="D40" s="87" t="s">
        <v>328</v>
      </c>
      <c r="E40" s="87">
        <v>3</v>
      </c>
      <c r="F40" s="267"/>
    </row>
    <row r="41" spans="1:6" ht="12.75">
      <c r="A41" s="267"/>
      <c r="B41" s="267" t="s">
        <v>110</v>
      </c>
      <c r="D41" s="87" t="s">
        <v>329</v>
      </c>
      <c r="E41" s="87">
        <v>3</v>
      </c>
      <c r="F41" s="267"/>
    </row>
    <row r="42" spans="1:6" ht="12.75">
      <c r="A42" s="267"/>
      <c r="B42" s="267" t="s">
        <v>330</v>
      </c>
      <c r="D42" s="87" t="s">
        <v>138</v>
      </c>
      <c r="E42" s="87">
        <v>3</v>
      </c>
      <c r="F42" s="267"/>
    </row>
    <row r="43" spans="1:6" ht="12.75">
      <c r="A43" s="267"/>
      <c r="B43" s="267" t="s">
        <v>331</v>
      </c>
      <c r="D43" s="87" t="s">
        <v>332</v>
      </c>
      <c r="E43" s="87">
        <v>3</v>
      </c>
      <c r="F43" s="267"/>
    </row>
    <row r="44" spans="1:6" ht="12.75">
      <c r="A44" s="267"/>
      <c r="B44" s="267" t="s">
        <v>333</v>
      </c>
      <c r="D44" s="87" t="s">
        <v>142</v>
      </c>
      <c r="E44" s="87">
        <v>3</v>
      </c>
      <c r="F44" s="267"/>
    </row>
    <row r="45" spans="1:6" ht="12.75">
      <c r="A45" s="267"/>
      <c r="B45" s="267" t="s">
        <v>334</v>
      </c>
      <c r="D45" s="87" t="s">
        <v>145</v>
      </c>
      <c r="E45" s="87">
        <v>3</v>
      </c>
      <c r="F45" s="267"/>
    </row>
    <row r="46" spans="1:6" ht="12.75">
      <c r="A46" s="267"/>
      <c r="B46" s="267" t="s">
        <v>335</v>
      </c>
      <c r="D46" s="87" t="s">
        <v>336</v>
      </c>
      <c r="E46" s="87">
        <v>3</v>
      </c>
      <c r="F46" s="267"/>
    </row>
    <row r="47" spans="1:6" ht="12.75">
      <c r="A47" s="267"/>
      <c r="B47" s="267" t="s">
        <v>337</v>
      </c>
      <c r="D47" s="87" t="s">
        <v>338</v>
      </c>
      <c r="E47" s="87">
        <v>3</v>
      </c>
      <c r="F47" s="267"/>
    </row>
    <row r="48" spans="1:6" ht="12.75">
      <c r="A48" s="267"/>
      <c r="B48" s="267" t="s">
        <v>339</v>
      </c>
      <c r="D48" s="87" t="s">
        <v>340</v>
      </c>
      <c r="E48" s="87">
        <v>3</v>
      </c>
      <c r="F48" s="267"/>
    </row>
    <row r="49" spans="1:6" ht="12.75">
      <c r="A49" s="267"/>
      <c r="B49" s="267" t="s">
        <v>341</v>
      </c>
      <c r="D49" s="87" t="s">
        <v>342</v>
      </c>
      <c r="E49" s="87">
        <v>3</v>
      </c>
      <c r="F49" s="267"/>
    </row>
    <row r="50" spans="1:6" ht="12.75">
      <c r="A50" s="267"/>
      <c r="B50" s="456" t="s">
        <v>343</v>
      </c>
      <c r="C50" s="352"/>
      <c r="D50" s="352"/>
      <c r="E50" s="352"/>
      <c r="F50" s="352"/>
    </row>
    <row r="51" spans="1:6" ht="12.75">
      <c r="A51" s="267"/>
      <c r="B51" s="267" t="s">
        <v>344</v>
      </c>
      <c r="D51" s="87" t="s">
        <v>345</v>
      </c>
      <c r="E51" s="87">
        <v>3</v>
      </c>
      <c r="F51" s="267"/>
    </row>
    <row r="52" spans="1:6" ht="12.75">
      <c r="A52" s="267"/>
      <c r="B52" s="267" t="s">
        <v>346</v>
      </c>
      <c r="D52" s="87" t="s">
        <v>347</v>
      </c>
      <c r="E52" s="87">
        <v>3</v>
      </c>
      <c r="F52" s="267"/>
    </row>
    <row r="53" spans="1:6" ht="12.75">
      <c r="A53" s="267"/>
      <c r="B53" s="267" t="s">
        <v>348</v>
      </c>
      <c r="D53" s="87" t="s">
        <v>349</v>
      </c>
      <c r="E53" s="87">
        <v>3</v>
      </c>
      <c r="F53" s="267"/>
    </row>
    <row r="54" spans="1:6" ht="12.75">
      <c r="A54" s="267"/>
      <c r="B54" s="267" t="s">
        <v>350</v>
      </c>
      <c r="D54" s="87" t="s">
        <v>351</v>
      </c>
      <c r="E54" s="87">
        <v>3</v>
      </c>
      <c r="F54" s="267"/>
    </row>
    <row r="55" spans="1:6" ht="12.75">
      <c r="A55" s="267"/>
      <c r="B55" s="267" t="s">
        <v>352</v>
      </c>
      <c r="D55" s="87" t="s">
        <v>353</v>
      </c>
      <c r="E55" s="87">
        <v>3</v>
      </c>
      <c r="F55" s="267"/>
    </row>
    <row r="56" spans="1:6" ht="12.75">
      <c r="A56" s="267"/>
      <c r="B56" s="267" t="s">
        <v>354</v>
      </c>
      <c r="D56" s="87" t="s">
        <v>355</v>
      </c>
      <c r="E56" s="87">
        <v>3</v>
      </c>
      <c r="F56" s="267"/>
    </row>
    <row r="57" spans="1:6" ht="12.75">
      <c r="A57" s="267"/>
      <c r="B57" s="267" t="s">
        <v>114</v>
      </c>
      <c r="D57" s="87" t="s">
        <v>356</v>
      </c>
      <c r="E57" s="87">
        <v>3</v>
      </c>
      <c r="F57" s="267"/>
    </row>
    <row r="58" spans="1:6" ht="12.75">
      <c r="A58" s="267"/>
      <c r="B58" s="267" t="s">
        <v>357</v>
      </c>
      <c r="D58" s="87" t="s">
        <v>358</v>
      </c>
      <c r="E58" s="87">
        <v>3</v>
      </c>
      <c r="F58" s="267"/>
    </row>
    <row r="59" spans="1:6" ht="12.75">
      <c r="A59" s="267"/>
      <c r="B59" s="267" t="s">
        <v>359</v>
      </c>
      <c r="D59" s="87" t="s">
        <v>360</v>
      </c>
      <c r="E59" s="87">
        <v>3</v>
      </c>
      <c r="F59" s="267" t="s">
        <v>316</v>
      </c>
    </row>
    <row r="60" spans="1:6" ht="12.75">
      <c r="A60" s="267"/>
      <c r="B60" s="267" t="s">
        <v>361</v>
      </c>
      <c r="D60" s="87" t="s">
        <v>362</v>
      </c>
      <c r="E60" s="87">
        <v>3</v>
      </c>
      <c r="F60" s="267" t="s">
        <v>267</v>
      </c>
    </row>
    <row r="61" spans="1:6" ht="25.5">
      <c r="A61" s="267"/>
      <c r="B61" s="267" t="s">
        <v>363</v>
      </c>
      <c r="D61" s="87" t="s">
        <v>364</v>
      </c>
      <c r="E61" s="87">
        <v>3</v>
      </c>
      <c r="F61" s="267" t="s">
        <v>316</v>
      </c>
    </row>
    <row r="62" spans="1:6" ht="25.5">
      <c r="A62" s="267"/>
      <c r="B62" s="267" t="s">
        <v>365</v>
      </c>
      <c r="D62" s="87" t="s">
        <v>366</v>
      </c>
      <c r="E62" s="87">
        <v>3</v>
      </c>
      <c r="F62" s="267" t="s">
        <v>316</v>
      </c>
    </row>
    <row r="63" spans="1:6" ht="12.75">
      <c r="A63" s="267"/>
      <c r="B63" s="267" t="s">
        <v>367</v>
      </c>
      <c r="D63" s="87" t="s">
        <v>368</v>
      </c>
      <c r="E63" s="87">
        <v>3</v>
      </c>
      <c r="F63" s="267"/>
    </row>
    <row r="64" spans="1:6" ht="12.75">
      <c r="A64" s="267"/>
      <c r="B64" s="267" t="s">
        <v>369</v>
      </c>
      <c r="D64" s="87" t="s">
        <v>370</v>
      </c>
      <c r="E64" s="87">
        <v>3</v>
      </c>
      <c r="F64" s="267"/>
    </row>
    <row r="65" spans="1:6" ht="12.75">
      <c r="A65" s="267"/>
      <c r="B65" s="267" t="s">
        <v>371</v>
      </c>
      <c r="D65" s="87" t="s">
        <v>372</v>
      </c>
      <c r="E65" s="87">
        <v>3</v>
      </c>
      <c r="F65" s="267"/>
    </row>
    <row r="66" spans="1:6" ht="12.75">
      <c r="A66" s="267"/>
      <c r="B66" s="267" t="s">
        <v>373</v>
      </c>
      <c r="D66" s="87" t="s">
        <v>374</v>
      </c>
      <c r="E66" s="87">
        <v>3</v>
      </c>
      <c r="F66" s="267"/>
    </row>
    <row r="67" spans="1:6" ht="12.75">
      <c r="A67" s="267"/>
      <c r="B67" s="267" t="s">
        <v>375</v>
      </c>
      <c r="D67" s="87" t="s">
        <v>376</v>
      </c>
      <c r="E67" s="87">
        <v>3</v>
      </c>
      <c r="F67" s="267"/>
    </row>
    <row r="68" spans="1:6" ht="12.75">
      <c r="A68" s="267"/>
      <c r="B68" s="267" t="s">
        <v>377</v>
      </c>
      <c r="D68" s="87" t="s">
        <v>378</v>
      </c>
      <c r="E68" s="87">
        <v>3</v>
      </c>
      <c r="F68" s="267"/>
    </row>
    <row r="69" spans="1:6" ht="12.75">
      <c r="A69" s="267"/>
      <c r="B69" s="267" t="s">
        <v>379</v>
      </c>
      <c r="D69" s="87" t="s">
        <v>380</v>
      </c>
      <c r="E69" s="87">
        <v>3</v>
      </c>
      <c r="F69" s="267"/>
    </row>
    <row r="70" spans="1:6" ht="12.75">
      <c r="A70" s="267"/>
      <c r="B70" s="267" t="s">
        <v>381</v>
      </c>
      <c r="D70" s="87" t="s">
        <v>382</v>
      </c>
      <c r="E70" s="87">
        <v>3</v>
      </c>
      <c r="F70" s="267"/>
    </row>
    <row r="71" spans="1:6" ht="12.75">
      <c r="A71" s="267"/>
      <c r="B71" s="267" t="s">
        <v>383</v>
      </c>
      <c r="D71" s="87" t="s">
        <v>384</v>
      </c>
      <c r="E71" s="87">
        <v>3</v>
      </c>
      <c r="F71" s="267"/>
    </row>
    <row r="72" spans="1:6" ht="12.75">
      <c r="A72" s="267"/>
      <c r="B72" s="267"/>
      <c r="F72" s="267"/>
    </row>
    <row r="73" spans="1:6" ht="12.75">
      <c r="A73" s="267"/>
      <c r="B73" s="267"/>
      <c r="F73" s="267"/>
    </row>
    <row r="74" spans="1:6" ht="12.75">
      <c r="A74" s="267"/>
      <c r="B74" s="267"/>
      <c r="F74" s="267"/>
    </row>
    <row r="75" spans="1:6" ht="12.75">
      <c r="A75" s="267"/>
      <c r="B75" s="267"/>
      <c r="F75" s="267"/>
    </row>
    <row r="76" spans="1:6" ht="12.75">
      <c r="A76" s="267"/>
      <c r="B76" s="267"/>
      <c r="F76" s="267"/>
    </row>
    <row r="77" spans="1:6" ht="12.75">
      <c r="A77" s="267"/>
      <c r="B77" s="267"/>
      <c r="F77" s="267"/>
    </row>
    <row r="78" spans="1:6" ht="12.75">
      <c r="A78" s="267"/>
      <c r="B78" s="267"/>
      <c r="F78" s="267"/>
    </row>
    <row r="79" spans="1:6" ht="12.75">
      <c r="A79" s="267"/>
      <c r="B79" s="267"/>
      <c r="F79" s="267"/>
    </row>
    <row r="80" spans="1:6" ht="12.75">
      <c r="A80" s="267"/>
      <c r="B80" s="267"/>
      <c r="F80" s="267"/>
    </row>
    <row r="81" spans="1:6" ht="12.75">
      <c r="A81" s="267"/>
      <c r="B81" s="267"/>
      <c r="F81" s="267"/>
    </row>
    <row r="82" spans="1:6" ht="12.75">
      <c r="A82" s="267"/>
      <c r="B82" s="267"/>
      <c r="F82" s="267"/>
    </row>
    <row r="83" spans="1:6" ht="12.75">
      <c r="A83" s="267"/>
      <c r="B83" s="267"/>
      <c r="F83" s="267"/>
    </row>
    <row r="84" spans="1:6" ht="12.75">
      <c r="A84" s="267"/>
      <c r="B84" s="267"/>
      <c r="F84" s="267"/>
    </row>
    <row r="85" spans="1:6" ht="12.75">
      <c r="A85" s="267"/>
      <c r="B85" s="267"/>
      <c r="F85" s="267"/>
    </row>
    <row r="86" spans="1:6" ht="12.75">
      <c r="A86" s="267"/>
      <c r="B86" s="267"/>
      <c r="F86" s="267"/>
    </row>
    <row r="87" spans="1:6" ht="12.75">
      <c r="A87" s="267"/>
      <c r="B87" s="267"/>
      <c r="F87" s="267"/>
    </row>
    <row r="88" spans="1:6" ht="12.75">
      <c r="A88" s="267"/>
      <c r="B88" s="267"/>
      <c r="F88" s="267"/>
    </row>
    <row r="89" spans="1:6" ht="12.75">
      <c r="A89" s="267"/>
      <c r="B89" s="267"/>
      <c r="F89" s="267"/>
    </row>
    <row r="90" spans="1:6" ht="12.75">
      <c r="A90" s="267"/>
      <c r="B90" s="267"/>
      <c r="F90" s="267"/>
    </row>
    <row r="91" spans="1:6" ht="12.75">
      <c r="A91" s="267"/>
      <c r="B91" s="267"/>
      <c r="F91" s="267"/>
    </row>
    <row r="92" spans="1:6" ht="12.75">
      <c r="A92" s="267"/>
      <c r="B92" s="267"/>
      <c r="F92" s="267"/>
    </row>
    <row r="93" spans="1:6" ht="12.75">
      <c r="A93" s="267"/>
      <c r="B93" s="267"/>
      <c r="F93" s="267"/>
    </row>
    <row r="94" spans="1:6" ht="12.75">
      <c r="A94" s="267"/>
      <c r="B94" s="267"/>
      <c r="F94" s="267"/>
    </row>
    <row r="95" spans="1:6" ht="12.75">
      <c r="A95" s="267"/>
      <c r="B95" s="267"/>
      <c r="F95" s="267"/>
    </row>
    <row r="96" spans="1:6" ht="12.75">
      <c r="A96" s="267"/>
      <c r="B96" s="267"/>
      <c r="F96" s="267"/>
    </row>
    <row r="97" spans="1:6" ht="12.75">
      <c r="A97" s="267"/>
      <c r="B97" s="267"/>
      <c r="F97" s="267"/>
    </row>
    <row r="98" spans="1:6" ht="12.75">
      <c r="A98" s="267"/>
      <c r="B98" s="267"/>
      <c r="F98" s="267"/>
    </row>
    <row r="99" spans="1:6" ht="12.75">
      <c r="A99" s="267"/>
      <c r="B99" s="267"/>
      <c r="F99" s="267"/>
    </row>
    <row r="100" spans="1:6" ht="12.75">
      <c r="A100" s="267"/>
      <c r="B100" s="267"/>
      <c r="F100" s="267"/>
    </row>
    <row r="101" spans="1:6" ht="12.75">
      <c r="A101" s="267"/>
      <c r="B101" s="267"/>
      <c r="F101" s="267"/>
    </row>
    <row r="102" spans="1:6" ht="12.75">
      <c r="A102" s="267"/>
      <c r="B102" s="267"/>
      <c r="F102" s="267"/>
    </row>
    <row r="103" spans="1:6" ht="12.75">
      <c r="A103" s="267"/>
      <c r="B103" s="267"/>
      <c r="F103" s="267"/>
    </row>
    <row r="104" spans="1:6" ht="12.75">
      <c r="A104" s="267"/>
      <c r="B104" s="267"/>
      <c r="F104" s="267"/>
    </row>
    <row r="105" spans="1:6" ht="12.75">
      <c r="A105" s="267"/>
      <c r="B105" s="267"/>
      <c r="F105" s="267"/>
    </row>
    <row r="106" spans="1:6" ht="12.75">
      <c r="A106" s="267"/>
      <c r="B106" s="267"/>
      <c r="F106" s="267"/>
    </row>
    <row r="107" spans="1:6" ht="12.75">
      <c r="A107" s="267"/>
      <c r="B107" s="267"/>
      <c r="F107" s="267"/>
    </row>
    <row r="108" spans="1:6" ht="12.75">
      <c r="A108" s="267"/>
      <c r="B108" s="267"/>
      <c r="F108" s="267"/>
    </row>
    <row r="109" spans="1:6" ht="12.75">
      <c r="A109" s="267"/>
      <c r="B109" s="267"/>
      <c r="F109" s="267"/>
    </row>
    <row r="110" spans="1:6" ht="12.75">
      <c r="A110" s="267"/>
      <c r="B110" s="267"/>
      <c r="F110" s="267"/>
    </row>
    <row r="111" spans="1:6" ht="12.75">
      <c r="A111" s="267"/>
      <c r="B111" s="267"/>
      <c r="F111" s="267"/>
    </row>
    <row r="112" spans="1:6" ht="12.75">
      <c r="A112" s="267"/>
      <c r="B112" s="267"/>
      <c r="F112" s="267"/>
    </row>
    <row r="113" spans="1:6" ht="12.75">
      <c r="A113" s="267"/>
      <c r="B113" s="267"/>
      <c r="F113" s="267"/>
    </row>
    <row r="114" spans="1:6" ht="12.75">
      <c r="A114" s="267"/>
      <c r="B114" s="267"/>
      <c r="F114" s="267"/>
    </row>
    <row r="115" spans="1:6" ht="12.75">
      <c r="A115" s="267"/>
      <c r="B115" s="267"/>
      <c r="F115" s="267"/>
    </row>
    <row r="116" spans="1:6" ht="12.75">
      <c r="A116" s="267"/>
      <c r="B116" s="267"/>
      <c r="F116" s="267"/>
    </row>
    <row r="117" spans="1:6" ht="12.75">
      <c r="A117" s="267"/>
      <c r="B117" s="267"/>
      <c r="F117" s="267"/>
    </row>
    <row r="118" spans="1:6" ht="12.75">
      <c r="A118" s="267"/>
      <c r="B118" s="267"/>
      <c r="F118" s="267"/>
    </row>
    <row r="119" spans="1:6" ht="12.75">
      <c r="A119" s="267"/>
      <c r="B119" s="267"/>
      <c r="F119" s="267"/>
    </row>
    <row r="120" spans="1:6" ht="12.75">
      <c r="A120" s="267"/>
      <c r="B120" s="267"/>
      <c r="F120" s="267"/>
    </row>
    <row r="121" spans="1:6" ht="12.75">
      <c r="A121" s="267"/>
      <c r="B121" s="267"/>
      <c r="F121" s="267"/>
    </row>
    <row r="122" spans="1:6" ht="12.75">
      <c r="A122" s="267"/>
      <c r="B122" s="267"/>
      <c r="F122" s="267"/>
    </row>
    <row r="123" spans="1:6" ht="12.75">
      <c r="A123" s="267"/>
      <c r="B123" s="267"/>
      <c r="F123" s="267"/>
    </row>
    <row r="124" spans="1:6" ht="12.75">
      <c r="A124" s="267"/>
      <c r="B124" s="267"/>
      <c r="F124" s="267"/>
    </row>
    <row r="125" spans="1:6" ht="12.75">
      <c r="A125" s="267"/>
      <c r="B125" s="267"/>
      <c r="F125" s="267"/>
    </row>
    <row r="126" spans="1:6" ht="12.75">
      <c r="A126" s="267"/>
      <c r="B126" s="267"/>
      <c r="F126" s="267"/>
    </row>
    <row r="127" spans="1:6" ht="12.75">
      <c r="A127" s="267"/>
      <c r="B127" s="267"/>
      <c r="F127" s="267"/>
    </row>
    <row r="128" spans="1:6" ht="12.75">
      <c r="A128" s="267"/>
      <c r="B128" s="267"/>
      <c r="F128" s="267"/>
    </row>
    <row r="129" spans="1:6" ht="12.75">
      <c r="A129" s="267"/>
      <c r="B129" s="267"/>
      <c r="F129" s="267"/>
    </row>
    <row r="130" spans="1:6" ht="12.75">
      <c r="A130" s="267"/>
      <c r="B130" s="267"/>
      <c r="F130" s="267"/>
    </row>
    <row r="131" spans="1:6" ht="12.75">
      <c r="A131" s="267"/>
      <c r="B131" s="267"/>
      <c r="F131" s="267"/>
    </row>
    <row r="132" spans="1:6" ht="12.75">
      <c r="A132" s="267"/>
      <c r="B132" s="267"/>
      <c r="F132" s="267"/>
    </row>
    <row r="133" spans="1:6" ht="12.75">
      <c r="A133" s="267"/>
      <c r="B133" s="267"/>
      <c r="F133" s="267"/>
    </row>
    <row r="134" spans="1:6" ht="12.75">
      <c r="A134" s="267"/>
      <c r="B134" s="267"/>
      <c r="F134" s="267"/>
    </row>
    <row r="135" spans="1:6" ht="12.75">
      <c r="A135" s="267"/>
      <c r="B135" s="267"/>
      <c r="F135" s="267"/>
    </row>
    <row r="136" spans="1:6" ht="12.75">
      <c r="A136" s="267"/>
      <c r="B136" s="267"/>
      <c r="F136" s="267"/>
    </row>
    <row r="137" spans="1:6" ht="12.75">
      <c r="A137" s="267"/>
      <c r="B137" s="267"/>
      <c r="F137" s="267"/>
    </row>
    <row r="138" spans="1:6" ht="12.75">
      <c r="A138" s="267"/>
      <c r="B138" s="267"/>
      <c r="F138" s="267"/>
    </row>
    <row r="139" spans="1:6" ht="12.75">
      <c r="A139" s="267"/>
      <c r="B139" s="267"/>
      <c r="F139" s="267"/>
    </row>
    <row r="140" spans="1:6" ht="12.75">
      <c r="A140" s="267"/>
      <c r="B140" s="267"/>
      <c r="F140" s="267"/>
    </row>
    <row r="141" spans="1:6" ht="12.75">
      <c r="A141" s="267"/>
      <c r="B141" s="267"/>
      <c r="F141" s="267"/>
    </row>
    <row r="142" spans="1:6" ht="12.75">
      <c r="A142" s="267"/>
      <c r="B142" s="267"/>
      <c r="F142" s="267"/>
    </row>
    <row r="143" spans="1:6" ht="12.75">
      <c r="A143" s="267"/>
      <c r="B143" s="267"/>
      <c r="F143" s="267"/>
    </row>
    <row r="144" spans="1:6" ht="12.75">
      <c r="A144" s="267"/>
      <c r="B144" s="267"/>
      <c r="F144" s="267"/>
    </row>
    <row r="145" spans="1:6" ht="12.75">
      <c r="A145" s="267"/>
      <c r="B145" s="267"/>
      <c r="F145" s="267"/>
    </row>
    <row r="146" spans="1:6" ht="12.75">
      <c r="A146" s="267"/>
      <c r="B146" s="267"/>
      <c r="F146" s="267"/>
    </row>
    <row r="147" spans="1:6" ht="12.75">
      <c r="A147" s="267"/>
      <c r="B147" s="267"/>
      <c r="F147" s="267"/>
    </row>
    <row r="148" spans="1:6" ht="12.75">
      <c r="A148" s="267"/>
      <c r="B148" s="267"/>
      <c r="F148" s="267"/>
    </row>
    <row r="149" spans="1:6" ht="12.75">
      <c r="A149" s="267"/>
      <c r="B149" s="267"/>
      <c r="F149" s="267"/>
    </row>
    <row r="150" spans="1:6" ht="12.75">
      <c r="A150" s="267"/>
      <c r="B150" s="267"/>
      <c r="F150" s="267"/>
    </row>
    <row r="151" spans="1:6" ht="12.75">
      <c r="A151" s="267"/>
      <c r="B151" s="267"/>
      <c r="F151" s="267"/>
    </row>
    <row r="152" spans="1:6" ht="12.75">
      <c r="A152" s="267"/>
      <c r="B152" s="267"/>
      <c r="F152" s="267"/>
    </row>
    <row r="153" spans="1:6" ht="12.75">
      <c r="A153" s="267"/>
      <c r="B153" s="267"/>
      <c r="F153" s="267"/>
    </row>
    <row r="154" spans="1:6" ht="12.75">
      <c r="A154" s="267"/>
      <c r="B154" s="267"/>
      <c r="F154" s="267"/>
    </row>
    <row r="155" spans="1:6" ht="12.75">
      <c r="A155" s="267"/>
      <c r="B155" s="267"/>
      <c r="F155" s="267"/>
    </row>
    <row r="156" spans="1:6" ht="12.75">
      <c r="A156" s="267"/>
      <c r="B156" s="267"/>
      <c r="F156" s="267"/>
    </row>
    <row r="157" spans="1:6" ht="12.75">
      <c r="A157" s="267"/>
      <c r="B157" s="267"/>
      <c r="F157" s="267"/>
    </row>
    <row r="158" spans="1:6" ht="12.75">
      <c r="A158" s="267"/>
      <c r="B158" s="267"/>
      <c r="F158" s="267"/>
    </row>
    <row r="159" spans="1:6" ht="12.75">
      <c r="A159" s="267"/>
      <c r="B159" s="267"/>
      <c r="F159" s="267"/>
    </row>
    <row r="160" spans="1:6" ht="12.75">
      <c r="A160" s="267"/>
      <c r="B160" s="267"/>
      <c r="F160" s="267"/>
    </row>
    <row r="161" spans="1:6" ht="12.75">
      <c r="A161" s="267"/>
      <c r="B161" s="267"/>
      <c r="F161" s="267"/>
    </row>
    <row r="162" spans="1:6" ht="12.75">
      <c r="A162" s="267"/>
      <c r="B162" s="267"/>
      <c r="F162" s="267"/>
    </row>
    <row r="163" spans="1:6" ht="12.75">
      <c r="A163" s="267"/>
      <c r="B163" s="267"/>
      <c r="F163" s="267"/>
    </row>
    <row r="164" spans="1:6" ht="12.75">
      <c r="A164" s="267"/>
      <c r="B164" s="267"/>
      <c r="F164" s="267"/>
    </row>
    <row r="165" spans="1:6" ht="12.75">
      <c r="A165" s="267"/>
      <c r="B165" s="267"/>
      <c r="F165" s="267"/>
    </row>
    <row r="166" spans="1:6" ht="12.75">
      <c r="A166" s="267"/>
      <c r="B166" s="267"/>
      <c r="F166" s="267"/>
    </row>
    <row r="167" spans="1:6" ht="12.75">
      <c r="A167" s="267"/>
      <c r="B167" s="267"/>
      <c r="F167" s="267"/>
    </row>
    <row r="168" spans="1:6" ht="12.75">
      <c r="A168" s="267"/>
      <c r="B168" s="267"/>
      <c r="F168" s="267"/>
    </row>
    <row r="169" spans="1:6" ht="12.75">
      <c r="A169" s="267"/>
      <c r="B169" s="267"/>
      <c r="F169" s="267"/>
    </row>
    <row r="170" spans="1:6" ht="12.75">
      <c r="A170" s="267"/>
      <c r="B170" s="267"/>
      <c r="F170" s="267"/>
    </row>
    <row r="171" spans="1:6" ht="12.75">
      <c r="A171" s="267"/>
      <c r="B171" s="267"/>
      <c r="F171" s="267"/>
    </row>
    <row r="172" spans="1:6" ht="12.75">
      <c r="A172" s="267"/>
      <c r="B172" s="267"/>
      <c r="F172" s="267"/>
    </row>
    <row r="173" spans="1:6" ht="12.75">
      <c r="A173" s="267"/>
      <c r="B173" s="267"/>
      <c r="F173" s="267"/>
    </row>
    <row r="174" spans="1:6" ht="12.75">
      <c r="A174" s="267"/>
      <c r="B174" s="267"/>
      <c r="F174" s="267"/>
    </row>
    <row r="175" spans="1:6" ht="12.75">
      <c r="A175" s="267"/>
      <c r="B175" s="267"/>
      <c r="F175" s="267"/>
    </row>
    <row r="176" spans="1:6" ht="12.75">
      <c r="A176" s="267"/>
      <c r="B176" s="267"/>
      <c r="F176" s="267"/>
    </row>
    <row r="177" spans="1:6" ht="12.75">
      <c r="A177" s="267"/>
      <c r="B177" s="267"/>
      <c r="F177" s="267"/>
    </row>
    <row r="178" spans="1:6" ht="12.75">
      <c r="A178" s="267"/>
      <c r="B178" s="267"/>
      <c r="F178" s="267"/>
    </row>
    <row r="179" spans="1:6" ht="12.75">
      <c r="A179" s="267"/>
      <c r="B179" s="267"/>
      <c r="F179" s="267"/>
    </row>
    <row r="180" spans="1:6" ht="12.75">
      <c r="A180" s="267"/>
      <c r="B180" s="267"/>
      <c r="F180" s="267"/>
    </row>
    <row r="181" spans="1:6" ht="12.75">
      <c r="A181" s="267"/>
      <c r="B181" s="267"/>
      <c r="F181" s="267"/>
    </row>
    <row r="182" spans="1:6" ht="12.75">
      <c r="A182" s="267"/>
      <c r="B182" s="267"/>
      <c r="F182" s="267"/>
    </row>
    <row r="183" spans="1:6" ht="12.75">
      <c r="A183" s="267"/>
      <c r="B183" s="267"/>
      <c r="F183" s="267"/>
    </row>
    <row r="184" spans="1:6" ht="12.75">
      <c r="A184" s="267"/>
      <c r="B184" s="267"/>
      <c r="F184" s="267"/>
    </row>
    <row r="185" spans="1:6" ht="12.75">
      <c r="A185" s="267"/>
      <c r="B185" s="267"/>
      <c r="F185" s="267"/>
    </row>
    <row r="186" spans="1:6" ht="12.75">
      <c r="A186" s="267"/>
      <c r="B186" s="267"/>
      <c r="F186" s="267"/>
    </row>
    <row r="187" spans="1:6" ht="12.75">
      <c r="A187" s="267"/>
      <c r="B187" s="267"/>
      <c r="F187" s="267"/>
    </row>
    <row r="188" spans="1:6" ht="12.75">
      <c r="A188" s="267"/>
      <c r="B188" s="267"/>
      <c r="F188" s="267"/>
    </row>
    <row r="189" spans="1:6" ht="12.75">
      <c r="A189" s="267"/>
      <c r="B189" s="267"/>
      <c r="F189" s="267"/>
    </row>
    <row r="190" spans="1:6" ht="12.75">
      <c r="A190" s="267"/>
      <c r="B190" s="267"/>
      <c r="F190" s="267"/>
    </row>
    <row r="191" spans="1:6" ht="12.75">
      <c r="A191" s="267"/>
      <c r="B191" s="267"/>
      <c r="F191" s="267"/>
    </row>
    <row r="192" spans="1:6" ht="12.75">
      <c r="A192" s="267"/>
      <c r="B192" s="267"/>
      <c r="F192" s="267"/>
    </row>
    <row r="193" spans="1:6" ht="12.75">
      <c r="A193" s="267"/>
      <c r="B193" s="267"/>
      <c r="F193" s="267"/>
    </row>
    <row r="194" spans="1:6" ht="12.75">
      <c r="A194" s="267"/>
      <c r="B194" s="267"/>
      <c r="F194" s="267"/>
    </row>
    <row r="195" spans="1:6" ht="12.75">
      <c r="A195" s="267"/>
      <c r="B195" s="267"/>
      <c r="F195" s="267"/>
    </row>
    <row r="196" spans="1:6" ht="12.75">
      <c r="A196" s="267"/>
      <c r="B196" s="267"/>
      <c r="F196" s="267"/>
    </row>
    <row r="197" spans="1:6" ht="12.75">
      <c r="A197" s="267"/>
      <c r="B197" s="267"/>
      <c r="F197" s="267"/>
    </row>
    <row r="198" spans="1:6" ht="12.75">
      <c r="A198" s="267"/>
      <c r="B198" s="267"/>
      <c r="F198" s="267"/>
    </row>
    <row r="199" spans="1:6" ht="12.75">
      <c r="A199" s="267"/>
      <c r="B199" s="267"/>
      <c r="F199" s="267"/>
    </row>
    <row r="200" spans="1:6" ht="12.75">
      <c r="A200" s="267"/>
      <c r="B200" s="267"/>
      <c r="F200" s="267"/>
    </row>
    <row r="201" spans="1:6" ht="12.75">
      <c r="A201" s="267"/>
      <c r="B201" s="267"/>
      <c r="F201" s="267"/>
    </row>
    <row r="202" spans="1:6" ht="12.75">
      <c r="A202" s="267"/>
      <c r="B202" s="267"/>
      <c r="F202" s="267"/>
    </row>
    <row r="203" spans="1:6" ht="12.75">
      <c r="A203" s="267"/>
      <c r="B203" s="267"/>
      <c r="F203" s="267"/>
    </row>
    <row r="204" spans="1:6" ht="12.75">
      <c r="A204" s="267"/>
      <c r="B204" s="267"/>
      <c r="F204" s="267"/>
    </row>
    <row r="205" spans="1:6" ht="12.75">
      <c r="A205" s="267"/>
      <c r="B205" s="267"/>
      <c r="F205" s="267"/>
    </row>
    <row r="206" spans="1:6" ht="12.75">
      <c r="A206" s="267"/>
      <c r="B206" s="267"/>
      <c r="F206" s="267"/>
    </row>
    <row r="207" spans="1:6" ht="12.75">
      <c r="A207" s="267"/>
      <c r="B207" s="267"/>
      <c r="F207" s="267"/>
    </row>
    <row r="208" spans="1:6" ht="12.75">
      <c r="A208" s="267"/>
      <c r="B208" s="267"/>
      <c r="F208" s="267"/>
    </row>
    <row r="209" spans="1:6" ht="12.75">
      <c r="A209" s="267"/>
      <c r="B209" s="267"/>
      <c r="F209" s="267"/>
    </row>
    <row r="210" spans="1:6" ht="12.75">
      <c r="A210" s="267"/>
      <c r="B210" s="267"/>
      <c r="F210" s="267"/>
    </row>
    <row r="211" spans="1:6" ht="12.75">
      <c r="A211" s="267"/>
      <c r="B211" s="267"/>
      <c r="F211" s="267"/>
    </row>
    <row r="212" spans="1:6" ht="12.75">
      <c r="A212" s="267"/>
      <c r="B212" s="267"/>
      <c r="F212" s="267"/>
    </row>
    <row r="213" spans="1:6" ht="12.75">
      <c r="A213" s="267"/>
      <c r="B213" s="267"/>
      <c r="F213" s="267"/>
    </row>
    <row r="214" spans="1:6" ht="12.75">
      <c r="A214" s="267"/>
      <c r="B214" s="267"/>
      <c r="F214" s="267"/>
    </row>
    <row r="215" spans="1:6" ht="12.75">
      <c r="A215" s="267"/>
      <c r="B215" s="267"/>
      <c r="F215" s="267"/>
    </row>
    <row r="216" spans="1:6" ht="12.75">
      <c r="A216" s="267"/>
      <c r="B216" s="267"/>
      <c r="F216" s="267"/>
    </row>
    <row r="217" spans="1:6" ht="12.75">
      <c r="A217" s="267"/>
      <c r="B217" s="267"/>
      <c r="F217" s="267"/>
    </row>
    <row r="218" spans="1:6" ht="12.75">
      <c r="A218" s="267"/>
      <c r="B218" s="267"/>
      <c r="F218" s="267"/>
    </row>
    <row r="219" spans="1:6" ht="12.75">
      <c r="A219" s="267"/>
      <c r="B219" s="267"/>
      <c r="F219" s="267"/>
    </row>
    <row r="220" spans="1:6" ht="12.75">
      <c r="A220" s="267"/>
      <c r="B220" s="267"/>
      <c r="F220" s="267"/>
    </row>
    <row r="221" spans="1:6" ht="12.75">
      <c r="A221" s="267"/>
      <c r="B221" s="267"/>
      <c r="F221" s="267"/>
    </row>
    <row r="222" spans="1:6" ht="12.75">
      <c r="A222" s="267"/>
      <c r="B222" s="267"/>
      <c r="F222" s="267"/>
    </row>
    <row r="223" spans="1:6" ht="12.75">
      <c r="A223" s="267"/>
      <c r="B223" s="267"/>
      <c r="F223" s="267"/>
    </row>
    <row r="224" spans="1:6" ht="12.75">
      <c r="A224" s="267"/>
      <c r="B224" s="267"/>
      <c r="F224" s="267"/>
    </row>
    <row r="225" spans="1:6" ht="12.75">
      <c r="A225" s="267"/>
      <c r="B225" s="267"/>
      <c r="F225" s="267"/>
    </row>
    <row r="226" spans="1:6" ht="12.75">
      <c r="A226" s="267"/>
      <c r="B226" s="267"/>
      <c r="F226" s="267"/>
    </row>
    <row r="227" spans="1:6" ht="12.75">
      <c r="A227" s="267"/>
      <c r="B227" s="267"/>
      <c r="F227" s="267"/>
    </row>
    <row r="228" spans="1:6" ht="12.75">
      <c r="A228" s="267"/>
      <c r="B228" s="267"/>
      <c r="F228" s="267"/>
    </row>
    <row r="229" spans="1:6" ht="12.75">
      <c r="A229" s="267"/>
      <c r="B229" s="267"/>
      <c r="F229" s="267"/>
    </row>
    <row r="230" spans="1:6" ht="12.75">
      <c r="A230" s="267"/>
      <c r="B230" s="267"/>
      <c r="F230" s="267"/>
    </row>
    <row r="231" spans="1:6" ht="12.75">
      <c r="A231" s="267"/>
      <c r="B231" s="267"/>
      <c r="F231" s="267"/>
    </row>
    <row r="232" spans="1:6" ht="12.75">
      <c r="A232" s="267"/>
      <c r="B232" s="267"/>
      <c r="F232" s="267"/>
    </row>
    <row r="233" spans="1:6" ht="12.75">
      <c r="A233" s="267"/>
      <c r="B233" s="267"/>
      <c r="F233" s="267"/>
    </row>
    <row r="234" spans="1:6" ht="12.75">
      <c r="A234" s="267"/>
      <c r="B234" s="267"/>
      <c r="F234" s="267"/>
    </row>
    <row r="235" spans="1:6" ht="12.75">
      <c r="A235" s="267"/>
      <c r="B235" s="267"/>
      <c r="F235" s="267"/>
    </row>
    <row r="236" spans="1:6" ht="12.75">
      <c r="A236" s="267"/>
      <c r="B236" s="267"/>
      <c r="F236" s="267"/>
    </row>
    <row r="237" spans="1:6" ht="12.75">
      <c r="A237" s="267"/>
      <c r="B237" s="267"/>
      <c r="F237" s="267"/>
    </row>
    <row r="238" spans="1:6" ht="12.75">
      <c r="A238" s="267"/>
      <c r="B238" s="267"/>
      <c r="F238" s="267"/>
    </row>
    <row r="239" spans="1:6" ht="12.75">
      <c r="A239" s="267"/>
      <c r="B239" s="267"/>
      <c r="F239" s="267"/>
    </row>
    <row r="240" spans="1:6" ht="12.75">
      <c r="A240" s="267"/>
      <c r="B240" s="267"/>
      <c r="F240" s="267"/>
    </row>
    <row r="241" spans="1:6" ht="12.75">
      <c r="A241" s="267"/>
      <c r="B241" s="267"/>
      <c r="F241" s="267"/>
    </row>
    <row r="242" spans="1:6" ht="12.75">
      <c r="A242" s="267"/>
      <c r="B242" s="267"/>
      <c r="F242" s="267"/>
    </row>
    <row r="243" spans="1:6" ht="12.75">
      <c r="A243" s="267"/>
      <c r="B243" s="267"/>
      <c r="F243" s="267"/>
    </row>
    <row r="244" spans="1:6" ht="12.75">
      <c r="A244" s="267"/>
      <c r="B244" s="267"/>
      <c r="F244" s="267"/>
    </row>
    <row r="245" spans="1:6" ht="12.75">
      <c r="A245" s="267"/>
      <c r="B245" s="267"/>
      <c r="F245" s="267"/>
    </row>
    <row r="246" spans="1:6" ht="12.75">
      <c r="A246" s="267"/>
      <c r="B246" s="267"/>
      <c r="F246" s="267"/>
    </row>
    <row r="247" spans="1:6" ht="12.75">
      <c r="A247" s="267"/>
      <c r="B247" s="267"/>
      <c r="F247" s="267"/>
    </row>
    <row r="248" spans="1:6" ht="12.75">
      <c r="A248" s="267"/>
      <c r="B248" s="267"/>
      <c r="F248" s="267"/>
    </row>
    <row r="249" spans="1:6" ht="12.75">
      <c r="A249" s="267"/>
      <c r="B249" s="267"/>
      <c r="F249" s="267"/>
    </row>
    <row r="250" spans="1:6" ht="12.75">
      <c r="A250" s="267"/>
      <c r="B250" s="267"/>
      <c r="F250" s="267"/>
    </row>
    <row r="251" spans="1:6" ht="12.75">
      <c r="A251" s="267"/>
      <c r="B251" s="267"/>
      <c r="F251" s="267"/>
    </row>
    <row r="252" spans="1:6" ht="12.75">
      <c r="A252" s="267"/>
      <c r="B252" s="267"/>
      <c r="F252" s="267"/>
    </row>
    <row r="253" spans="1:6" ht="12.75">
      <c r="A253" s="267"/>
      <c r="B253" s="267"/>
      <c r="F253" s="267"/>
    </row>
    <row r="254" spans="1:6" ht="12.75">
      <c r="A254" s="267"/>
      <c r="B254" s="267"/>
      <c r="F254" s="267"/>
    </row>
    <row r="255" spans="1:6" ht="12.75">
      <c r="A255" s="267"/>
      <c r="B255" s="267"/>
      <c r="F255" s="267"/>
    </row>
    <row r="256" spans="1:6" ht="12.75">
      <c r="A256" s="267"/>
      <c r="B256" s="267"/>
      <c r="F256" s="267"/>
    </row>
    <row r="257" spans="1:6" ht="12.75">
      <c r="A257" s="267"/>
      <c r="B257" s="267"/>
      <c r="F257" s="267"/>
    </row>
    <row r="258" spans="1:6" ht="12.75">
      <c r="A258" s="267"/>
      <c r="B258" s="267"/>
      <c r="F258" s="267"/>
    </row>
    <row r="259" spans="1:6" ht="12.75">
      <c r="A259" s="267"/>
      <c r="B259" s="267"/>
      <c r="F259" s="267"/>
    </row>
    <row r="260" spans="1:6" ht="12.75">
      <c r="A260" s="267"/>
      <c r="B260" s="267"/>
      <c r="F260" s="267"/>
    </row>
    <row r="261" spans="1:6" ht="12.75">
      <c r="A261" s="267"/>
      <c r="B261" s="267"/>
      <c r="F261" s="267"/>
    </row>
    <row r="262" spans="1:6" ht="12.75">
      <c r="A262" s="267"/>
      <c r="B262" s="267"/>
      <c r="F262" s="267"/>
    </row>
    <row r="263" spans="1:6" ht="12.75">
      <c r="A263" s="267"/>
      <c r="B263" s="267"/>
      <c r="F263" s="267"/>
    </row>
    <row r="264" spans="1:6" ht="12.75">
      <c r="A264" s="267"/>
      <c r="B264" s="267"/>
      <c r="F264" s="267"/>
    </row>
    <row r="265" spans="1:6" ht="12.75">
      <c r="A265" s="267"/>
      <c r="B265" s="267"/>
      <c r="F265" s="267"/>
    </row>
    <row r="266" spans="1:6" ht="12.75">
      <c r="A266" s="267"/>
      <c r="B266" s="267"/>
      <c r="F266" s="267"/>
    </row>
    <row r="267" spans="1:6" ht="12.75">
      <c r="A267" s="267"/>
      <c r="B267" s="267"/>
      <c r="F267" s="267"/>
    </row>
    <row r="268" spans="1:6" ht="12.75">
      <c r="A268" s="267"/>
      <c r="B268" s="267"/>
      <c r="F268" s="267"/>
    </row>
    <row r="269" spans="1:6" ht="12.75">
      <c r="A269" s="267"/>
      <c r="B269" s="267"/>
      <c r="F269" s="267"/>
    </row>
    <row r="270" spans="1:6" ht="12.75">
      <c r="A270" s="267"/>
      <c r="B270" s="267"/>
      <c r="F270" s="267"/>
    </row>
    <row r="271" spans="1:6" ht="12.75">
      <c r="A271" s="267"/>
      <c r="B271" s="267"/>
      <c r="F271" s="267"/>
    </row>
    <row r="272" spans="1:6" ht="12.75">
      <c r="A272" s="267"/>
      <c r="B272" s="267"/>
      <c r="F272" s="267"/>
    </row>
    <row r="273" spans="1:6" ht="12.75">
      <c r="A273" s="267"/>
      <c r="B273" s="267"/>
      <c r="F273" s="267"/>
    </row>
    <row r="274" spans="1:6" ht="12.75">
      <c r="A274" s="267"/>
      <c r="B274" s="267"/>
      <c r="F274" s="267"/>
    </row>
    <row r="275" spans="1:6" ht="12.75">
      <c r="A275" s="267"/>
      <c r="B275" s="267"/>
      <c r="F275" s="267"/>
    </row>
    <row r="276" spans="1:6" ht="12.75">
      <c r="A276" s="267"/>
      <c r="B276" s="267"/>
      <c r="F276" s="267"/>
    </row>
    <row r="277" spans="1:6" ht="12.75">
      <c r="A277" s="267"/>
      <c r="B277" s="267"/>
      <c r="F277" s="267"/>
    </row>
    <row r="278" spans="1:6" ht="12.75">
      <c r="A278" s="267"/>
      <c r="B278" s="267"/>
      <c r="F278" s="267"/>
    </row>
    <row r="279" spans="1:6" ht="12.75">
      <c r="A279" s="267"/>
      <c r="B279" s="267"/>
      <c r="F279" s="267"/>
    </row>
    <row r="280" spans="1:6" ht="12.75">
      <c r="A280" s="267"/>
      <c r="B280" s="267"/>
      <c r="F280" s="267"/>
    </row>
    <row r="281" spans="1:6" ht="12.75">
      <c r="A281" s="267"/>
      <c r="B281" s="267"/>
      <c r="F281" s="267"/>
    </row>
    <row r="282" spans="1:6" ht="12.75">
      <c r="A282" s="267"/>
      <c r="B282" s="267"/>
      <c r="F282" s="267"/>
    </row>
    <row r="283" spans="1:6" ht="12.75">
      <c r="A283" s="267"/>
      <c r="B283" s="267"/>
      <c r="F283" s="267"/>
    </row>
    <row r="284" spans="1:6" ht="12.75">
      <c r="A284" s="267"/>
      <c r="B284" s="267"/>
      <c r="F284" s="267"/>
    </row>
    <row r="285" spans="1:6" ht="12.75">
      <c r="A285" s="267"/>
      <c r="B285" s="267"/>
      <c r="F285" s="267"/>
    </row>
    <row r="286" spans="1:6" ht="12.75">
      <c r="A286" s="267"/>
      <c r="B286" s="267"/>
      <c r="F286" s="267"/>
    </row>
    <row r="287" spans="1:6" ht="12.75">
      <c r="A287" s="267"/>
      <c r="B287" s="267"/>
      <c r="F287" s="267"/>
    </row>
    <row r="288" spans="1:6" ht="12.75">
      <c r="A288" s="267"/>
      <c r="B288" s="267"/>
      <c r="F288" s="267"/>
    </row>
    <row r="289" spans="1:6" ht="12.75">
      <c r="A289" s="267"/>
      <c r="B289" s="267"/>
      <c r="F289" s="267"/>
    </row>
    <row r="290" spans="1:6" ht="12.75">
      <c r="A290" s="267"/>
      <c r="B290" s="267"/>
      <c r="F290" s="267"/>
    </row>
    <row r="291" spans="1:6" ht="12.75">
      <c r="A291" s="267"/>
      <c r="B291" s="267"/>
      <c r="F291" s="267"/>
    </row>
    <row r="292" spans="1:6" ht="12.75">
      <c r="A292" s="267"/>
      <c r="B292" s="267"/>
      <c r="F292" s="267"/>
    </row>
    <row r="293" spans="1:6" ht="12.75">
      <c r="A293" s="267"/>
      <c r="B293" s="267"/>
      <c r="F293" s="267"/>
    </row>
    <row r="294" spans="1:6" ht="12.75">
      <c r="A294" s="267"/>
      <c r="B294" s="267"/>
      <c r="F294" s="267"/>
    </row>
    <row r="295" spans="1:6" ht="12.75">
      <c r="A295" s="267"/>
      <c r="B295" s="267"/>
      <c r="F295" s="267"/>
    </row>
    <row r="296" spans="1:6" ht="12.75">
      <c r="A296" s="267"/>
      <c r="B296" s="267"/>
      <c r="F296" s="267"/>
    </row>
    <row r="297" spans="1:6" ht="12.75">
      <c r="A297" s="267"/>
      <c r="B297" s="267"/>
      <c r="F297" s="267"/>
    </row>
    <row r="298" spans="1:6" ht="12.75">
      <c r="A298" s="267"/>
      <c r="B298" s="267"/>
      <c r="F298" s="267"/>
    </row>
    <row r="299" spans="1:6" ht="12.75">
      <c r="A299" s="267"/>
      <c r="B299" s="267"/>
      <c r="F299" s="267"/>
    </row>
    <row r="300" spans="1:6" ht="12.75">
      <c r="A300" s="267"/>
      <c r="B300" s="267"/>
      <c r="F300" s="267"/>
    </row>
    <row r="301" spans="1:6" ht="12.75">
      <c r="A301" s="267"/>
      <c r="B301" s="267"/>
      <c r="F301" s="267"/>
    </row>
    <row r="302" spans="1:6" ht="12.75">
      <c r="A302" s="267"/>
      <c r="B302" s="267"/>
      <c r="F302" s="267"/>
    </row>
    <row r="303" spans="1:6" ht="12.75">
      <c r="A303" s="267"/>
      <c r="B303" s="267"/>
      <c r="F303" s="267"/>
    </row>
    <row r="304" spans="1:6" ht="12.75">
      <c r="A304" s="267"/>
      <c r="B304" s="267"/>
      <c r="F304" s="267"/>
    </row>
    <row r="305" spans="1:6" ht="12.75">
      <c r="A305" s="267"/>
      <c r="B305" s="267"/>
      <c r="F305" s="267"/>
    </row>
    <row r="306" spans="1:6" ht="12.75">
      <c r="A306" s="267"/>
      <c r="B306" s="267"/>
      <c r="F306" s="267"/>
    </row>
    <row r="307" spans="1:6" ht="12.75">
      <c r="A307" s="267"/>
      <c r="B307" s="267"/>
      <c r="F307" s="267"/>
    </row>
    <row r="308" spans="1:6" ht="12.75">
      <c r="A308" s="267"/>
      <c r="B308" s="267"/>
      <c r="F308" s="267"/>
    </row>
    <row r="309" spans="1:6" ht="12.75">
      <c r="A309" s="267"/>
      <c r="B309" s="267"/>
      <c r="F309" s="267"/>
    </row>
    <row r="310" spans="1:6" ht="12.75">
      <c r="A310" s="267"/>
      <c r="B310" s="267"/>
      <c r="F310" s="267"/>
    </row>
    <row r="311" spans="1:6" ht="12.75">
      <c r="A311" s="267"/>
      <c r="B311" s="267"/>
      <c r="F311" s="267"/>
    </row>
    <row r="312" spans="1:6" ht="12.75">
      <c r="A312" s="267"/>
      <c r="B312" s="267"/>
      <c r="F312" s="267"/>
    </row>
    <row r="313" spans="1:6" ht="12.75">
      <c r="A313" s="267"/>
      <c r="B313" s="267"/>
      <c r="F313" s="267"/>
    </row>
    <row r="314" spans="1:6" ht="12.75">
      <c r="A314" s="267"/>
      <c r="B314" s="267"/>
      <c r="F314" s="267"/>
    </row>
    <row r="315" spans="1:6" ht="12.75">
      <c r="A315" s="267"/>
      <c r="B315" s="267"/>
      <c r="F315" s="267"/>
    </row>
    <row r="316" spans="1:6" ht="12.75">
      <c r="A316" s="267"/>
      <c r="B316" s="267"/>
      <c r="F316" s="267"/>
    </row>
    <row r="317" spans="1:6" ht="12.75">
      <c r="A317" s="267"/>
      <c r="B317" s="267"/>
      <c r="F317" s="267"/>
    </row>
    <row r="318" spans="1:6" ht="12.75">
      <c r="A318" s="267"/>
      <c r="B318" s="267"/>
      <c r="F318" s="267"/>
    </row>
    <row r="319" spans="1:6" ht="12.75">
      <c r="A319" s="267"/>
      <c r="B319" s="267"/>
      <c r="F319" s="267"/>
    </row>
    <row r="320" spans="1:6" ht="12.75">
      <c r="A320" s="267"/>
      <c r="B320" s="267"/>
      <c r="F320" s="267"/>
    </row>
    <row r="321" spans="1:6" ht="12.75">
      <c r="A321" s="267"/>
      <c r="B321" s="267"/>
      <c r="F321" s="267"/>
    </row>
    <row r="322" spans="1:6" ht="12.75">
      <c r="A322" s="267"/>
      <c r="B322" s="267"/>
      <c r="F322" s="267"/>
    </row>
    <row r="323" spans="1:6" ht="12.75">
      <c r="A323" s="267"/>
      <c r="B323" s="267"/>
      <c r="F323" s="267"/>
    </row>
    <row r="324" spans="1:6" ht="12.75">
      <c r="A324" s="267"/>
      <c r="B324" s="267"/>
      <c r="F324" s="267"/>
    </row>
    <row r="325" spans="1:6" ht="12.75">
      <c r="A325" s="267"/>
      <c r="B325" s="267"/>
      <c r="F325" s="267"/>
    </row>
    <row r="326" spans="1:6" ht="12.75">
      <c r="A326" s="267"/>
      <c r="B326" s="267"/>
      <c r="F326" s="267"/>
    </row>
    <row r="327" spans="1:6" ht="12.75">
      <c r="A327" s="267"/>
      <c r="B327" s="267"/>
      <c r="F327" s="267"/>
    </row>
    <row r="328" spans="1:6" ht="12.75">
      <c r="A328" s="267"/>
      <c r="B328" s="267"/>
      <c r="F328" s="267"/>
    </row>
    <row r="329" spans="1:6" ht="12.75">
      <c r="A329" s="267"/>
      <c r="B329" s="267"/>
      <c r="F329" s="267"/>
    </row>
    <row r="330" spans="1:6" ht="12.75">
      <c r="A330" s="267"/>
      <c r="B330" s="267"/>
      <c r="F330" s="267"/>
    </row>
    <row r="331" spans="1:6" ht="12.75">
      <c r="A331" s="267"/>
      <c r="B331" s="267"/>
      <c r="F331" s="267"/>
    </row>
    <row r="332" spans="1:6" ht="12.75">
      <c r="A332" s="267"/>
      <c r="B332" s="267"/>
      <c r="F332" s="267"/>
    </row>
    <row r="333" spans="1:6" ht="12.75">
      <c r="A333" s="267"/>
      <c r="B333" s="267"/>
      <c r="F333" s="267"/>
    </row>
    <row r="334" spans="1:6" ht="12.75">
      <c r="A334" s="267"/>
      <c r="B334" s="267"/>
      <c r="F334" s="267"/>
    </row>
    <row r="335" spans="1:6" ht="12.75">
      <c r="A335" s="267"/>
      <c r="B335" s="267"/>
      <c r="F335" s="267"/>
    </row>
    <row r="336" spans="1:6" ht="12.75">
      <c r="A336" s="267"/>
      <c r="B336" s="267"/>
      <c r="F336" s="267"/>
    </row>
    <row r="337" spans="1:6" ht="12.75">
      <c r="A337" s="267"/>
      <c r="B337" s="267"/>
      <c r="F337" s="267"/>
    </row>
    <row r="338" spans="1:6" ht="12.75">
      <c r="A338" s="267"/>
      <c r="B338" s="267"/>
      <c r="F338" s="267"/>
    </row>
    <row r="339" spans="1:6" ht="12.75">
      <c r="A339" s="267"/>
      <c r="B339" s="267"/>
      <c r="F339" s="267"/>
    </row>
    <row r="340" spans="1:6" ht="12.75">
      <c r="A340" s="267"/>
      <c r="B340" s="267"/>
      <c r="F340" s="267"/>
    </row>
    <row r="341" spans="1:6" ht="12.75">
      <c r="A341" s="267"/>
      <c r="B341" s="267"/>
      <c r="F341" s="267"/>
    </row>
    <row r="342" spans="1:6" ht="12.75">
      <c r="A342" s="267"/>
      <c r="B342" s="267"/>
      <c r="F342" s="267"/>
    </row>
    <row r="343" spans="1:6" ht="12.75">
      <c r="A343" s="267"/>
      <c r="B343" s="267"/>
      <c r="F343" s="267"/>
    </row>
    <row r="344" spans="1:6" ht="12.75">
      <c r="A344" s="267"/>
      <c r="B344" s="267"/>
      <c r="F344" s="267"/>
    </row>
    <row r="345" spans="1:6" ht="12.75">
      <c r="A345" s="267"/>
      <c r="B345" s="267"/>
      <c r="F345" s="267"/>
    </row>
    <row r="346" spans="1:6" ht="12.75">
      <c r="A346" s="267"/>
      <c r="B346" s="267"/>
      <c r="F346" s="267"/>
    </row>
    <row r="347" spans="1:6" ht="12.75">
      <c r="A347" s="267"/>
      <c r="B347" s="267"/>
      <c r="F347" s="267"/>
    </row>
    <row r="348" spans="1:6" ht="12.75">
      <c r="A348" s="267"/>
      <c r="B348" s="267"/>
      <c r="F348" s="267"/>
    </row>
    <row r="349" spans="1:6" ht="12.75">
      <c r="A349" s="267"/>
      <c r="B349" s="267"/>
      <c r="F349" s="267"/>
    </row>
    <row r="350" spans="1:6" ht="12.75">
      <c r="A350" s="267"/>
      <c r="B350" s="267"/>
      <c r="F350" s="267"/>
    </row>
    <row r="351" spans="1:6" ht="12.75">
      <c r="A351" s="267"/>
      <c r="B351" s="267"/>
      <c r="F351" s="267"/>
    </row>
    <row r="352" spans="1:6" ht="12.75">
      <c r="A352" s="267"/>
      <c r="B352" s="267"/>
      <c r="F352" s="267"/>
    </row>
    <row r="353" spans="1:6" ht="12.75">
      <c r="A353" s="267"/>
      <c r="B353" s="267"/>
      <c r="F353" s="267"/>
    </row>
    <row r="354" spans="1:6" ht="12.75">
      <c r="A354" s="267"/>
      <c r="B354" s="267"/>
      <c r="F354" s="267"/>
    </row>
    <row r="355" spans="1:6" ht="12.75">
      <c r="A355" s="267"/>
      <c r="B355" s="267"/>
      <c r="F355" s="267"/>
    </row>
    <row r="356" spans="1:6" ht="12.75">
      <c r="A356" s="267"/>
      <c r="B356" s="267"/>
      <c r="F356" s="267"/>
    </row>
    <row r="357" spans="1:6" ht="12.75">
      <c r="A357" s="267"/>
      <c r="B357" s="267"/>
      <c r="F357" s="267"/>
    </row>
    <row r="358" spans="1:6" ht="12.75">
      <c r="A358" s="267"/>
      <c r="B358" s="267"/>
      <c r="F358" s="267"/>
    </row>
    <row r="359" spans="1:6" ht="12.75">
      <c r="A359" s="267"/>
      <c r="B359" s="267"/>
      <c r="F359" s="267"/>
    </row>
    <row r="360" spans="1:6" ht="12.75">
      <c r="A360" s="267"/>
      <c r="B360" s="267"/>
      <c r="F360" s="267"/>
    </row>
    <row r="361" spans="1:6" ht="12.75">
      <c r="A361" s="267"/>
      <c r="B361" s="267"/>
      <c r="F361" s="267"/>
    </row>
    <row r="362" spans="1:6" ht="12.75">
      <c r="A362" s="267"/>
      <c r="B362" s="267"/>
      <c r="F362" s="267"/>
    </row>
    <row r="363" spans="1:6" ht="12.75">
      <c r="A363" s="267"/>
      <c r="B363" s="267"/>
      <c r="F363" s="267"/>
    </row>
    <row r="364" spans="1:6" ht="12.75">
      <c r="A364" s="267"/>
      <c r="B364" s="267"/>
      <c r="F364" s="267"/>
    </row>
    <row r="365" spans="1:6" ht="12.75">
      <c r="A365" s="267"/>
      <c r="B365" s="267"/>
      <c r="F365" s="267"/>
    </row>
    <row r="366" spans="1:6" ht="12.75">
      <c r="A366" s="267"/>
      <c r="B366" s="267"/>
      <c r="F366" s="267"/>
    </row>
    <row r="367" spans="1:6" ht="12.75">
      <c r="A367" s="267"/>
      <c r="B367" s="267"/>
      <c r="F367" s="267"/>
    </row>
    <row r="368" spans="1:6" ht="12.75">
      <c r="A368" s="267"/>
      <c r="B368" s="267"/>
      <c r="F368" s="267"/>
    </row>
    <row r="369" spans="1:6" ht="12.75">
      <c r="A369" s="267"/>
      <c r="B369" s="267"/>
      <c r="F369" s="267"/>
    </row>
    <row r="370" spans="1:6" ht="12.75">
      <c r="A370" s="267"/>
      <c r="B370" s="267"/>
      <c r="F370" s="267"/>
    </row>
    <row r="371" spans="1:6" ht="12.75">
      <c r="A371" s="267"/>
      <c r="B371" s="267"/>
      <c r="F371" s="267"/>
    </row>
    <row r="372" spans="1:6" ht="12.75">
      <c r="A372" s="267"/>
      <c r="B372" s="267"/>
      <c r="F372" s="267"/>
    </row>
    <row r="373" spans="1:6" ht="12.75">
      <c r="A373" s="267"/>
      <c r="B373" s="267"/>
      <c r="F373" s="267"/>
    </row>
    <row r="374" spans="1:6" ht="12.75">
      <c r="A374" s="267"/>
      <c r="B374" s="267"/>
      <c r="F374" s="267"/>
    </row>
    <row r="375" spans="1:6" ht="12.75">
      <c r="A375" s="267"/>
      <c r="B375" s="267"/>
      <c r="F375" s="267"/>
    </row>
    <row r="376" spans="1:6" ht="12.75">
      <c r="A376" s="267"/>
      <c r="B376" s="267"/>
      <c r="F376" s="267"/>
    </row>
    <row r="377" spans="1:6" ht="12.75">
      <c r="A377" s="267"/>
      <c r="B377" s="267"/>
      <c r="F377" s="267"/>
    </row>
    <row r="378" spans="1:6" ht="12.75">
      <c r="A378" s="267"/>
      <c r="B378" s="267"/>
      <c r="F378" s="267"/>
    </row>
    <row r="379" spans="1:6" ht="12.75">
      <c r="A379" s="267"/>
      <c r="B379" s="267"/>
      <c r="F379" s="267"/>
    </row>
    <row r="380" spans="1:6" ht="12.75">
      <c r="A380" s="267"/>
      <c r="B380" s="267"/>
      <c r="F380" s="267"/>
    </row>
    <row r="381" spans="1:6" ht="12.75">
      <c r="A381" s="267"/>
      <c r="B381" s="267"/>
      <c r="F381" s="267"/>
    </row>
    <row r="382" spans="1:6" ht="12.75">
      <c r="A382" s="267"/>
      <c r="B382" s="267"/>
      <c r="F382" s="267"/>
    </row>
    <row r="383" spans="1:6" ht="12.75">
      <c r="A383" s="267"/>
      <c r="B383" s="267"/>
      <c r="F383" s="267"/>
    </row>
    <row r="384" spans="1:6" ht="12.75">
      <c r="A384" s="267"/>
      <c r="B384" s="267"/>
      <c r="F384" s="267"/>
    </row>
    <row r="385" spans="1:6" ht="12.75">
      <c r="A385" s="267"/>
      <c r="B385" s="267"/>
      <c r="F385" s="267"/>
    </row>
    <row r="386" spans="1:6" ht="12.75">
      <c r="A386" s="267"/>
      <c r="B386" s="267"/>
      <c r="F386" s="267"/>
    </row>
    <row r="387" spans="1:6" ht="12.75">
      <c r="A387" s="267"/>
      <c r="B387" s="267"/>
      <c r="F387" s="267"/>
    </row>
    <row r="388" spans="1:6" ht="12.75">
      <c r="A388" s="267"/>
      <c r="B388" s="267"/>
      <c r="F388" s="267"/>
    </row>
    <row r="389" spans="1:6" ht="12.75">
      <c r="A389" s="267"/>
      <c r="B389" s="267"/>
      <c r="F389" s="267"/>
    </row>
    <row r="390" spans="1:6" ht="12.75">
      <c r="A390" s="267"/>
      <c r="B390" s="267"/>
      <c r="F390" s="267"/>
    </row>
    <row r="391" spans="1:6" ht="12.75">
      <c r="A391" s="267"/>
      <c r="B391" s="267"/>
      <c r="F391" s="267"/>
    </row>
    <row r="392" spans="1:6" ht="12.75">
      <c r="A392" s="267"/>
      <c r="B392" s="267"/>
      <c r="F392" s="267"/>
    </row>
    <row r="393" spans="1:6" ht="12.75">
      <c r="A393" s="267"/>
      <c r="B393" s="267"/>
      <c r="F393" s="267"/>
    </row>
    <row r="394" spans="1:6" ht="12.75">
      <c r="A394" s="267"/>
      <c r="B394" s="267"/>
      <c r="F394" s="267"/>
    </row>
    <row r="395" spans="1:6" ht="12.75">
      <c r="A395" s="267"/>
      <c r="B395" s="267"/>
      <c r="F395" s="267"/>
    </row>
    <row r="396" spans="1:6" ht="12.75">
      <c r="A396" s="267"/>
      <c r="B396" s="267"/>
      <c r="F396" s="267"/>
    </row>
    <row r="397" spans="1:6" ht="12.75">
      <c r="A397" s="267"/>
      <c r="B397" s="267"/>
      <c r="F397" s="267"/>
    </row>
    <row r="398" spans="1:6" ht="12.75">
      <c r="A398" s="267"/>
      <c r="B398" s="267"/>
      <c r="F398" s="267"/>
    </row>
    <row r="399" spans="1:6" ht="12.75">
      <c r="A399" s="267"/>
      <c r="B399" s="267"/>
      <c r="F399" s="267"/>
    </row>
    <row r="400" spans="1:6" ht="12.75">
      <c r="A400" s="267"/>
      <c r="B400" s="267"/>
      <c r="F400" s="267"/>
    </row>
    <row r="401" spans="1:6" ht="12.75">
      <c r="A401" s="267"/>
      <c r="B401" s="267"/>
      <c r="F401" s="267"/>
    </row>
    <row r="402" spans="1:6" ht="12.75">
      <c r="A402" s="267"/>
      <c r="B402" s="267"/>
      <c r="F402" s="267"/>
    </row>
    <row r="403" spans="1:6" ht="12.75">
      <c r="A403" s="267"/>
      <c r="B403" s="267"/>
      <c r="F403" s="267"/>
    </row>
    <row r="404" spans="1:6" ht="12.75">
      <c r="A404" s="267"/>
      <c r="B404" s="267"/>
      <c r="F404" s="267"/>
    </row>
    <row r="405" spans="1:6" ht="12.75">
      <c r="A405" s="267"/>
      <c r="B405" s="267"/>
      <c r="F405" s="267"/>
    </row>
    <row r="406" spans="1:6" ht="12.75">
      <c r="A406" s="267"/>
      <c r="B406" s="267"/>
      <c r="F406" s="267"/>
    </row>
    <row r="407" spans="1:6" ht="12.75">
      <c r="A407" s="267"/>
      <c r="B407" s="267"/>
      <c r="F407" s="267"/>
    </row>
    <row r="408" spans="1:6" ht="12.75">
      <c r="A408" s="267"/>
      <c r="B408" s="267"/>
      <c r="F408" s="267"/>
    </row>
    <row r="409" spans="1:6" ht="12.75">
      <c r="A409" s="267"/>
      <c r="B409" s="267"/>
      <c r="F409" s="267"/>
    </row>
    <row r="410" spans="1:6" ht="12.75">
      <c r="A410" s="267"/>
      <c r="B410" s="267"/>
      <c r="F410" s="267"/>
    </row>
    <row r="411" spans="1:6" ht="12.75">
      <c r="A411" s="267"/>
      <c r="B411" s="267"/>
      <c r="F411" s="267"/>
    </row>
    <row r="412" spans="1:6" ht="12.75">
      <c r="A412" s="267"/>
      <c r="B412" s="267"/>
      <c r="F412" s="267"/>
    </row>
    <row r="413" spans="1:6" ht="12.75">
      <c r="A413" s="267"/>
      <c r="B413" s="267"/>
      <c r="F413" s="267"/>
    </row>
    <row r="414" spans="1:6" ht="12.75">
      <c r="A414" s="267"/>
      <c r="B414" s="267"/>
      <c r="F414" s="267"/>
    </row>
    <row r="415" spans="1:6" ht="12.75">
      <c r="A415" s="267"/>
      <c r="B415" s="267"/>
      <c r="F415" s="267"/>
    </row>
    <row r="416" spans="1:6" ht="12.75">
      <c r="A416" s="267"/>
      <c r="B416" s="267"/>
      <c r="F416" s="267"/>
    </row>
    <row r="417" spans="1:6" ht="12.75">
      <c r="A417" s="267"/>
      <c r="B417" s="267"/>
      <c r="F417" s="267"/>
    </row>
    <row r="418" spans="1:6" ht="12.75">
      <c r="A418" s="267"/>
      <c r="B418" s="267"/>
      <c r="F418" s="267"/>
    </row>
    <row r="419" spans="1:6" ht="12.75">
      <c r="A419" s="267"/>
      <c r="B419" s="267"/>
      <c r="F419" s="267"/>
    </row>
    <row r="420" spans="1:6" ht="12.75">
      <c r="A420" s="267"/>
      <c r="B420" s="267"/>
      <c r="F420" s="267"/>
    </row>
    <row r="421" spans="1:6" ht="12.75">
      <c r="A421" s="267"/>
      <c r="B421" s="267"/>
      <c r="F421" s="267"/>
    </row>
    <row r="422" spans="1:6" ht="12.75">
      <c r="A422" s="267"/>
      <c r="B422" s="267"/>
      <c r="F422" s="267"/>
    </row>
    <row r="423" spans="1:6" ht="12.75">
      <c r="A423" s="267"/>
      <c r="B423" s="267"/>
      <c r="F423" s="267"/>
    </row>
    <row r="424" spans="1:6" ht="12.75">
      <c r="A424" s="267"/>
      <c r="B424" s="267"/>
      <c r="F424" s="267"/>
    </row>
    <row r="425" spans="1:6" ht="12.75">
      <c r="A425" s="267"/>
      <c r="B425" s="267"/>
      <c r="F425" s="267"/>
    </row>
    <row r="426" spans="1:6" ht="12.75">
      <c r="A426" s="267"/>
      <c r="B426" s="267"/>
      <c r="F426" s="267"/>
    </row>
    <row r="427" spans="1:6" ht="12.75">
      <c r="A427" s="267"/>
      <c r="B427" s="267"/>
      <c r="F427" s="267"/>
    </row>
    <row r="428" spans="1:6" ht="12.75">
      <c r="A428" s="267"/>
      <c r="B428" s="267"/>
      <c r="F428" s="267"/>
    </row>
    <row r="429" spans="1:6" ht="12.75">
      <c r="A429" s="267"/>
      <c r="B429" s="267"/>
      <c r="F429" s="267"/>
    </row>
    <row r="430" spans="1:6" ht="12.75">
      <c r="A430" s="267"/>
      <c r="B430" s="267"/>
      <c r="F430" s="267"/>
    </row>
    <row r="431" spans="1:6" ht="12.75">
      <c r="A431" s="267"/>
      <c r="B431" s="267"/>
      <c r="F431" s="267"/>
    </row>
    <row r="432" spans="1:6" ht="12.75">
      <c r="A432" s="267"/>
      <c r="B432" s="267"/>
      <c r="F432" s="267"/>
    </row>
    <row r="433" spans="1:6" ht="12.75">
      <c r="A433" s="267"/>
      <c r="B433" s="267"/>
      <c r="F433" s="267"/>
    </row>
    <row r="434" spans="1:6" ht="12.75">
      <c r="A434" s="267"/>
      <c r="B434" s="267"/>
      <c r="F434" s="267"/>
    </row>
    <row r="435" spans="1:6" ht="12.75">
      <c r="A435" s="267"/>
      <c r="B435" s="267"/>
      <c r="F435" s="267"/>
    </row>
    <row r="436" spans="1:6" ht="12.75">
      <c r="A436" s="267"/>
      <c r="B436" s="267"/>
      <c r="F436" s="267"/>
    </row>
    <row r="437" spans="1:6" ht="12.75">
      <c r="A437" s="267"/>
      <c r="B437" s="267"/>
      <c r="F437" s="267"/>
    </row>
    <row r="438" spans="1:6" ht="12.75">
      <c r="A438" s="267"/>
      <c r="B438" s="267"/>
      <c r="F438" s="267"/>
    </row>
    <row r="439" spans="1:6" ht="12.75">
      <c r="A439" s="267"/>
      <c r="B439" s="267"/>
      <c r="F439" s="267"/>
    </row>
    <row r="440" spans="1:6" ht="12.75">
      <c r="A440" s="267"/>
      <c r="B440" s="267"/>
      <c r="F440" s="267"/>
    </row>
    <row r="441" spans="1:6" ht="12.75">
      <c r="A441" s="267"/>
      <c r="B441" s="267"/>
      <c r="F441" s="267"/>
    </row>
    <row r="442" spans="1:6" ht="12.75">
      <c r="A442" s="267"/>
      <c r="B442" s="267"/>
      <c r="F442" s="267"/>
    </row>
    <row r="443" spans="1:6" ht="12.75">
      <c r="A443" s="267"/>
      <c r="B443" s="267"/>
      <c r="F443" s="267"/>
    </row>
    <row r="444" spans="1:6" ht="12.75">
      <c r="A444" s="267"/>
      <c r="B444" s="267"/>
      <c r="F444" s="267"/>
    </row>
    <row r="445" spans="1:6" ht="12.75">
      <c r="A445" s="267"/>
      <c r="B445" s="267"/>
      <c r="F445" s="267"/>
    </row>
    <row r="446" spans="1:6" ht="12.75">
      <c r="A446" s="267"/>
      <c r="B446" s="267"/>
      <c r="F446" s="267"/>
    </row>
    <row r="447" spans="1:6" ht="12.75">
      <c r="A447" s="267"/>
      <c r="B447" s="267"/>
      <c r="F447" s="267"/>
    </row>
    <row r="448" spans="1:6" ht="12.75">
      <c r="A448" s="267"/>
      <c r="B448" s="267"/>
      <c r="F448" s="267"/>
    </row>
    <row r="449" spans="1:6" ht="12.75">
      <c r="A449" s="267"/>
      <c r="B449" s="267"/>
      <c r="F449" s="267"/>
    </row>
    <row r="450" spans="1:6" ht="12.75">
      <c r="A450" s="267"/>
      <c r="B450" s="267"/>
      <c r="F450" s="267"/>
    </row>
    <row r="451" spans="1:6" ht="12.75">
      <c r="A451" s="267"/>
      <c r="B451" s="267"/>
      <c r="F451" s="267"/>
    </row>
    <row r="452" spans="1:6" ht="12.75">
      <c r="A452" s="267"/>
      <c r="B452" s="267"/>
      <c r="F452" s="267"/>
    </row>
    <row r="453" spans="1:6" ht="12.75">
      <c r="A453" s="267"/>
      <c r="B453" s="267"/>
      <c r="F453" s="267"/>
    </row>
    <row r="454" spans="1:6" ht="12.75">
      <c r="A454" s="267"/>
      <c r="B454" s="267"/>
      <c r="F454" s="267"/>
    </row>
    <row r="455" spans="1:6" ht="12.75">
      <c r="A455" s="267"/>
      <c r="B455" s="267"/>
      <c r="F455" s="267"/>
    </row>
    <row r="456" spans="1:6" ht="12.75">
      <c r="A456" s="267"/>
      <c r="B456" s="267"/>
      <c r="F456" s="267"/>
    </row>
    <row r="457" spans="1:6" ht="12.75">
      <c r="A457" s="267"/>
      <c r="B457" s="267"/>
      <c r="F457" s="267"/>
    </row>
    <row r="458" spans="1:6" ht="12.75">
      <c r="A458" s="267"/>
      <c r="B458" s="267"/>
      <c r="F458" s="267"/>
    </row>
    <row r="459" spans="1:6" ht="12.75">
      <c r="A459" s="267"/>
      <c r="B459" s="267"/>
      <c r="F459" s="267"/>
    </row>
    <row r="460" spans="1:6" ht="12.75">
      <c r="A460" s="267"/>
      <c r="B460" s="267"/>
      <c r="F460" s="267"/>
    </row>
    <row r="461" spans="1:6" ht="12.75">
      <c r="A461" s="267"/>
      <c r="B461" s="267"/>
      <c r="F461" s="267"/>
    </row>
    <row r="462" spans="1:6" ht="12.75">
      <c r="A462" s="267"/>
      <c r="B462" s="267"/>
      <c r="F462" s="267"/>
    </row>
    <row r="463" spans="1:6" ht="12.75">
      <c r="A463" s="267"/>
      <c r="B463" s="267"/>
      <c r="F463" s="267"/>
    </row>
    <row r="464" spans="1:6" ht="12.75">
      <c r="A464" s="267"/>
      <c r="B464" s="267"/>
      <c r="F464" s="267"/>
    </row>
    <row r="465" spans="1:6" ht="12.75">
      <c r="A465" s="267"/>
      <c r="B465" s="267"/>
      <c r="F465" s="267"/>
    </row>
    <row r="466" spans="1:6" ht="12.75">
      <c r="A466" s="267"/>
      <c r="B466" s="267"/>
      <c r="F466" s="267"/>
    </row>
    <row r="467" spans="1:6" ht="12.75">
      <c r="A467" s="267"/>
      <c r="B467" s="267"/>
      <c r="F467" s="267"/>
    </row>
    <row r="468" spans="1:6" ht="12.75">
      <c r="A468" s="267"/>
      <c r="B468" s="267"/>
      <c r="F468" s="267"/>
    </row>
    <row r="469" spans="1:6" ht="12.75">
      <c r="A469" s="267"/>
      <c r="B469" s="267"/>
      <c r="F469" s="267"/>
    </row>
    <row r="470" spans="1:6" ht="12.75">
      <c r="A470" s="267"/>
      <c r="B470" s="267"/>
      <c r="F470" s="267"/>
    </row>
    <row r="471" spans="1:6" ht="12.75">
      <c r="A471" s="267"/>
      <c r="B471" s="267"/>
      <c r="F471" s="267"/>
    </row>
    <row r="472" spans="1:6" ht="12.75">
      <c r="A472" s="267"/>
      <c r="B472" s="267"/>
      <c r="F472" s="267"/>
    </row>
    <row r="473" spans="1:6" ht="12.75">
      <c r="A473" s="267"/>
      <c r="B473" s="267"/>
      <c r="F473" s="267"/>
    </row>
    <row r="474" spans="1:6" ht="12.75">
      <c r="A474" s="267"/>
      <c r="B474" s="267"/>
      <c r="F474" s="267"/>
    </row>
    <row r="475" spans="1:6" ht="12.75">
      <c r="A475" s="267"/>
      <c r="B475" s="267"/>
      <c r="F475" s="267"/>
    </row>
    <row r="476" spans="1:6" ht="12.75">
      <c r="A476" s="267"/>
      <c r="B476" s="267"/>
      <c r="F476" s="267"/>
    </row>
    <row r="477" spans="1:6" ht="12.75">
      <c r="A477" s="267"/>
      <c r="B477" s="267"/>
      <c r="F477" s="267"/>
    </row>
    <row r="478" spans="1:6" ht="12.75">
      <c r="A478" s="267"/>
      <c r="B478" s="267"/>
      <c r="F478" s="267"/>
    </row>
    <row r="479" spans="1:6" ht="12.75">
      <c r="A479" s="267"/>
      <c r="B479" s="267"/>
      <c r="F479" s="267"/>
    </row>
    <row r="480" spans="1:6" ht="12.75">
      <c r="A480" s="267"/>
      <c r="B480" s="267"/>
      <c r="F480" s="267"/>
    </row>
    <row r="481" spans="1:6" ht="12.75">
      <c r="A481" s="267"/>
      <c r="B481" s="267"/>
      <c r="F481" s="267"/>
    </row>
    <row r="482" spans="1:6" ht="12.75">
      <c r="A482" s="267"/>
      <c r="B482" s="267"/>
      <c r="F482" s="267"/>
    </row>
    <row r="483" spans="1:6" ht="12.75">
      <c r="A483" s="267"/>
      <c r="B483" s="267"/>
      <c r="F483" s="267"/>
    </row>
    <row r="484" spans="1:6" ht="12.75">
      <c r="A484" s="267"/>
      <c r="B484" s="267"/>
      <c r="F484" s="267"/>
    </row>
    <row r="485" spans="1:6" ht="12.75">
      <c r="A485" s="267"/>
      <c r="B485" s="267"/>
      <c r="F485" s="267"/>
    </row>
    <row r="486" spans="1:6" ht="12.75">
      <c r="A486" s="267"/>
      <c r="B486" s="267"/>
      <c r="F486" s="267"/>
    </row>
    <row r="487" spans="1:6" ht="12.75">
      <c r="A487" s="267"/>
      <c r="B487" s="267"/>
      <c r="F487" s="267"/>
    </row>
    <row r="488" spans="1:6" ht="12.75">
      <c r="A488" s="267"/>
      <c r="B488" s="267"/>
      <c r="F488" s="267"/>
    </row>
    <row r="489" spans="1:6" ht="12.75">
      <c r="A489" s="267"/>
      <c r="B489" s="267"/>
      <c r="F489" s="267"/>
    </row>
    <row r="490" spans="1:6" ht="12.75">
      <c r="A490" s="267"/>
      <c r="B490" s="267"/>
      <c r="F490" s="267"/>
    </row>
    <row r="491" spans="1:6" ht="12.75">
      <c r="A491" s="267"/>
      <c r="B491" s="267"/>
      <c r="F491" s="267"/>
    </row>
    <row r="492" spans="1:6" ht="12.75">
      <c r="A492" s="267"/>
      <c r="B492" s="267"/>
      <c r="F492" s="267"/>
    </row>
    <row r="493" spans="1:6" ht="12.75">
      <c r="A493" s="267"/>
      <c r="B493" s="267"/>
      <c r="F493" s="267"/>
    </row>
    <row r="494" spans="1:6" ht="12.75">
      <c r="A494" s="267"/>
      <c r="B494" s="267"/>
      <c r="F494" s="267"/>
    </row>
    <row r="495" spans="1:6" ht="12.75">
      <c r="A495" s="267"/>
      <c r="B495" s="267"/>
      <c r="F495" s="267"/>
    </row>
    <row r="496" spans="1:6" ht="12.75">
      <c r="A496" s="267"/>
      <c r="B496" s="267"/>
      <c r="F496" s="267"/>
    </row>
    <row r="497" spans="1:6" ht="12.75">
      <c r="A497" s="267"/>
      <c r="B497" s="267"/>
      <c r="F497" s="267"/>
    </row>
    <row r="498" spans="1:6" ht="12.75">
      <c r="A498" s="267"/>
      <c r="B498" s="267"/>
      <c r="F498" s="267"/>
    </row>
    <row r="499" spans="1:6" ht="12.75">
      <c r="A499" s="267"/>
      <c r="B499" s="267"/>
      <c r="F499" s="267"/>
    </row>
    <row r="500" spans="1:6" ht="12.75">
      <c r="A500" s="267"/>
      <c r="B500" s="267"/>
      <c r="F500" s="267"/>
    </row>
    <row r="501" spans="1:6" ht="12.75">
      <c r="A501" s="267"/>
      <c r="B501" s="267"/>
      <c r="F501" s="267"/>
    </row>
    <row r="502" spans="1:6" ht="12.75">
      <c r="A502" s="267"/>
      <c r="B502" s="267"/>
      <c r="F502" s="267"/>
    </row>
    <row r="503" spans="1:6" ht="12.75">
      <c r="A503" s="267"/>
      <c r="B503" s="267"/>
      <c r="F503" s="267"/>
    </row>
    <row r="504" spans="1:6" ht="12.75">
      <c r="A504" s="267"/>
      <c r="B504" s="267"/>
      <c r="F504" s="267"/>
    </row>
    <row r="505" spans="1:6" ht="12.75">
      <c r="A505" s="267"/>
      <c r="B505" s="267"/>
      <c r="F505" s="267"/>
    </row>
    <row r="506" spans="1:6" ht="12.75">
      <c r="A506" s="267"/>
      <c r="B506" s="267"/>
      <c r="F506" s="267"/>
    </row>
    <row r="507" spans="1:6" ht="12.75">
      <c r="A507" s="267"/>
      <c r="B507" s="267"/>
      <c r="F507" s="267"/>
    </row>
    <row r="508" spans="1:6" ht="12.75">
      <c r="A508" s="267"/>
      <c r="B508" s="267"/>
      <c r="F508" s="267"/>
    </row>
    <row r="509" spans="1:6" ht="12.75">
      <c r="A509" s="267"/>
      <c r="B509" s="267"/>
      <c r="F509" s="267"/>
    </row>
    <row r="510" spans="1:6" ht="12.75">
      <c r="A510" s="267"/>
      <c r="B510" s="267"/>
      <c r="F510" s="267"/>
    </row>
    <row r="511" spans="1:6" ht="12.75">
      <c r="A511" s="267"/>
      <c r="B511" s="267"/>
      <c r="F511" s="267"/>
    </row>
    <row r="512" spans="1:6" ht="12.75">
      <c r="A512" s="267"/>
      <c r="B512" s="267"/>
      <c r="F512" s="267"/>
    </row>
    <row r="513" spans="1:6" ht="12.75">
      <c r="A513" s="267"/>
      <c r="B513" s="267"/>
      <c r="F513" s="267"/>
    </row>
    <row r="514" spans="1:6" ht="12.75">
      <c r="A514" s="267"/>
      <c r="B514" s="267"/>
      <c r="F514" s="267"/>
    </row>
    <row r="515" spans="1:6" ht="12.75">
      <c r="A515" s="267"/>
      <c r="B515" s="267"/>
      <c r="F515" s="267"/>
    </row>
    <row r="516" spans="1:6" ht="12.75">
      <c r="A516" s="267"/>
      <c r="B516" s="267"/>
      <c r="F516" s="267"/>
    </row>
    <row r="517" spans="1:6" ht="12.75">
      <c r="A517" s="267"/>
      <c r="B517" s="267"/>
      <c r="F517" s="267"/>
    </row>
    <row r="518" spans="1:6" ht="12.75">
      <c r="A518" s="267"/>
      <c r="B518" s="267"/>
      <c r="F518" s="267"/>
    </row>
    <row r="519" spans="1:6" ht="12.75">
      <c r="A519" s="267"/>
      <c r="B519" s="267"/>
      <c r="F519" s="267"/>
    </row>
    <row r="520" spans="1:6" ht="12.75">
      <c r="A520" s="267"/>
      <c r="B520" s="267"/>
      <c r="F520" s="267"/>
    </row>
    <row r="521" spans="1:6" ht="12.75">
      <c r="A521" s="267"/>
      <c r="B521" s="267"/>
      <c r="F521" s="267"/>
    </row>
    <row r="522" spans="1:6" ht="12.75">
      <c r="A522" s="267"/>
      <c r="B522" s="267"/>
      <c r="F522" s="267"/>
    </row>
    <row r="523" spans="1:6" ht="12.75">
      <c r="A523" s="267"/>
      <c r="B523" s="267"/>
      <c r="F523" s="267"/>
    </row>
    <row r="524" spans="1:6" ht="12.75">
      <c r="A524" s="267"/>
      <c r="B524" s="267"/>
      <c r="F524" s="267"/>
    </row>
    <row r="525" spans="1:6" ht="12.75">
      <c r="A525" s="267"/>
      <c r="B525" s="267"/>
      <c r="F525" s="267"/>
    </row>
    <row r="526" spans="1:6" ht="12.75">
      <c r="A526" s="267"/>
      <c r="B526" s="267"/>
      <c r="F526" s="267"/>
    </row>
    <row r="527" spans="1:6" ht="12.75">
      <c r="A527" s="267"/>
      <c r="B527" s="267"/>
      <c r="F527" s="267"/>
    </row>
    <row r="528" spans="1:6" ht="12.75">
      <c r="A528" s="267"/>
      <c r="B528" s="267"/>
      <c r="F528" s="267"/>
    </row>
    <row r="529" spans="1:6" ht="12.75">
      <c r="A529" s="267"/>
      <c r="B529" s="267"/>
      <c r="F529" s="267"/>
    </row>
    <row r="530" spans="1:6" ht="12.75">
      <c r="A530" s="267"/>
      <c r="B530" s="267"/>
      <c r="F530" s="267"/>
    </row>
    <row r="531" spans="1:6" ht="12.75">
      <c r="A531" s="267"/>
      <c r="B531" s="267"/>
      <c r="F531" s="267"/>
    </row>
    <row r="532" spans="1:6" ht="12.75">
      <c r="A532" s="267"/>
      <c r="B532" s="267"/>
      <c r="F532" s="267"/>
    </row>
    <row r="533" spans="1:6" ht="12.75">
      <c r="A533" s="267"/>
      <c r="B533" s="267"/>
      <c r="F533" s="267"/>
    </row>
    <row r="534" spans="1:6" ht="12.75">
      <c r="A534" s="267"/>
      <c r="B534" s="267"/>
      <c r="F534" s="267"/>
    </row>
    <row r="535" spans="1:6" ht="12.75">
      <c r="A535" s="267"/>
      <c r="B535" s="267"/>
      <c r="F535" s="267"/>
    </row>
    <row r="536" spans="1:6" ht="12.75">
      <c r="A536" s="267"/>
      <c r="B536" s="267"/>
      <c r="F536" s="267"/>
    </row>
    <row r="537" spans="1:6" ht="12.75">
      <c r="A537" s="267"/>
      <c r="B537" s="267"/>
      <c r="F537" s="267"/>
    </row>
    <row r="538" spans="1:6" ht="12.75">
      <c r="A538" s="267"/>
      <c r="B538" s="267"/>
      <c r="F538" s="267"/>
    </row>
    <row r="539" spans="1:6" ht="12.75">
      <c r="A539" s="267"/>
      <c r="B539" s="267"/>
      <c r="F539" s="267"/>
    </row>
    <row r="540" spans="1:6" ht="12.75">
      <c r="A540" s="267"/>
      <c r="B540" s="267"/>
      <c r="F540" s="267"/>
    </row>
    <row r="541" spans="1:6" ht="12.75">
      <c r="A541" s="267"/>
      <c r="B541" s="267"/>
      <c r="F541" s="267"/>
    </row>
    <row r="542" spans="1:6" ht="12.75">
      <c r="A542" s="267"/>
      <c r="B542" s="267"/>
      <c r="F542" s="267"/>
    </row>
    <row r="543" spans="1:6" ht="12.75">
      <c r="A543" s="267"/>
      <c r="B543" s="267"/>
      <c r="F543" s="267"/>
    </row>
    <row r="544" spans="1:6" ht="12.75">
      <c r="A544" s="267"/>
      <c r="B544" s="267"/>
      <c r="F544" s="267"/>
    </row>
    <row r="545" spans="1:6" ht="12.75">
      <c r="A545" s="267"/>
      <c r="B545" s="267"/>
      <c r="F545" s="267"/>
    </row>
    <row r="546" spans="1:6" ht="12.75">
      <c r="A546" s="267"/>
      <c r="B546" s="267"/>
      <c r="F546" s="267"/>
    </row>
    <row r="547" spans="1:6" ht="12.75">
      <c r="A547" s="267"/>
      <c r="B547" s="267"/>
      <c r="F547" s="267"/>
    </row>
    <row r="548" spans="1:6" ht="12.75">
      <c r="A548" s="267"/>
      <c r="B548" s="267"/>
      <c r="F548" s="267"/>
    </row>
    <row r="549" spans="1:6" ht="12.75">
      <c r="A549" s="267"/>
      <c r="B549" s="267"/>
      <c r="F549" s="267"/>
    </row>
    <row r="550" spans="1:6" ht="12.75">
      <c r="A550" s="267"/>
      <c r="B550" s="267"/>
      <c r="F550" s="267"/>
    </row>
    <row r="551" spans="1:6" ht="12.75">
      <c r="A551" s="267"/>
      <c r="B551" s="267"/>
      <c r="F551" s="267"/>
    </row>
    <row r="552" spans="1:6" ht="12.75">
      <c r="A552" s="267"/>
      <c r="B552" s="267"/>
      <c r="F552" s="267"/>
    </row>
    <row r="553" spans="1:6" ht="12.75">
      <c r="A553" s="267"/>
      <c r="B553" s="267"/>
      <c r="F553" s="267"/>
    </row>
    <row r="554" spans="1:6" ht="12.75">
      <c r="A554" s="267"/>
      <c r="B554" s="267"/>
      <c r="F554" s="267"/>
    </row>
    <row r="555" spans="1:6" ht="12.75">
      <c r="A555" s="267"/>
      <c r="B555" s="267"/>
      <c r="F555" s="267"/>
    </row>
    <row r="556" spans="1:6" ht="12.75">
      <c r="A556" s="267"/>
      <c r="B556" s="267"/>
      <c r="F556" s="267"/>
    </row>
    <row r="557" spans="1:6" ht="12.75">
      <c r="A557" s="267"/>
      <c r="B557" s="267"/>
      <c r="F557" s="267"/>
    </row>
    <row r="558" spans="1:6" ht="12.75">
      <c r="A558" s="267"/>
      <c r="B558" s="267"/>
      <c r="F558" s="267"/>
    </row>
    <row r="559" spans="1:6" ht="12.75">
      <c r="A559" s="267"/>
      <c r="B559" s="267"/>
      <c r="F559" s="267"/>
    </row>
    <row r="560" spans="1:6" ht="12.75">
      <c r="A560" s="267"/>
      <c r="B560" s="267"/>
      <c r="F560" s="267"/>
    </row>
    <row r="561" spans="1:6" ht="12.75">
      <c r="A561" s="267"/>
      <c r="B561" s="267"/>
      <c r="F561" s="267"/>
    </row>
    <row r="562" spans="1:6" ht="12.75">
      <c r="A562" s="267"/>
      <c r="B562" s="267"/>
      <c r="F562" s="267"/>
    </row>
    <row r="563" spans="1:6" ht="12.75">
      <c r="A563" s="267"/>
      <c r="B563" s="267"/>
      <c r="F563" s="267"/>
    </row>
    <row r="564" spans="1:6" ht="12.75">
      <c r="A564" s="267"/>
      <c r="B564" s="267"/>
      <c r="F564" s="267"/>
    </row>
    <row r="565" spans="1:6" ht="12.75">
      <c r="A565" s="267"/>
      <c r="B565" s="267"/>
      <c r="F565" s="267"/>
    </row>
    <row r="566" spans="1:6" ht="12.75">
      <c r="A566" s="267"/>
      <c r="B566" s="267"/>
      <c r="F566" s="267"/>
    </row>
    <row r="567" spans="1:6" ht="12.75">
      <c r="A567" s="267"/>
      <c r="B567" s="267"/>
      <c r="F567" s="267"/>
    </row>
    <row r="568" spans="1:6" ht="12.75">
      <c r="A568" s="267"/>
      <c r="B568" s="267"/>
      <c r="F568" s="267"/>
    </row>
    <row r="569" spans="1:6" ht="12.75">
      <c r="A569" s="267"/>
      <c r="B569" s="267"/>
      <c r="F569" s="267"/>
    </row>
    <row r="570" spans="1:6" ht="12.75">
      <c r="A570" s="267"/>
      <c r="B570" s="267"/>
      <c r="F570" s="267"/>
    </row>
    <row r="571" spans="1:6" ht="12.75">
      <c r="A571" s="267"/>
      <c r="B571" s="267"/>
      <c r="F571" s="267"/>
    </row>
    <row r="572" spans="1:6" ht="12.75">
      <c r="A572" s="267"/>
      <c r="B572" s="267"/>
      <c r="F572" s="267"/>
    </row>
    <row r="573" spans="1:6" ht="12.75">
      <c r="A573" s="267"/>
      <c r="B573" s="267"/>
      <c r="F573" s="267"/>
    </row>
    <row r="574" spans="1:6" ht="12.75">
      <c r="A574" s="267"/>
      <c r="B574" s="267"/>
      <c r="F574" s="267"/>
    </row>
    <row r="575" spans="1:6" ht="12.75">
      <c r="A575" s="267"/>
      <c r="B575" s="267"/>
      <c r="F575" s="267"/>
    </row>
    <row r="576" spans="1:6" ht="12.75">
      <c r="A576" s="267"/>
      <c r="B576" s="267"/>
      <c r="F576" s="267"/>
    </row>
    <row r="577" spans="1:6" ht="12.75">
      <c r="A577" s="267"/>
      <c r="B577" s="267"/>
      <c r="F577" s="267"/>
    </row>
    <row r="578" spans="1:6" ht="12.75">
      <c r="A578" s="267"/>
      <c r="B578" s="267"/>
      <c r="F578" s="267"/>
    </row>
    <row r="579" spans="1:6" ht="12.75">
      <c r="A579" s="267"/>
      <c r="B579" s="267"/>
      <c r="F579" s="267"/>
    </row>
    <row r="580" spans="1:6" ht="12.75">
      <c r="A580" s="267"/>
      <c r="B580" s="267"/>
      <c r="F580" s="267"/>
    </row>
    <row r="581" spans="1:6" ht="12.75">
      <c r="A581" s="267"/>
      <c r="B581" s="267"/>
      <c r="F581" s="267"/>
    </row>
    <row r="582" spans="1:6" ht="12.75">
      <c r="A582" s="267"/>
      <c r="B582" s="267"/>
      <c r="F582" s="267"/>
    </row>
    <row r="583" spans="1:6" ht="12.75">
      <c r="A583" s="267"/>
      <c r="B583" s="267"/>
      <c r="F583" s="267"/>
    </row>
    <row r="584" spans="1:6" ht="12.75">
      <c r="A584" s="267"/>
      <c r="B584" s="267"/>
      <c r="F584" s="267"/>
    </row>
    <row r="585" spans="1:6" ht="12.75">
      <c r="A585" s="267"/>
      <c r="B585" s="267"/>
      <c r="F585" s="267"/>
    </row>
    <row r="586" spans="1:6" ht="12.75">
      <c r="A586" s="267"/>
      <c r="B586" s="267"/>
      <c r="F586" s="267"/>
    </row>
    <row r="587" spans="1:6" ht="12.75">
      <c r="A587" s="267"/>
      <c r="B587" s="267"/>
      <c r="F587" s="267"/>
    </row>
    <row r="588" spans="1:6" ht="12.75">
      <c r="A588" s="267"/>
      <c r="B588" s="267"/>
      <c r="F588" s="267"/>
    </row>
    <row r="589" spans="1:6" ht="12.75">
      <c r="A589" s="267"/>
      <c r="B589" s="267"/>
      <c r="F589" s="267"/>
    </row>
    <row r="590" spans="1:6" ht="12.75">
      <c r="A590" s="267"/>
      <c r="B590" s="267"/>
      <c r="F590" s="267"/>
    </row>
    <row r="591" spans="1:6" ht="12.75">
      <c r="A591" s="267"/>
      <c r="B591" s="267"/>
      <c r="F591" s="267"/>
    </row>
    <row r="592" spans="1:6" ht="12.75">
      <c r="A592" s="267"/>
      <c r="B592" s="267"/>
      <c r="F592" s="267"/>
    </row>
    <row r="593" spans="1:6" ht="12.75">
      <c r="A593" s="267"/>
      <c r="B593" s="267"/>
      <c r="F593" s="267"/>
    </row>
    <row r="594" spans="1:6" ht="12.75">
      <c r="A594" s="267"/>
      <c r="B594" s="267"/>
      <c r="F594" s="267"/>
    </row>
    <row r="595" spans="1:6" ht="12.75">
      <c r="A595" s="267"/>
      <c r="B595" s="267"/>
      <c r="F595" s="267"/>
    </row>
    <row r="596" spans="1:6" ht="12.75">
      <c r="A596" s="267"/>
      <c r="B596" s="267"/>
      <c r="F596" s="267"/>
    </row>
    <row r="597" spans="1:6" ht="12.75">
      <c r="A597" s="267"/>
      <c r="B597" s="267"/>
      <c r="F597" s="267"/>
    </row>
    <row r="598" spans="1:6" ht="12.75">
      <c r="A598" s="267"/>
      <c r="B598" s="267"/>
      <c r="F598" s="267"/>
    </row>
    <row r="599" spans="1:6" ht="12.75">
      <c r="A599" s="267"/>
      <c r="B599" s="267"/>
      <c r="F599" s="267"/>
    </row>
    <row r="600" spans="1:6" ht="12.75">
      <c r="A600" s="267"/>
      <c r="B600" s="267"/>
      <c r="F600" s="267"/>
    </row>
    <row r="601" spans="1:6" ht="12.75">
      <c r="A601" s="267"/>
      <c r="B601" s="267"/>
      <c r="F601" s="267"/>
    </row>
    <row r="602" spans="1:6" ht="12.75">
      <c r="A602" s="267"/>
      <c r="B602" s="267"/>
      <c r="F602" s="267"/>
    </row>
    <row r="603" spans="1:6" ht="12.75">
      <c r="A603" s="267"/>
      <c r="B603" s="267"/>
      <c r="F603" s="267"/>
    </row>
    <row r="604" spans="1:6" ht="12.75">
      <c r="A604" s="267"/>
      <c r="B604" s="267"/>
      <c r="F604" s="267"/>
    </row>
    <row r="605" spans="1:6" ht="12.75">
      <c r="A605" s="267"/>
      <c r="B605" s="267"/>
      <c r="F605" s="267"/>
    </row>
    <row r="606" spans="1:6" ht="12.75">
      <c r="A606" s="267"/>
      <c r="B606" s="267"/>
      <c r="F606" s="267"/>
    </row>
    <row r="607" spans="1:6" ht="12.75">
      <c r="A607" s="267"/>
      <c r="B607" s="267"/>
      <c r="F607" s="267"/>
    </row>
    <row r="608" spans="1:6" ht="12.75">
      <c r="A608" s="267"/>
      <c r="B608" s="267"/>
      <c r="F608" s="267"/>
    </row>
    <row r="609" spans="1:6" ht="12.75">
      <c r="A609" s="267"/>
      <c r="B609" s="267"/>
      <c r="F609" s="267"/>
    </row>
    <row r="610" spans="1:6" ht="12.75">
      <c r="A610" s="267"/>
      <c r="B610" s="267"/>
      <c r="F610" s="267"/>
    </row>
    <row r="611" spans="1:6" ht="12.75">
      <c r="A611" s="267"/>
      <c r="B611" s="267"/>
      <c r="F611" s="267"/>
    </row>
    <row r="612" spans="1:6" ht="12.75">
      <c r="A612" s="267"/>
      <c r="B612" s="267"/>
      <c r="F612" s="267"/>
    </row>
    <row r="613" spans="1:6" ht="12.75">
      <c r="A613" s="267"/>
      <c r="B613" s="267"/>
      <c r="F613" s="267"/>
    </row>
    <row r="614" spans="1:6" ht="12.75">
      <c r="A614" s="267"/>
      <c r="B614" s="267"/>
      <c r="F614" s="267"/>
    </row>
    <row r="615" spans="1:6" ht="12.75">
      <c r="A615" s="267"/>
      <c r="B615" s="267"/>
      <c r="F615" s="267"/>
    </row>
    <row r="616" spans="1:6" ht="12.75">
      <c r="A616" s="267"/>
      <c r="B616" s="267"/>
      <c r="F616" s="267"/>
    </row>
    <row r="617" spans="1:6" ht="12.75">
      <c r="A617" s="267"/>
      <c r="B617" s="267"/>
      <c r="F617" s="267"/>
    </row>
    <row r="618" spans="1:6" ht="12.75">
      <c r="A618" s="267"/>
      <c r="B618" s="267"/>
      <c r="F618" s="267"/>
    </row>
    <row r="619" spans="1:6" ht="12.75">
      <c r="A619" s="267"/>
      <c r="B619" s="267"/>
      <c r="F619" s="267"/>
    </row>
    <row r="620" spans="1:6" ht="12.75">
      <c r="A620" s="267"/>
      <c r="B620" s="267"/>
      <c r="F620" s="267"/>
    </row>
    <row r="621" spans="1:6" ht="12.75">
      <c r="A621" s="267"/>
      <c r="B621" s="267"/>
      <c r="F621" s="267"/>
    </row>
    <row r="622" spans="1:6" ht="12.75">
      <c r="A622" s="267"/>
      <c r="B622" s="267"/>
      <c r="F622" s="267"/>
    </row>
    <row r="623" spans="1:6" ht="12.75">
      <c r="A623" s="267"/>
      <c r="B623" s="267"/>
      <c r="F623" s="267"/>
    </row>
    <row r="624" spans="1:6" ht="12.75">
      <c r="A624" s="267"/>
      <c r="B624" s="267"/>
      <c r="F624" s="267"/>
    </row>
    <row r="625" spans="1:6" ht="12.75">
      <c r="A625" s="267"/>
      <c r="B625" s="267"/>
      <c r="F625" s="267"/>
    </row>
    <row r="626" spans="1:6" ht="12.75">
      <c r="A626" s="267"/>
      <c r="B626" s="267"/>
      <c r="F626" s="267"/>
    </row>
    <row r="627" spans="1:6" ht="12.75">
      <c r="A627" s="267"/>
      <c r="B627" s="267"/>
      <c r="F627" s="267"/>
    </row>
    <row r="628" spans="1:6" ht="12.75">
      <c r="A628" s="267"/>
      <c r="B628" s="267"/>
      <c r="F628" s="267"/>
    </row>
    <row r="629" spans="1:6" ht="12.75">
      <c r="A629" s="267"/>
      <c r="B629" s="267"/>
      <c r="F629" s="267"/>
    </row>
    <row r="630" spans="1:6" ht="12.75">
      <c r="A630" s="267"/>
      <c r="B630" s="267"/>
      <c r="F630" s="267"/>
    </row>
    <row r="631" spans="1:6" ht="12.75">
      <c r="A631" s="267"/>
      <c r="B631" s="267"/>
      <c r="F631" s="267"/>
    </row>
    <row r="632" spans="1:6" ht="12.75">
      <c r="A632" s="267"/>
      <c r="B632" s="267"/>
      <c r="F632" s="267"/>
    </row>
    <row r="633" spans="1:6" ht="12.75">
      <c r="A633" s="267"/>
      <c r="B633" s="267"/>
      <c r="F633" s="267"/>
    </row>
    <row r="634" spans="1:6" ht="12.75">
      <c r="A634" s="267"/>
      <c r="B634" s="267"/>
      <c r="F634" s="267"/>
    </row>
    <row r="635" spans="1:6" ht="12.75">
      <c r="A635" s="267"/>
      <c r="B635" s="267"/>
      <c r="F635" s="267"/>
    </row>
    <row r="636" spans="1:6" ht="12.75">
      <c r="A636" s="267"/>
      <c r="B636" s="267"/>
      <c r="F636" s="267"/>
    </row>
    <row r="637" spans="1:6" ht="12.75">
      <c r="A637" s="267"/>
      <c r="B637" s="267"/>
      <c r="F637" s="267"/>
    </row>
    <row r="638" spans="1:6" ht="12.75">
      <c r="A638" s="267"/>
      <c r="B638" s="267"/>
      <c r="F638" s="267"/>
    </row>
    <row r="639" spans="1:6" ht="12.75">
      <c r="A639" s="267"/>
      <c r="B639" s="267"/>
      <c r="F639" s="267"/>
    </row>
    <row r="640" spans="1:6" ht="12.75">
      <c r="A640" s="267"/>
      <c r="B640" s="267"/>
      <c r="F640" s="267"/>
    </row>
    <row r="641" spans="1:6" ht="12.75">
      <c r="A641" s="267"/>
      <c r="B641" s="267"/>
      <c r="F641" s="267"/>
    </row>
    <row r="642" spans="1:6" ht="12.75">
      <c r="A642" s="267"/>
      <c r="B642" s="267"/>
      <c r="F642" s="267"/>
    </row>
    <row r="643" spans="1:6" ht="12.75">
      <c r="A643" s="267"/>
      <c r="B643" s="267"/>
      <c r="F643" s="267"/>
    </row>
    <row r="644" spans="1:6" ht="12.75">
      <c r="A644" s="267"/>
      <c r="B644" s="267"/>
      <c r="F644" s="267"/>
    </row>
    <row r="645" spans="1:6" ht="12.75">
      <c r="A645" s="267"/>
      <c r="B645" s="267"/>
      <c r="F645" s="267"/>
    </row>
    <row r="646" spans="1:6" ht="12.75">
      <c r="A646" s="267"/>
      <c r="B646" s="267"/>
      <c r="F646" s="267"/>
    </row>
    <row r="647" spans="1:6" ht="12.75">
      <c r="A647" s="267"/>
      <c r="B647" s="267"/>
      <c r="F647" s="267"/>
    </row>
    <row r="648" spans="1:6" ht="12.75">
      <c r="A648" s="267"/>
      <c r="B648" s="267"/>
      <c r="F648" s="267"/>
    </row>
    <row r="649" spans="1:6" ht="12.75">
      <c r="A649" s="267"/>
      <c r="B649" s="267"/>
      <c r="F649" s="267"/>
    </row>
    <row r="650" spans="1:6" ht="12.75">
      <c r="A650" s="267"/>
      <c r="B650" s="267"/>
      <c r="F650" s="267"/>
    </row>
    <row r="651" spans="1:6" ht="12.75">
      <c r="A651" s="267"/>
      <c r="B651" s="267"/>
      <c r="F651" s="267"/>
    </row>
    <row r="652" spans="1:6" ht="12.75">
      <c r="A652" s="267"/>
      <c r="B652" s="267"/>
      <c r="F652" s="267"/>
    </row>
    <row r="653" spans="1:6" ht="12.75">
      <c r="A653" s="267"/>
      <c r="B653" s="267"/>
      <c r="F653" s="267"/>
    </row>
    <row r="654" spans="1:6" ht="12.75">
      <c r="A654" s="267"/>
      <c r="B654" s="267"/>
      <c r="F654" s="267"/>
    </row>
    <row r="655" spans="1:6" ht="12.75">
      <c r="A655" s="267"/>
      <c r="B655" s="267"/>
      <c r="F655" s="267"/>
    </row>
    <row r="656" spans="1:6" ht="12.75">
      <c r="A656" s="267"/>
      <c r="B656" s="267"/>
      <c r="F656" s="267"/>
    </row>
    <row r="657" spans="1:6" ht="12.75">
      <c r="A657" s="267"/>
      <c r="B657" s="267"/>
      <c r="F657" s="267"/>
    </row>
    <row r="658" spans="1:6" ht="12.75">
      <c r="A658" s="267"/>
      <c r="B658" s="267"/>
      <c r="F658" s="267"/>
    </row>
    <row r="659" spans="1:6" ht="12.75">
      <c r="A659" s="267"/>
      <c r="B659" s="267"/>
      <c r="F659" s="267"/>
    </row>
    <row r="660" spans="1:6" ht="12.75">
      <c r="A660" s="267"/>
      <c r="B660" s="267"/>
      <c r="F660" s="267"/>
    </row>
    <row r="661" spans="1:6" ht="12.75">
      <c r="A661" s="267"/>
      <c r="B661" s="267"/>
      <c r="F661" s="267"/>
    </row>
    <row r="662" spans="1:6" ht="12.75">
      <c r="A662" s="267"/>
      <c r="B662" s="267"/>
      <c r="F662" s="267"/>
    </row>
    <row r="663" spans="1:6" ht="12.75">
      <c r="A663" s="267"/>
      <c r="B663" s="267"/>
      <c r="F663" s="267"/>
    </row>
    <row r="664" spans="1:6" ht="12.75">
      <c r="A664" s="267"/>
      <c r="B664" s="267"/>
      <c r="F664" s="267"/>
    </row>
    <row r="665" spans="1:6" ht="12.75">
      <c r="A665" s="267"/>
      <c r="B665" s="267"/>
      <c r="F665" s="267"/>
    </row>
    <row r="666" spans="1:6" ht="12.75">
      <c r="A666" s="267"/>
      <c r="B666" s="267"/>
      <c r="F666" s="267"/>
    </row>
    <row r="667" spans="1:6" ht="12.75">
      <c r="A667" s="267"/>
      <c r="B667" s="267"/>
      <c r="F667" s="267"/>
    </row>
    <row r="668" spans="1:6" ht="12.75">
      <c r="A668" s="267"/>
      <c r="B668" s="267"/>
      <c r="F668" s="267"/>
    </row>
    <row r="669" spans="1:6" ht="12.75">
      <c r="A669" s="267"/>
      <c r="B669" s="267"/>
      <c r="F669" s="267"/>
    </row>
    <row r="670" spans="1:6" ht="12.75">
      <c r="A670" s="267"/>
      <c r="B670" s="267"/>
      <c r="F670" s="267"/>
    </row>
    <row r="671" spans="1:6" ht="12.75">
      <c r="A671" s="267"/>
      <c r="B671" s="267"/>
      <c r="F671" s="267"/>
    </row>
    <row r="672" spans="1:6" ht="12.75">
      <c r="A672" s="267"/>
      <c r="B672" s="267"/>
      <c r="F672" s="267"/>
    </row>
    <row r="673" spans="1:6" ht="12.75">
      <c r="A673" s="267"/>
      <c r="B673" s="267"/>
      <c r="F673" s="267"/>
    </row>
    <row r="674" spans="1:6" ht="12.75">
      <c r="A674" s="267"/>
      <c r="B674" s="267"/>
      <c r="F674" s="267"/>
    </row>
    <row r="675" spans="1:6" ht="12.75">
      <c r="A675" s="267"/>
      <c r="B675" s="267"/>
      <c r="F675" s="267"/>
    </row>
    <row r="676" spans="1:6" ht="12.75">
      <c r="A676" s="267"/>
      <c r="B676" s="267"/>
      <c r="F676" s="267"/>
    </row>
    <row r="677" spans="1:6" ht="12.75">
      <c r="A677" s="267"/>
      <c r="B677" s="267"/>
      <c r="F677" s="267"/>
    </row>
    <row r="678" spans="1:6" ht="12.75">
      <c r="A678" s="267"/>
      <c r="B678" s="267"/>
      <c r="F678" s="267"/>
    </row>
    <row r="679" spans="1:6" ht="12.75">
      <c r="A679" s="267"/>
      <c r="B679" s="267"/>
      <c r="F679" s="267"/>
    </row>
    <row r="680" spans="1:6" ht="12.75">
      <c r="A680" s="267"/>
      <c r="B680" s="267"/>
      <c r="F680" s="267"/>
    </row>
    <row r="681" spans="1:6" ht="12.75">
      <c r="A681" s="267"/>
      <c r="B681" s="267"/>
      <c r="F681" s="267"/>
    </row>
    <row r="682" spans="1:6" ht="12.75">
      <c r="A682" s="267"/>
      <c r="B682" s="267"/>
      <c r="F682" s="267"/>
    </row>
    <row r="683" spans="1:6" ht="12.75">
      <c r="A683" s="267"/>
      <c r="B683" s="267"/>
      <c r="F683" s="267"/>
    </row>
    <row r="684" spans="1:6" ht="12.75">
      <c r="A684" s="267"/>
      <c r="B684" s="267"/>
      <c r="F684" s="267"/>
    </row>
    <row r="685" spans="1:6" ht="12.75">
      <c r="A685" s="267"/>
      <c r="B685" s="267"/>
      <c r="F685" s="267"/>
    </row>
    <row r="686" spans="1:6" ht="12.75">
      <c r="A686" s="267"/>
      <c r="B686" s="267"/>
      <c r="F686" s="267"/>
    </row>
    <row r="687" spans="1:6" ht="12.75">
      <c r="A687" s="267"/>
      <c r="B687" s="267"/>
      <c r="F687" s="267"/>
    </row>
    <row r="688" spans="1:6" ht="12.75">
      <c r="A688" s="267"/>
      <c r="B688" s="267"/>
      <c r="F688" s="267"/>
    </row>
    <row r="689" spans="1:6" ht="12.75">
      <c r="A689" s="267"/>
      <c r="B689" s="267"/>
      <c r="F689" s="267"/>
    </row>
    <row r="690" spans="1:6" ht="12.75">
      <c r="A690" s="267"/>
      <c r="B690" s="267"/>
      <c r="F690" s="267"/>
    </row>
    <row r="691" spans="1:6" ht="12.75">
      <c r="A691" s="267"/>
      <c r="B691" s="267"/>
      <c r="F691" s="267"/>
    </row>
    <row r="692" spans="1:6" ht="12.75">
      <c r="A692" s="267"/>
      <c r="B692" s="267"/>
      <c r="F692" s="267"/>
    </row>
    <row r="693" spans="1:6" ht="12.75">
      <c r="A693" s="267"/>
      <c r="B693" s="267"/>
      <c r="F693" s="267"/>
    </row>
    <row r="694" spans="1:6" ht="12.75">
      <c r="A694" s="267"/>
      <c r="B694" s="267"/>
      <c r="F694" s="267"/>
    </row>
    <row r="695" spans="1:6" ht="12.75">
      <c r="A695" s="267"/>
      <c r="B695" s="267"/>
      <c r="F695" s="267"/>
    </row>
    <row r="696" spans="1:6" ht="12.75">
      <c r="A696" s="267"/>
      <c r="B696" s="267"/>
      <c r="F696" s="267"/>
    </row>
    <row r="697" spans="1:6" ht="12.75">
      <c r="A697" s="267"/>
      <c r="B697" s="267"/>
      <c r="F697" s="267"/>
    </row>
    <row r="698" spans="1:6" ht="12.75">
      <c r="A698" s="267"/>
      <c r="B698" s="267"/>
      <c r="F698" s="267"/>
    </row>
    <row r="699" spans="1:6" ht="12.75">
      <c r="A699" s="267"/>
      <c r="B699" s="267"/>
      <c r="F699" s="267"/>
    </row>
    <row r="700" spans="1:6" ht="12.75">
      <c r="A700" s="267"/>
      <c r="B700" s="267"/>
      <c r="F700" s="267"/>
    </row>
    <row r="701" spans="1:6" ht="12.75">
      <c r="A701" s="267"/>
      <c r="B701" s="267"/>
      <c r="F701" s="267"/>
    </row>
    <row r="702" spans="1:6" ht="12.75">
      <c r="A702" s="267"/>
      <c r="B702" s="267"/>
      <c r="F702" s="267"/>
    </row>
    <row r="703" spans="1:6" ht="12.75">
      <c r="A703" s="267"/>
      <c r="B703" s="267"/>
      <c r="F703" s="267"/>
    </row>
    <row r="704" spans="1:6" ht="12.75">
      <c r="A704" s="267"/>
      <c r="B704" s="267"/>
      <c r="F704" s="267"/>
    </row>
    <row r="705" spans="1:6" ht="12.75">
      <c r="A705" s="267"/>
      <c r="B705" s="267"/>
      <c r="F705" s="267"/>
    </row>
    <row r="706" spans="1:6" ht="12.75">
      <c r="A706" s="267"/>
      <c r="B706" s="267"/>
      <c r="F706" s="267"/>
    </row>
    <row r="707" spans="1:6" ht="12.75">
      <c r="A707" s="267"/>
      <c r="B707" s="267"/>
      <c r="F707" s="267"/>
    </row>
    <row r="708" spans="1:6" ht="12.75">
      <c r="A708" s="267"/>
      <c r="B708" s="267"/>
      <c r="F708" s="267"/>
    </row>
    <row r="709" spans="1:6" ht="12.75">
      <c r="A709" s="267"/>
      <c r="B709" s="267"/>
      <c r="F709" s="267"/>
    </row>
    <row r="710" spans="1:6" ht="12.75">
      <c r="A710" s="267"/>
      <c r="B710" s="267"/>
      <c r="F710" s="267"/>
    </row>
    <row r="711" spans="1:6" ht="12.75">
      <c r="A711" s="267"/>
      <c r="B711" s="267"/>
      <c r="F711" s="267"/>
    </row>
    <row r="712" spans="1:6" ht="12.75">
      <c r="A712" s="267"/>
      <c r="B712" s="267"/>
      <c r="F712" s="267"/>
    </row>
    <row r="713" spans="1:6" ht="12.75">
      <c r="A713" s="267"/>
      <c r="B713" s="267"/>
      <c r="F713" s="267"/>
    </row>
    <row r="714" spans="1:6" ht="12.75">
      <c r="A714" s="267"/>
      <c r="B714" s="267"/>
      <c r="F714" s="267"/>
    </row>
    <row r="715" spans="1:6" ht="12.75">
      <c r="A715" s="267"/>
      <c r="B715" s="267"/>
      <c r="F715" s="267"/>
    </row>
    <row r="716" spans="1:6" ht="12.75">
      <c r="A716" s="267"/>
      <c r="B716" s="267"/>
      <c r="F716" s="267"/>
    </row>
    <row r="717" spans="1:6" ht="12.75">
      <c r="A717" s="267"/>
      <c r="B717" s="267"/>
      <c r="F717" s="267"/>
    </row>
    <row r="718" spans="1:6" ht="12.75">
      <c r="A718" s="267"/>
      <c r="B718" s="267"/>
      <c r="F718" s="267"/>
    </row>
    <row r="719" spans="1:6" ht="12.75">
      <c r="A719" s="267"/>
      <c r="B719" s="267"/>
      <c r="F719" s="267"/>
    </row>
    <row r="720" spans="1:6" ht="12.75">
      <c r="A720" s="267"/>
      <c r="B720" s="267"/>
      <c r="F720" s="267"/>
    </row>
    <row r="721" spans="1:6" ht="12.75">
      <c r="A721" s="267"/>
      <c r="B721" s="267"/>
      <c r="F721" s="267"/>
    </row>
    <row r="722" spans="1:6" ht="12.75">
      <c r="A722" s="267"/>
      <c r="B722" s="267"/>
      <c r="F722" s="267"/>
    </row>
    <row r="723" spans="1:6" ht="12.75">
      <c r="A723" s="267"/>
      <c r="B723" s="267"/>
      <c r="F723" s="267"/>
    </row>
    <row r="724" spans="1:6" ht="12.75">
      <c r="A724" s="267"/>
      <c r="B724" s="267"/>
      <c r="F724" s="267"/>
    </row>
    <row r="725" spans="1:6" ht="12.75">
      <c r="A725" s="267"/>
      <c r="B725" s="267"/>
      <c r="F725" s="267"/>
    </row>
    <row r="726" spans="1:6" ht="12.75">
      <c r="A726" s="267"/>
      <c r="B726" s="267"/>
      <c r="F726" s="267"/>
    </row>
    <row r="727" spans="1:6" ht="12.75">
      <c r="A727" s="267"/>
      <c r="B727" s="267"/>
      <c r="F727" s="267"/>
    </row>
    <row r="728" spans="1:6" ht="12.75">
      <c r="A728" s="267"/>
      <c r="B728" s="267"/>
      <c r="F728" s="267"/>
    </row>
    <row r="729" spans="1:6" ht="12.75">
      <c r="A729" s="267"/>
      <c r="B729" s="267"/>
      <c r="F729" s="267"/>
    </row>
    <row r="730" spans="1:6" ht="12.75">
      <c r="A730" s="267"/>
      <c r="B730" s="267"/>
      <c r="F730" s="267"/>
    </row>
    <row r="731" spans="1:6" ht="12.75">
      <c r="A731" s="267"/>
      <c r="B731" s="267"/>
      <c r="F731" s="267"/>
    </row>
    <row r="732" spans="1:6" ht="12.75">
      <c r="A732" s="267"/>
      <c r="B732" s="267"/>
      <c r="F732" s="267"/>
    </row>
    <row r="733" spans="1:6" ht="12.75">
      <c r="A733" s="267"/>
      <c r="B733" s="267"/>
      <c r="F733" s="267"/>
    </row>
    <row r="734" spans="1:6" ht="12.75">
      <c r="A734" s="267"/>
      <c r="B734" s="267"/>
      <c r="F734" s="267"/>
    </row>
    <row r="735" spans="1:6" ht="12.75">
      <c r="A735" s="267"/>
      <c r="B735" s="267"/>
      <c r="F735" s="267"/>
    </row>
    <row r="736" spans="1:6" ht="12.75">
      <c r="A736" s="267"/>
      <c r="B736" s="267"/>
      <c r="F736" s="267"/>
    </row>
    <row r="737" spans="1:6" ht="12.75">
      <c r="A737" s="267"/>
      <c r="B737" s="267"/>
      <c r="F737" s="267"/>
    </row>
    <row r="738" spans="1:6" ht="12.75">
      <c r="A738" s="267"/>
      <c r="B738" s="267"/>
      <c r="F738" s="267"/>
    </row>
    <row r="739" spans="1:6" ht="12.75">
      <c r="A739" s="267"/>
      <c r="B739" s="267"/>
      <c r="F739" s="267"/>
    </row>
    <row r="740" spans="1:6" ht="12.75">
      <c r="A740" s="267"/>
      <c r="B740" s="267"/>
      <c r="F740" s="267"/>
    </row>
    <row r="741" spans="1:6" ht="12.75">
      <c r="A741" s="267"/>
      <c r="B741" s="267"/>
      <c r="F741" s="267"/>
    </row>
    <row r="742" spans="1:6" ht="12.75">
      <c r="A742" s="267"/>
      <c r="B742" s="267"/>
      <c r="F742" s="267"/>
    </row>
    <row r="743" spans="1:6" ht="12.75">
      <c r="A743" s="267"/>
      <c r="B743" s="267"/>
      <c r="F743" s="267"/>
    </row>
    <row r="744" spans="1:6" ht="12.75">
      <c r="A744" s="267"/>
      <c r="B744" s="267"/>
      <c r="F744" s="267"/>
    </row>
    <row r="745" spans="1:6" ht="12.75">
      <c r="A745" s="267"/>
      <c r="B745" s="267"/>
      <c r="F745" s="267"/>
    </row>
    <row r="746" spans="1:6" ht="12.75">
      <c r="A746" s="267"/>
      <c r="B746" s="267"/>
      <c r="F746" s="267"/>
    </row>
    <row r="747" spans="1:6" ht="12.75">
      <c r="A747" s="267"/>
      <c r="B747" s="267"/>
      <c r="F747" s="267"/>
    </row>
    <row r="748" spans="1:6" ht="12.75">
      <c r="A748" s="267"/>
      <c r="B748" s="267"/>
      <c r="F748" s="267"/>
    </row>
    <row r="749" spans="1:6" ht="12.75">
      <c r="A749" s="267"/>
      <c r="B749" s="267"/>
      <c r="F749" s="267"/>
    </row>
    <row r="750" spans="1:6" ht="12.75">
      <c r="A750" s="267"/>
      <c r="B750" s="267"/>
      <c r="F750" s="267"/>
    </row>
    <row r="751" spans="1:6" ht="12.75">
      <c r="A751" s="267"/>
      <c r="B751" s="267"/>
      <c r="F751" s="267"/>
    </row>
    <row r="752" spans="1:6" ht="12.75">
      <c r="A752" s="267"/>
      <c r="B752" s="267"/>
      <c r="F752" s="267"/>
    </row>
    <row r="753" spans="1:6" ht="12.75">
      <c r="A753" s="267"/>
      <c r="B753" s="267"/>
      <c r="F753" s="267"/>
    </row>
    <row r="754" spans="1:6" ht="12.75">
      <c r="A754" s="267"/>
      <c r="B754" s="267"/>
      <c r="F754" s="267"/>
    </row>
    <row r="755" spans="1:6" ht="12.75">
      <c r="A755" s="267"/>
      <c r="B755" s="267"/>
      <c r="F755" s="267"/>
    </row>
    <row r="756" spans="1:6" ht="12.75">
      <c r="A756" s="267"/>
      <c r="B756" s="267"/>
      <c r="F756" s="267"/>
    </row>
    <row r="757" spans="1:6" ht="12.75">
      <c r="A757" s="267"/>
      <c r="B757" s="267"/>
      <c r="F757" s="267"/>
    </row>
    <row r="758" spans="1:6" ht="12.75">
      <c r="A758" s="267"/>
      <c r="B758" s="267"/>
      <c r="F758" s="267"/>
    </row>
    <row r="759" spans="1:6" ht="12.75">
      <c r="A759" s="267"/>
      <c r="B759" s="267"/>
      <c r="F759" s="267"/>
    </row>
    <row r="760" spans="1:6" ht="12.75">
      <c r="A760" s="267"/>
      <c r="B760" s="267"/>
      <c r="F760" s="267"/>
    </row>
    <row r="761" spans="1:6" ht="12.75">
      <c r="A761" s="267"/>
      <c r="B761" s="267"/>
      <c r="F761" s="267"/>
    </row>
    <row r="762" spans="1:6" ht="12.75">
      <c r="A762" s="267"/>
      <c r="B762" s="267"/>
      <c r="F762" s="267"/>
    </row>
    <row r="763" spans="1:6" ht="12.75">
      <c r="A763" s="267"/>
      <c r="B763" s="267"/>
      <c r="F763" s="267"/>
    </row>
    <row r="764" spans="1:6" ht="12.75">
      <c r="A764" s="267"/>
      <c r="B764" s="267"/>
      <c r="F764" s="267"/>
    </row>
    <row r="765" spans="1:6" ht="12.75">
      <c r="A765" s="267"/>
      <c r="B765" s="267"/>
      <c r="F765" s="267"/>
    </row>
    <row r="766" spans="1:6" ht="12.75">
      <c r="A766" s="267"/>
      <c r="B766" s="267"/>
      <c r="F766" s="267"/>
    </row>
    <row r="767" spans="1:6" ht="12.75">
      <c r="A767" s="267"/>
      <c r="B767" s="267"/>
      <c r="F767" s="267"/>
    </row>
    <row r="768" spans="1:6" ht="12.75">
      <c r="A768" s="267"/>
      <c r="B768" s="267"/>
      <c r="F768" s="267"/>
    </row>
    <row r="769" spans="1:6" ht="12.75">
      <c r="A769" s="267"/>
      <c r="B769" s="267"/>
      <c r="F769" s="267"/>
    </row>
    <row r="770" spans="1:6" ht="12.75">
      <c r="A770" s="267"/>
      <c r="B770" s="267"/>
      <c r="F770" s="267"/>
    </row>
    <row r="771" spans="1:6" ht="12.75">
      <c r="A771" s="267"/>
      <c r="B771" s="267"/>
      <c r="F771" s="267"/>
    </row>
    <row r="772" spans="1:6" ht="12.75">
      <c r="A772" s="267"/>
      <c r="B772" s="267"/>
      <c r="F772" s="267"/>
    </row>
    <row r="773" spans="1:6" ht="12.75">
      <c r="A773" s="267"/>
      <c r="B773" s="267"/>
      <c r="F773" s="267"/>
    </row>
    <row r="774" spans="1:6" ht="12.75">
      <c r="A774" s="267"/>
      <c r="B774" s="267"/>
      <c r="F774" s="267"/>
    </row>
    <row r="775" spans="1:6" ht="12.75">
      <c r="A775" s="267"/>
      <c r="B775" s="267"/>
      <c r="F775" s="267"/>
    </row>
    <row r="776" spans="1:6" ht="12.75">
      <c r="A776" s="267"/>
      <c r="B776" s="267"/>
      <c r="F776" s="267"/>
    </row>
    <row r="777" spans="1:6" ht="12.75">
      <c r="A777" s="267"/>
      <c r="B777" s="267"/>
      <c r="F777" s="267"/>
    </row>
    <row r="778" spans="1:6" ht="12.75">
      <c r="A778" s="267"/>
      <c r="B778" s="267"/>
      <c r="F778" s="267"/>
    </row>
    <row r="779" spans="1:6" ht="12.75">
      <c r="A779" s="267"/>
      <c r="B779" s="267"/>
      <c r="F779" s="267"/>
    </row>
    <row r="780" spans="1:6" ht="12.75">
      <c r="A780" s="267"/>
      <c r="B780" s="267"/>
      <c r="F780" s="267"/>
    </row>
    <row r="781" spans="1:6" ht="12.75">
      <c r="A781" s="267"/>
      <c r="B781" s="267"/>
      <c r="F781" s="267"/>
    </row>
    <row r="782" spans="1:6" ht="12.75">
      <c r="A782" s="267"/>
      <c r="B782" s="267"/>
      <c r="F782" s="267"/>
    </row>
    <row r="783" spans="1:6" ht="12.75">
      <c r="A783" s="267"/>
      <c r="B783" s="267"/>
      <c r="F783" s="267"/>
    </row>
    <row r="784" spans="1:6" ht="12.75">
      <c r="A784" s="267"/>
      <c r="B784" s="267"/>
      <c r="F784" s="267"/>
    </row>
    <row r="785" spans="1:6" ht="12.75">
      <c r="A785" s="267"/>
      <c r="B785" s="267"/>
      <c r="F785" s="267"/>
    </row>
    <row r="786" spans="1:6" ht="12.75">
      <c r="A786" s="267"/>
      <c r="B786" s="267"/>
      <c r="F786" s="267"/>
    </row>
    <row r="787" spans="1:6" ht="12.75">
      <c r="A787" s="267"/>
      <c r="B787" s="267"/>
      <c r="F787" s="267"/>
    </row>
    <row r="788" spans="1:6" ht="12.75">
      <c r="A788" s="267"/>
      <c r="B788" s="267"/>
      <c r="F788" s="267"/>
    </row>
    <row r="789" spans="1:6" ht="12.75">
      <c r="A789" s="267"/>
      <c r="B789" s="267"/>
      <c r="F789" s="267"/>
    </row>
    <row r="790" spans="1:6" ht="12.75">
      <c r="A790" s="267"/>
      <c r="B790" s="267"/>
      <c r="F790" s="267"/>
    </row>
    <row r="791" spans="1:6" ht="12.75">
      <c r="A791" s="267"/>
      <c r="B791" s="267"/>
      <c r="F791" s="267"/>
    </row>
    <row r="792" spans="1:6" ht="12.75">
      <c r="A792" s="267"/>
      <c r="B792" s="267"/>
      <c r="F792" s="267"/>
    </row>
    <row r="793" spans="1:6" ht="12.75">
      <c r="A793" s="267"/>
      <c r="B793" s="267"/>
      <c r="F793" s="267"/>
    </row>
    <row r="794" spans="1:6" ht="12.75">
      <c r="A794" s="267"/>
      <c r="B794" s="267"/>
      <c r="F794" s="267"/>
    </row>
    <row r="795" spans="1:6" ht="12.75">
      <c r="A795" s="267"/>
      <c r="B795" s="267"/>
      <c r="F795" s="267"/>
    </row>
    <row r="796" spans="1:6" ht="12.75">
      <c r="A796" s="267"/>
      <c r="B796" s="267"/>
      <c r="F796" s="267"/>
    </row>
    <row r="797" spans="1:6" ht="12.75">
      <c r="A797" s="267"/>
      <c r="B797" s="267"/>
      <c r="F797" s="267"/>
    </row>
    <row r="798" spans="1:6" ht="12.75">
      <c r="A798" s="267"/>
      <c r="B798" s="267"/>
      <c r="F798" s="267"/>
    </row>
    <row r="799" spans="1:6" ht="12.75">
      <c r="A799" s="267"/>
      <c r="B799" s="267"/>
      <c r="F799" s="267"/>
    </row>
    <row r="800" spans="1:6" ht="12.75">
      <c r="A800" s="267"/>
      <c r="B800" s="267"/>
      <c r="F800" s="267"/>
    </row>
    <row r="801" spans="1:6" ht="12.75">
      <c r="A801" s="267"/>
      <c r="B801" s="267"/>
      <c r="F801" s="267"/>
    </row>
    <row r="802" spans="1:6" ht="12.75">
      <c r="A802" s="267"/>
      <c r="B802" s="267"/>
      <c r="F802" s="267"/>
    </row>
    <row r="803" spans="1:6" ht="12.75">
      <c r="A803" s="267"/>
      <c r="B803" s="267"/>
      <c r="F803" s="267"/>
    </row>
    <row r="804" spans="1:6" ht="12.75">
      <c r="A804" s="267"/>
      <c r="B804" s="267"/>
      <c r="F804" s="267"/>
    </row>
    <row r="805" spans="1:6" ht="12.75">
      <c r="A805" s="267"/>
      <c r="B805" s="267"/>
      <c r="F805" s="267"/>
    </row>
    <row r="806" spans="1:6" ht="12.75">
      <c r="A806" s="267"/>
      <c r="B806" s="267"/>
      <c r="F806" s="267"/>
    </row>
    <row r="807" spans="1:6" ht="12.75">
      <c r="A807" s="267"/>
      <c r="B807" s="267"/>
      <c r="F807" s="267"/>
    </row>
    <row r="808" spans="1:6" ht="12.75">
      <c r="A808" s="267"/>
      <c r="B808" s="267"/>
      <c r="F808" s="267"/>
    </row>
    <row r="809" spans="1:6" ht="12.75">
      <c r="A809" s="267"/>
      <c r="B809" s="267"/>
      <c r="F809" s="267"/>
    </row>
    <row r="810" spans="1:6" ht="12.75">
      <c r="A810" s="267"/>
      <c r="B810" s="267"/>
      <c r="F810" s="267"/>
    </row>
    <row r="811" spans="1:6" ht="12.75">
      <c r="A811" s="267"/>
      <c r="B811" s="267"/>
      <c r="F811" s="267"/>
    </row>
    <row r="812" spans="1:6" ht="12.75">
      <c r="A812" s="267"/>
      <c r="B812" s="267"/>
      <c r="F812" s="267"/>
    </row>
    <row r="813" spans="1:6" ht="12.75">
      <c r="A813" s="267"/>
      <c r="B813" s="267"/>
      <c r="F813" s="267"/>
    </row>
    <row r="814" spans="1:6" ht="12.75">
      <c r="A814" s="267"/>
      <c r="B814" s="267"/>
      <c r="F814" s="267"/>
    </row>
    <row r="815" spans="1:6" ht="12.75">
      <c r="A815" s="267"/>
      <c r="B815" s="267"/>
      <c r="F815" s="267"/>
    </row>
    <row r="816" spans="1:6" ht="12.75">
      <c r="A816" s="267"/>
      <c r="B816" s="267"/>
      <c r="F816" s="267"/>
    </row>
    <row r="817" spans="1:6" ht="12.75">
      <c r="A817" s="267"/>
      <c r="B817" s="267"/>
      <c r="F817" s="267"/>
    </row>
    <row r="818" spans="1:6" ht="12.75">
      <c r="A818" s="267"/>
      <c r="B818" s="267"/>
      <c r="F818" s="267"/>
    </row>
    <row r="819" spans="1:6" ht="12.75">
      <c r="A819" s="267"/>
      <c r="B819" s="267"/>
      <c r="F819" s="267"/>
    </row>
    <row r="820" spans="1:6" ht="12.75">
      <c r="A820" s="267"/>
      <c r="B820" s="267"/>
      <c r="F820" s="267"/>
    </row>
    <row r="821" spans="1:6" ht="12.75">
      <c r="A821" s="267"/>
      <c r="B821" s="267"/>
      <c r="F821" s="267"/>
    </row>
    <row r="822" spans="1:6" ht="12.75">
      <c r="A822" s="267"/>
      <c r="B822" s="267"/>
      <c r="F822" s="267"/>
    </row>
    <row r="823" spans="1:6" ht="12.75">
      <c r="A823" s="267"/>
      <c r="B823" s="267"/>
      <c r="F823" s="267"/>
    </row>
    <row r="824" spans="1:6" ht="12.75">
      <c r="A824" s="267"/>
      <c r="B824" s="267"/>
      <c r="F824" s="267"/>
    </row>
    <row r="825" spans="1:6" ht="12.75">
      <c r="A825" s="267"/>
      <c r="B825" s="267"/>
      <c r="F825" s="267"/>
    </row>
    <row r="826" spans="1:6" ht="12.75">
      <c r="A826" s="267"/>
      <c r="B826" s="267"/>
      <c r="F826" s="267"/>
    </row>
    <row r="827" spans="1:6" ht="12.75">
      <c r="A827" s="267"/>
      <c r="B827" s="267"/>
      <c r="F827" s="267"/>
    </row>
    <row r="828" spans="1:6" ht="12.75">
      <c r="A828" s="267"/>
      <c r="B828" s="267"/>
      <c r="F828" s="267"/>
    </row>
    <row r="829" spans="1:6" ht="12.75">
      <c r="A829" s="267"/>
      <c r="B829" s="267"/>
      <c r="F829" s="267"/>
    </row>
    <row r="830" spans="1:6" ht="12.75">
      <c r="A830" s="267"/>
      <c r="B830" s="267"/>
      <c r="F830" s="267"/>
    </row>
    <row r="831" spans="1:6" ht="12.75">
      <c r="A831" s="267"/>
      <c r="B831" s="267"/>
      <c r="F831" s="267"/>
    </row>
    <row r="832" spans="1:6" ht="12.75">
      <c r="A832" s="267"/>
      <c r="B832" s="267"/>
      <c r="F832" s="267"/>
    </row>
    <row r="833" spans="1:6" ht="12.75">
      <c r="A833" s="267"/>
      <c r="B833" s="267"/>
      <c r="F833" s="267"/>
    </row>
    <row r="834" spans="1:6" ht="12.75">
      <c r="A834" s="267"/>
      <c r="B834" s="267"/>
      <c r="F834" s="267"/>
    </row>
    <row r="835" spans="1:6" ht="12.75">
      <c r="A835" s="267"/>
      <c r="B835" s="267"/>
      <c r="F835" s="267"/>
    </row>
    <row r="836" spans="1:6" ht="12.75">
      <c r="A836" s="267"/>
      <c r="B836" s="267"/>
      <c r="F836" s="267"/>
    </row>
    <row r="837" spans="1:6" ht="12.75">
      <c r="A837" s="267"/>
      <c r="B837" s="267"/>
      <c r="F837" s="267"/>
    </row>
    <row r="838" spans="1:6" ht="12.75">
      <c r="A838" s="267"/>
      <c r="B838" s="267"/>
      <c r="F838" s="267"/>
    </row>
    <row r="839" spans="1:6" ht="12.75">
      <c r="A839" s="267"/>
      <c r="B839" s="267"/>
      <c r="F839" s="267"/>
    </row>
    <row r="840" spans="1:6" ht="12.75">
      <c r="A840" s="267"/>
      <c r="B840" s="267"/>
      <c r="F840" s="267"/>
    </row>
    <row r="841" spans="1:6" ht="12.75">
      <c r="A841" s="267"/>
      <c r="B841" s="267"/>
      <c r="F841" s="267"/>
    </row>
    <row r="842" spans="1:6" ht="12.75">
      <c r="A842" s="267"/>
      <c r="B842" s="267"/>
      <c r="F842" s="267"/>
    </row>
    <row r="843" spans="1:6" ht="12.75">
      <c r="A843" s="267"/>
      <c r="B843" s="267"/>
      <c r="F843" s="267"/>
    </row>
    <row r="844" spans="1:6" ht="12.75">
      <c r="A844" s="267"/>
      <c r="B844" s="267"/>
      <c r="F844" s="267"/>
    </row>
    <row r="845" spans="1:6" ht="12.75">
      <c r="A845" s="267"/>
      <c r="B845" s="267"/>
      <c r="F845" s="267"/>
    </row>
    <row r="846" spans="1:6" ht="12.75">
      <c r="A846" s="267"/>
      <c r="B846" s="267"/>
      <c r="F846" s="267"/>
    </row>
    <row r="847" spans="1:6" ht="12.75">
      <c r="A847" s="267"/>
      <c r="B847" s="267"/>
      <c r="F847" s="267"/>
    </row>
    <row r="848" spans="1:6" ht="12.75">
      <c r="A848" s="267"/>
      <c r="B848" s="267"/>
      <c r="F848" s="267"/>
    </row>
    <row r="849" spans="1:6" ht="12.75">
      <c r="A849" s="267"/>
      <c r="B849" s="267"/>
      <c r="F849" s="267"/>
    </row>
    <row r="850" spans="1:6" ht="12.75">
      <c r="A850" s="267"/>
      <c r="B850" s="267"/>
      <c r="F850" s="267"/>
    </row>
    <row r="851" spans="1:6" ht="12.75">
      <c r="A851" s="267"/>
      <c r="B851" s="267"/>
      <c r="F851" s="267"/>
    </row>
    <row r="852" spans="1:6" ht="12.75">
      <c r="A852" s="267"/>
      <c r="B852" s="267"/>
      <c r="F852" s="267"/>
    </row>
    <row r="853" spans="1:6" ht="12.75">
      <c r="A853" s="267"/>
      <c r="B853" s="267"/>
      <c r="F853" s="267"/>
    </row>
    <row r="854" spans="1:6" ht="12.75">
      <c r="A854" s="267"/>
      <c r="B854" s="267"/>
      <c r="F854" s="267"/>
    </row>
    <row r="855" spans="1:6" ht="12.75">
      <c r="A855" s="267"/>
      <c r="B855" s="267"/>
      <c r="F855" s="267"/>
    </row>
    <row r="856" spans="1:6" ht="12.75">
      <c r="A856" s="267"/>
      <c r="B856" s="267"/>
      <c r="F856" s="267"/>
    </row>
    <row r="857" spans="1:6" ht="12.75">
      <c r="A857" s="267"/>
      <c r="B857" s="267"/>
      <c r="F857" s="267"/>
    </row>
    <row r="858" spans="1:6" ht="12.75">
      <c r="A858" s="267"/>
      <c r="B858" s="267"/>
      <c r="F858" s="267"/>
    </row>
    <row r="859" spans="1:6" ht="12.75">
      <c r="A859" s="267"/>
      <c r="B859" s="267"/>
      <c r="F859" s="267"/>
    </row>
    <row r="860" spans="1:6" ht="12.75">
      <c r="A860" s="267"/>
      <c r="B860" s="267"/>
      <c r="F860" s="267"/>
    </row>
    <row r="861" spans="1:6" ht="12.75">
      <c r="A861" s="267"/>
      <c r="B861" s="267"/>
      <c r="F861" s="267"/>
    </row>
    <row r="862" spans="1:6" ht="12.75">
      <c r="A862" s="267"/>
      <c r="B862" s="267"/>
      <c r="F862" s="267"/>
    </row>
    <row r="863" spans="1:6" ht="12.75">
      <c r="A863" s="267"/>
      <c r="B863" s="267"/>
      <c r="F863" s="267"/>
    </row>
    <row r="864" spans="1:6" ht="12.75">
      <c r="A864" s="267"/>
      <c r="B864" s="267"/>
      <c r="F864" s="267"/>
    </row>
    <row r="865" spans="1:6" ht="12.75">
      <c r="A865" s="267"/>
      <c r="B865" s="267"/>
      <c r="F865" s="267"/>
    </row>
    <row r="866" spans="1:6" ht="12.75">
      <c r="A866" s="267"/>
      <c r="B866" s="267"/>
      <c r="F866" s="267"/>
    </row>
    <row r="867" spans="1:6" ht="12.75">
      <c r="A867" s="267"/>
      <c r="B867" s="267"/>
      <c r="F867" s="267"/>
    </row>
    <row r="868" spans="1:6" ht="12.75">
      <c r="A868" s="267"/>
      <c r="B868" s="267"/>
      <c r="F868" s="267"/>
    </row>
    <row r="869" spans="1:6" ht="12.75">
      <c r="A869" s="267"/>
      <c r="B869" s="267"/>
      <c r="F869" s="267"/>
    </row>
    <row r="870" spans="1:6" ht="12.75">
      <c r="A870" s="267"/>
      <c r="B870" s="267"/>
      <c r="F870" s="267"/>
    </row>
    <row r="871" spans="1:6" ht="12.75">
      <c r="A871" s="267"/>
      <c r="B871" s="267"/>
      <c r="F871" s="267"/>
    </row>
    <row r="872" spans="1:6" ht="12.75">
      <c r="A872" s="267"/>
      <c r="B872" s="267"/>
      <c r="F872" s="267"/>
    </row>
    <row r="873" spans="1:6" ht="12.75">
      <c r="A873" s="267"/>
      <c r="B873" s="267"/>
      <c r="F873" s="267"/>
    </row>
    <row r="874" spans="1:6" ht="12.75">
      <c r="A874" s="267"/>
      <c r="B874" s="267"/>
      <c r="F874" s="267"/>
    </row>
    <row r="875" spans="1:6" ht="12.75">
      <c r="A875" s="267"/>
      <c r="B875" s="267"/>
      <c r="F875" s="267"/>
    </row>
    <row r="876" spans="1:6" ht="12.75">
      <c r="A876" s="267"/>
      <c r="B876" s="267"/>
      <c r="F876" s="267"/>
    </row>
    <row r="877" spans="1:6" ht="12.75">
      <c r="A877" s="267"/>
      <c r="B877" s="267"/>
      <c r="F877" s="267"/>
    </row>
    <row r="878" spans="1:6" ht="12.75">
      <c r="A878" s="267"/>
      <c r="B878" s="267"/>
      <c r="F878" s="267"/>
    </row>
    <row r="879" spans="1:6" ht="12.75">
      <c r="A879" s="267"/>
      <c r="B879" s="267"/>
      <c r="F879" s="267"/>
    </row>
    <row r="880" spans="1:6" ht="12.75">
      <c r="A880" s="267"/>
      <c r="B880" s="267"/>
      <c r="F880" s="267"/>
    </row>
    <row r="881" spans="1:6" ht="12.75">
      <c r="A881" s="267"/>
      <c r="B881" s="267"/>
      <c r="F881" s="267"/>
    </row>
    <row r="882" spans="1:6" ht="12.75">
      <c r="A882" s="267"/>
      <c r="B882" s="267"/>
      <c r="F882" s="267"/>
    </row>
    <row r="883" spans="1:6" ht="12.75">
      <c r="A883" s="267"/>
      <c r="B883" s="267"/>
      <c r="F883" s="267"/>
    </row>
    <row r="884" spans="1:6" ht="12.75">
      <c r="A884" s="267"/>
      <c r="B884" s="267"/>
      <c r="F884" s="267"/>
    </row>
    <row r="885" spans="1:6" ht="12.75">
      <c r="A885" s="267"/>
      <c r="B885" s="267"/>
      <c r="F885" s="267"/>
    </row>
    <row r="886" spans="1:6" ht="12.75">
      <c r="A886" s="267"/>
      <c r="B886" s="267"/>
      <c r="F886" s="267"/>
    </row>
    <row r="887" spans="1:6" ht="12.75">
      <c r="A887" s="267"/>
      <c r="B887" s="267"/>
      <c r="F887" s="267"/>
    </row>
    <row r="888" spans="1:6" ht="12.75">
      <c r="A888" s="267"/>
      <c r="B888" s="267"/>
      <c r="F888" s="267"/>
    </row>
    <row r="889" spans="1:6" ht="12.75">
      <c r="A889" s="267"/>
      <c r="B889" s="267"/>
      <c r="F889" s="267"/>
    </row>
    <row r="890" spans="1:6" ht="12.75">
      <c r="A890" s="267"/>
      <c r="B890" s="267"/>
      <c r="F890" s="267"/>
    </row>
    <row r="891" spans="1:6" ht="12.75">
      <c r="A891" s="267"/>
      <c r="B891" s="267"/>
      <c r="F891" s="267"/>
    </row>
    <row r="892" spans="1:6" ht="12.75">
      <c r="A892" s="267"/>
      <c r="B892" s="267"/>
      <c r="F892" s="267"/>
    </row>
    <row r="893" spans="1:6" ht="12.75">
      <c r="A893" s="267"/>
      <c r="B893" s="267"/>
      <c r="F893" s="267"/>
    </row>
    <row r="894" spans="1:6" ht="12.75">
      <c r="A894" s="267"/>
      <c r="B894" s="267"/>
      <c r="F894" s="267"/>
    </row>
    <row r="895" spans="1:6" ht="12.75">
      <c r="A895" s="267"/>
      <c r="B895" s="267"/>
      <c r="F895" s="267"/>
    </row>
    <row r="896" spans="1:6" ht="12.75">
      <c r="A896" s="267"/>
      <c r="B896" s="267"/>
      <c r="F896" s="267"/>
    </row>
    <row r="897" spans="1:6" ht="12.75">
      <c r="A897" s="267"/>
      <c r="B897" s="267"/>
      <c r="F897" s="267"/>
    </row>
    <row r="898" spans="1:6" ht="12.75">
      <c r="A898" s="267"/>
      <c r="B898" s="267"/>
      <c r="F898" s="267"/>
    </row>
    <row r="899" spans="1:6" ht="12.75">
      <c r="A899" s="267"/>
      <c r="B899" s="267"/>
      <c r="F899" s="267"/>
    </row>
    <row r="900" spans="1:6" ht="12.75">
      <c r="A900" s="267"/>
      <c r="B900" s="267"/>
      <c r="F900" s="267"/>
    </row>
    <row r="901" spans="1:6" ht="12.75">
      <c r="A901" s="267"/>
      <c r="B901" s="267"/>
      <c r="F901" s="267"/>
    </row>
    <row r="902" spans="1:6" ht="12.75">
      <c r="A902" s="267"/>
      <c r="B902" s="267"/>
      <c r="F902" s="267"/>
    </row>
    <row r="903" spans="1:6" ht="12.75">
      <c r="A903" s="267"/>
      <c r="B903" s="267"/>
      <c r="F903" s="267"/>
    </row>
    <row r="904" spans="1:6" ht="12.75">
      <c r="A904" s="267"/>
      <c r="B904" s="267"/>
      <c r="F904" s="267"/>
    </row>
    <row r="905" spans="1:6" ht="12.75">
      <c r="A905" s="267"/>
      <c r="B905" s="267"/>
      <c r="F905" s="267"/>
    </row>
    <row r="906" spans="1:6" ht="12.75">
      <c r="A906" s="267"/>
      <c r="B906" s="267"/>
      <c r="F906" s="267"/>
    </row>
    <row r="907" spans="1:6" ht="12.75">
      <c r="A907" s="267"/>
      <c r="B907" s="267"/>
      <c r="F907" s="267"/>
    </row>
    <row r="908" spans="1:6" ht="12.75">
      <c r="A908" s="267"/>
      <c r="B908" s="267"/>
      <c r="F908" s="267"/>
    </row>
    <row r="909" spans="1:6" ht="12.75">
      <c r="A909" s="267"/>
      <c r="B909" s="267"/>
      <c r="F909" s="267"/>
    </row>
    <row r="910" spans="1:6" ht="12.75">
      <c r="A910" s="267"/>
      <c r="B910" s="267"/>
      <c r="F910" s="267"/>
    </row>
    <row r="911" spans="1:6" ht="12.75">
      <c r="A911" s="267"/>
      <c r="B911" s="267"/>
      <c r="F911" s="267"/>
    </row>
    <row r="912" spans="1:6" ht="12.75">
      <c r="A912" s="267"/>
      <c r="B912" s="267"/>
      <c r="F912" s="267"/>
    </row>
    <row r="913" spans="1:6" ht="12.75">
      <c r="A913" s="267"/>
      <c r="B913" s="267"/>
      <c r="F913" s="267"/>
    </row>
    <row r="914" spans="1:6" ht="12.75">
      <c r="A914" s="267"/>
      <c r="B914" s="267"/>
      <c r="F914" s="267"/>
    </row>
    <row r="915" spans="1:6" ht="12.75">
      <c r="A915" s="267"/>
      <c r="B915" s="267"/>
      <c r="F915" s="267"/>
    </row>
    <row r="916" spans="1:6" ht="12.75">
      <c r="A916" s="267"/>
      <c r="B916" s="267"/>
      <c r="F916" s="267"/>
    </row>
    <row r="917" spans="1:6" ht="12.75">
      <c r="A917" s="267"/>
      <c r="B917" s="267"/>
      <c r="F917" s="267"/>
    </row>
    <row r="918" spans="1:6" ht="12.75">
      <c r="A918" s="267"/>
      <c r="B918" s="267"/>
      <c r="F918" s="267"/>
    </row>
    <row r="919" spans="1:6" ht="12.75">
      <c r="A919" s="267"/>
      <c r="B919" s="267"/>
      <c r="F919" s="267"/>
    </row>
    <row r="920" spans="1:6" ht="12.75">
      <c r="A920" s="267"/>
      <c r="B920" s="267"/>
      <c r="F920" s="267"/>
    </row>
    <row r="921" spans="1:6" ht="12.75">
      <c r="A921" s="267"/>
      <c r="B921" s="267"/>
      <c r="F921" s="267"/>
    </row>
    <row r="922" spans="1:6" ht="12.75">
      <c r="A922" s="267"/>
      <c r="B922" s="267"/>
      <c r="F922" s="267"/>
    </row>
    <row r="923" spans="1:6" ht="12.75">
      <c r="A923" s="267"/>
      <c r="B923" s="267"/>
      <c r="F923" s="267"/>
    </row>
    <row r="924" spans="1:6" ht="12.75">
      <c r="A924" s="267"/>
      <c r="B924" s="267"/>
      <c r="F924" s="267"/>
    </row>
    <row r="925" spans="1:6" ht="12.75">
      <c r="A925" s="267"/>
      <c r="B925" s="267"/>
      <c r="F925" s="267"/>
    </row>
    <row r="926" spans="1:6" ht="12.75">
      <c r="A926" s="267"/>
      <c r="B926" s="267"/>
      <c r="F926" s="267"/>
    </row>
    <row r="927" spans="1:6" ht="12.75">
      <c r="A927" s="267"/>
      <c r="B927" s="267"/>
      <c r="F927" s="267"/>
    </row>
    <row r="928" spans="1:6" ht="12.75">
      <c r="A928" s="267"/>
      <c r="B928" s="267"/>
      <c r="F928" s="267"/>
    </row>
    <row r="929" spans="1:6" ht="12.75">
      <c r="A929" s="267"/>
      <c r="B929" s="267"/>
      <c r="F929" s="267"/>
    </row>
    <row r="930" spans="1:6" ht="12.75">
      <c r="A930" s="267"/>
      <c r="B930" s="267"/>
      <c r="F930" s="267"/>
    </row>
    <row r="931" spans="1:6" ht="12.75">
      <c r="A931" s="267"/>
      <c r="B931" s="267"/>
      <c r="F931" s="267"/>
    </row>
    <row r="932" spans="1:6" ht="12.75">
      <c r="A932" s="267"/>
      <c r="B932" s="267"/>
      <c r="F932" s="267"/>
    </row>
    <row r="933" spans="1:6" ht="12.75">
      <c r="A933" s="267"/>
      <c r="B933" s="267"/>
      <c r="F933" s="267"/>
    </row>
    <row r="934" spans="1:6" ht="12.75">
      <c r="A934" s="267"/>
      <c r="B934" s="267"/>
      <c r="F934" s="267"/>
    </row>
    <row r="935" spans="1:6" ht="12.75">
      <c r="A935" s="267"/>
      <c r="B935" s="267"/>
      <c r="F935" s="267"/>
    </row>
    <row r="936" spans="1:6" ht="12.75">
      <c r="A936" s="267"/>
      <c r="B936" s="267"/>
      <c r="F936" s="267"/>
    </row>
    <row r="937" spans="1:6" ht="12.75">
      <c r="A937" s="267"/>
      <c r="B937" s="267"/>
      <c r="F937" s="267"/>
    </row>
    <row r="938" spans="1:6" ht="12.75">
      <c r="A938" s="267"/>
      <c r="B938" s="267"/>
      <c r="F938" s="267"/>
    </row>
    <row r="939" spans="1:6" ht="12.75">
      <c r="A939" s="267"/>
      <c r="B939" s="267"/>
      <c r="F939" s="267"/>
    </row>
    <row r="940" spans="1:6" ht="12.75">
      <c r="A940" s="267"/>
      <c r="B940" s="267"/>
      <c r="F940" s="267"/>
    </row>
    <row r="941" spans="1:6" ht="12.75">
      <c r="A941" s="267"/>
      <c r="B941" s="267"/>
      <c r="F941" s="267"/>
    </row>
    <row r="942" spans="1:6" ht="12.75">
      <c r="A942" s="267"/>
      <c r="B942" s="267"/>
      <c r="F942" s="267"/>
    </row>
    <row r="943" spans="1:6" ht="12.75">
      <c r="A943" s="267"/>
      <c r="B943" s="267"/>
      <c r="F943" s="267"/>
    </row>
    <row r="944" spans="1:6" ht="12.75">
      <c r="A944" s="267"/>
      <c r="B944" s="267"/>
      <c r="F944" s="267"/>
    </row>
    <row r="945" spans="1:6" ht="12.75">
      <c r="A945" s="267"/>
      <c r="B945" s="267"/>
      <c r="F945" s="267"/>
    </row>
    <row r="946" spans="1:6" ht="12.75">
      <c r="A946" s="267"/>
      <c r="B946" s="267"/>
      <c r="F946" s="267"/>
    </row>
    <row r="947" spans="1:6" ht="12.75">
      <c r="A947" s="267"/>
      <c r="B947" s="267"/>
      <c r="F947" s="267"/>
    </row>
    <row r="948" spans="1:6" ht="12.75">
      <c r="A948" s="267"/>
      <c r="B948" s="267"/>
      <c r="F948" s="267"/>
    </row>
    <row r="949" spans="1:6" ht="12.75">
      <c r="A949" s="267"/>
      <c r="B949" s="267"/>
      <c r="F949" s="267"/>
    </row>
    <row r="950" spans="1:6" ht="12.75">
      <c r="A950" s="267"/>
      <c r="B950" s="267"/>
      <c r="F950" s="267"/>
    </row>
    <row r="951" spans="1:6" ht="12.75">
      <c r="A951" s="267"/>
      <c r="B951" s="267"/>
      <c r="F951" s="267"/>
    </row>
    <row r="952" spans="1:6" ht="12.75">
      <c r="A952" s="267"/>
      <c r="B952" s="267"/>
      <c r="F952" s="267"/>
    </row>
    <row r="953" spans="1:6" ht="12.75">
      <c r="A953" s="267"/>
      <c r="B953" s="267"/>
      <c r="F953" s="267"/>
    </row>
    <row r="954" spans="1:6" ht="12.75">
      <c r="A954" s="267"/>
      <c r="B954" s="267"/>
      <c r="F954" s="267"/>
    </row>
    <row r="955" spans="1:6" ht="12.75">
      <c r="A955" s="267"/>
      <c r="B955" s="267"/>
      <c r="F955" s="267"/>
    </row>
    <row r="956" spans="1:6" ht="12.75">
      <c r="A956" s="267"/>
      <c r="B956" s="267"/>
      <c r="F956" s="267"/>
    </row>
    <row r="957" spans="1:6" ht="12.75">
      <c r="A957" s="267"/>
      <c r="B957" s="267"/>
      <c r="F957" s="267"/>
    </row>
    <row r="958" spans="1:6" ht="12.75">
      <c r="A958" s="267"/>
      <c r="B958" s="267"/>
      <c r="F958" s="267"/>
    </row>
    <row r="959" spans="1:6" ht="12.75">
      <c r="A959" s="267"/>
      <c r="B959" s="267"/>
      <c r="F959" s="267"/>
    </row>
    <row r="960" spans="1:6" ht="12.75">
      <c r="A960" s="267"/>
      <c r="B960" s="267"/>
      <c r="F960" s="267"/>
    </row>
    <row r="961" spans="1:6" ht="12.75">
      <c r="A961" s="267"/>
      <c r="B961" s="267"/>
      <c r="F961" s="267"/>
    </row>
    <row r="962" spans="1:6" ht="12.75">
      <c r="A962" s="267"/>
      <c r="B962" s="267"/>
      <c r="F962" s="267"/>
    </row>
    <row r="963" spans="1:6" ht="12.75">
      <c r="A963" s="267"/>
      <c r="B963" s="267"/>
      <c r="F963" s="267"/>
    </row>
    <row r="964" spans="1:6" ht="12.75">
      <c r="A964" s="267"/>
      <c r="B964" s="267"/>
      <c r="F964" s="267"/>
    </row>
    <row r="965" spans="1:6" ht="12.75">
      <c r="A965" s="267"/>
      <c r="B965" s="267"/>
      <c r="F965" s="267"/>
    </row>
    <row r="966" spans="1:6" ht="12.75">
      <c r="A966" s="267"/>
      <c r="B966" s="267"/>
      <c r="F966" s="267"/>
    </row>
    <row r="967" spans="1:6" ht="12.75">
      <c r="A967" s="267"/>
      <c r="B967" s="267"/>
      <c r="F967" s="267"/>
    </row>
    <row r="968" spans="1:6" ht="12.75">
      <c r="A968" s="267"/>
      <c r="B968" s="267"/>
      <c r="F968" s="267"/>
    </row>
    <row r="969" spans="1:6" ht="12.75">
      <c r="A969" s="267"/>
      <c r="B969" s="267"/>
      <c r="F969" s="267"/>
    </row>
    <row r="970" spans="1:6" ht="12.75">
      <c r="A970" s="267"/>
      <c r="B970" s="267"/>
      <c r="F970" s="267"/>
    </row>
    <row r="971" spans="1:6" ht="12.75">
      <c r="A971" s="267"/>
      <c r="B971" s="267"/>
      <c r="F971" s="267"/>
    </row>
    <row r="972" spans="1:6" ht="12.75">
      <c r="A972" s="267"/>
      <c r="B972" s="267"/>
      <c r="F972" s="267"/>
    </row>
    <row r="973" spans="1:6" ht="12.75">
      <c r="A973" s="267"/>
      <c r="B973" s="267"/>
      <c r="F973" s="267"/>
    </row>
    <row r="974" spans="1:6" ht="12.75">
      <c r="A974" s="267"/>
      <c r="B974" s="267"/>
      <c r="F974" s="267"/>
    </row>
    <row r="975" spans="1:6" ht="12.75">
      <c r="A975" s="267"/>
      <c r="B975" s="267"/>
      <c r="F975" s="267"/>
    </row>
    <row r="976" spans="1:6" ht="12.75">
      <c r="A976" s="267"/>
      <c r="B976" s="267"/>
      <c r="F976" s="267"/>
    </row>
    <row r="977" spans="1:6" ht="12.75">
      <c r="A977" s="267"/>
      <c r="B977" s="267"/>
      <c r="F977" s="267"/>
    </row>
    <row r="978" spans="1:6" ht="12.75">
      <c r="A978" s="267"/>
      <c r="B978" s="267"/>
      <c r="F978" s="267"/>
    </row>
    <row r="979" spans="1:6" ht="12.75">
      <c r="A979" s="267"/>
      <c r="B979" s="267"/>
      <c r="F979" s="267"/>
    </row>
    <row r="980" spans="1:6" ht="12.75">
      <c r="A980" s="267"/>
      <c r="B980" s="267"/>
      <c r="F980" s="267"/>
    </row>
    <row r="981" spans="1:6" ht="12.75">
      <c r="A981" s="267"/>
      <c r="B981" s="267"/>
      <c r="F981" s="267"/>
    </row>
    <row r="982" spans="1:6" ht="12.75">
      <c r="A982" s="267"/>
      <c r="B982" s="267"/>
      <c r="F982" s="267"/>
    </row>
    <row r="983" spans="1:6" ht="12.75">
      <c r="A983" s="267"/>
      <c r="B983" s="267"/>
      <c r="F983" s="267"/>
    </row>
    <row r="984" spans="1:6" ht="12.75">
      <c r="A984" s="267"/>
      <c r="B984" s="267"/>
      <c r="F984" s="267"/>
    </row>
    <row r="985" spans="1:6" ht="12.75">
      <c r="A985" s="267"/>
      <c r="B985" s="267"/>
      <c r="F985" s="267"/>
    </row>
    <row r="986" spans="1:6" ht="12.75">
      <c r="A986" s="267"/>
      <c r="B986" s="267"/>
      <c r="F986" s="267"/>
    </row>
    <row r="987" spans="1:6" ht="12.75">
      <c r="A987" s="267"/>
      <c r="B987" s="267"/>
      <c r="F987" s="267"/>
    </row>
    <row r="988" spans="1:6" ht="12.75">
      <c r="A988" s="267"/>
      <c r="B988" s="267"/>
      <c r="F988" s="267"/>
    </row>
    <row r="989" spans="1:6" ht="12.75">
      <c r="A989" s="267"/>
      <c r="B989" s="267"/>
      <c r="F989" s="267"/>
    </row>
    <row r="990" spans="1:6" ht="12.75">
      <c r="A990" s="267"/>
      <c r="B990" s="267"/>
      <c r="F990" s="267"/>
    </row>
    <row r="991" spans="1:6" ht="12.75">
      <c r="A991" s="267"/>
      <c r="B991" s="267"/>
      <c r="F991" s="267"/>
    </row>
    <row r="992" spans="1:6" ht="12.75">
      <c r="A992" s="267"/>
      <c r="B992" s="267"/>
      <c r="F992" s="267"/>
    </row>
    <row r="993" spans="1:6" ht="12.75">
      <c r="A993" s="267"/>
      <c r="B993" s="267"/>
      <c r="F993" s="267"/>
    </row>
  </sheetData>
  <mergeCells count="7">
    <mergeCell ref="B26:F26"/>
    <mergeCell ref="B50:F50"/>
    <mergeCell ref="B3:F3"/>
    <mergeCell ref="B9:F9"/>
    <mergeCell ref="B15:F15"/>
    <mergeCell ref="B17:F17"/>
    <mergeCell ref="B25:F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001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67"/>
      <c r="B1" s="461" t="s">
        <v>258</v>
      </c>
      <c r="C1" s="352"/>
      <c r="D1" s="352"/>
      <c r="E1" s="352"/>
      <c r="F1" s="352"/>
    </row>
    <row r="2" spans="1:6" ht="15" customHeight="1">
      <c r="A2" s="267"/>
      <c r="B2" s="269" t="s">
        <v>259</v>
      </c>
      <c r="C2" s="270" t="s">
        <v>260</v>
      </c>
      <c r="D2" s="270" t="s">
        <v>261</v>
      </c>
      <c r="E2" s="270" t="s">
        <v>262</v>
      </c>
      <c r="F2" s="269" t="s">
        <v>263</v>
      </c>
    </row>
    <row r="3" spans="1:6" ht="15" customHeight="1">
      <c r="A3" s="267"/>
      <c r="B3" s="457" t="s">
        <v>385</v>
      </c>
      <c r="C3" s="352"/>
      <c r="D3" s="352"/>
      <c r="E3" s="352"/>
      <c r="F3" s="352"/>
    </row>
    <row r="4" spans="1:6" ht="15" customHeight="1">
      <c r="A4" s="267"/>
      <c r="B4" s="267" t="s">
        <v>52</v>
      </c>
      <c r="C4" s="87" t="s">
        <v>265</v>
      </c>
      <c r="D4" s="87" t="s">
        <v>266</v>
      </c>
      <c r="E4" s="87">
        <v>3</v>
      </c>
      <c r="F4" s="267" t="s">
        <v>267</v>
      </c>
    </row>
    <row r="5" spans="1:6" ht="15" customHeight="1">
      <c r="A5" s="267"/>
      <c r="B5" s="267" t="s">
        <v>268</v>
      </c>
      <c r="C5" s="87" t="s">
        <v>269</v>
      </c>
      <c r="D5" s="87" t="s">
        <v>270</v>
      </c>
      <c r="E5" s="87">
        <v>3</v>
      </c>
      <c r="F5" s="267" t="s">
        <v>267</v>
      </c>
    </row>
    <row r="6" spans="1:6" ht="15" customHeight="1">
      <c r="A6" s="267"/>
      <c r="B6" s="267" t="s">
        <v>99</v>
      </c>
      <c r="C6" s="87" t="s">
        <v>271</v>
      </c>
      <c r="D6" s="87" t="s">
        <v>272</v>
      </c>
      <c r="E6" s="87">
        <v>3</v>
      </c>
      <c r="F6" s="267" t="s">
        <v>267</v>
      </c>
    </row>
    <row r="7" spans="1:6" ht="15" customHeight="1">
      <c r="A7" s="267"/>
      <c r="B7" s="267" t="s">
        <v>273</v>
      </c>
      <c r="C7" s="87" t="s">
        <v>274</v>
      </c>
      <c r="D7" s="87" t="s">
        <v>275</v>
      </c>
      <c r="E7" s="87">
        <v>3</v>
      </c>
      <c r="F7" s="267" t="s">
        <v>267</v>
      </c>
    </row>
    <row r="8" spans="1:6" ht="15" customHeight="1">
      <c r="A8" s="267"/>
      <c r="B8" s="458" t="s">
        <v>386</v>
      </c>
      <c r="C8" s="352"/>
      <c r="D8" s="352"/>
      <c r="E8" s="352"/>
      <c r="F8" s="352"/>
    </row>
    <row r="9" spans="1:6" ht="15" customHeight="1">
      <c r="A9" s="267"/>
      <c r="B9" s="267" t="s">
        <v>49</v>
      </c>
      <c r="C9" s="87" t="s">
        <v>279</v>
      </c>
      <c r="D9" s="87" t="s">
        <v>280</v>
      </c>
      <c r="E9" s="87">
        <v>3</v>
      </c>
      <c r="F9" s="267" t="s">
        <v>267</v>
      </c>
    </row>
    <row r="10" spans="1:6" ht="15" customHeight="1">
      <c r="A10" s="267"/>
      <c r="B10" s="267" t="s">
        <v>387</v>
      </c>
      <c r="C10" s="87" t="s">
        <v>388</v>
      </c>
      <c r="D10" s="87" t="s">
        <v>389</v>
      </c>
      <c r="E10" s="87">
        <v>3</v>
      </c>
      <c r="F10" s="267" t="s">
        <v>267</v>
      </c>
    </row>
    <row r="11" spans="1:6" ht="15" customHeight="1">
      <c r="A11" s="267"/>
      <c r="B11" s="267" t="s">
        <v>390</v>
      </c>
      <c r="C11" s="87" t="s">
        <v>391</v>
      </c>
      <c r="D11" s="87" t="s">
        <v>392</v>
      </c>
      <c r="E11" s="87">
        <v>3</v>
      </c>
      <c r="F11" s="267" t="s">
        <v>267</v>
      </c>
    </row>
    <row r="12" spans="1:6" ht="15" customHeight="1">
      <c r="A12" s="267"/>
      <c r="B12" s="267" t="s">
        <v>393</v>
      </c>
      <c r="C12" s="87" t="s">
        <v>394</v>
      </c>
      <c r="D12" s="87" t="s">
        <v>395</v>
      </c>
      <c r="E12" s="87">
        <v>3</v>
      </c>
      <c r="F12" s="267" t="s">
        <v>267</v>
      </c>
    </row>
    <row r="13" spans="1:6" ht="15" customHeight="1">
      <c r="A13" s="267"/>
      <c r="B13" s="267" t="s">
        <v>396</v>
      </c>
      <c r="C13" s="87" t="s">
        <v>397</v>
      </c>
      <c r="D13" s="87" t="s">
        <v>398</v>
      </c>
      <c r="E13" s="87">
        <v>3</v>
      </c>
      <c r="F13" s="267" t="s">
        <v>267</v>
      </c>
    </row>
    <row r="14" spans="1:6" ht="15" customHeight="1">
      <c r="A14" s="267"/>
      <c r="B14" s="267" t="s">
        <v>399</v>
      </c>
      <c r="C14" s="87" t="s">
        <v>400</v>
      </c>
      <c r="D14" s="87" t="s">
        <v>401</v>
      </c>
      <c r="E14" s="87">
        <v>3</v>
      </c>
      <c r="F14" s="267" t="s">
        <v>267</v>
      </c>
    </row>
    <row r="15" spans="1:6" ht="15" customHeight="1">
      <c r="A15" s="267"/>
      <c r="B15" s="267" t="s">
        <v>402</v>
      </c>
      <c r="C15" s="87" t="s">
        <v>403</v>
      </c>
      <c r="D15" s="87" t="s">
        <v>404</v>
      </c>
      <c r="E15" s="87">
        <v>3</v>
      </c>
      <c r="F15" s="267" t="s">
        <v>267</v>
      </c>
    </row>
    <row r="16" spans="1:6" ht="15" customHeight="1">
      <c r="A16" s="267"/>
      <c r="B16" s="459"/>
      <c r="C16" s="352"/>
      <c r="D16" s="352"/>
      <c r="E16" s="352"/>
      <c r="F16" s="352"/>
    </row>
    <row r="17" spans="1:6" ht="15" customHeight="1">
      <c r="A17" s="267"/>
      <c r="B17" s="267" t="s">
        <v>405</v>
      </c>
      <c r="D17" s="87" t="s">
        <v>406</v>
      </c>
      <c r="E17" s="87">
        <v>3</v>
      </c>
      <c r="F17" s="267" t="s">
        <v>267</v>
      </c>
    </row>
    <row r="18" spans="1:6" ht="15" customHeight="1">
      <c r="A18" s="267"/>
      <c r="B18" s="267" t="s">
        <v>407</v>
      </c>
      <c r="D18" s="87" t="s">
        <v>408</v>
      </c>
      <c r="E18" s="87">
        <v>3</v>
      </c>
      <c r="F18" s="267" t="s">
        <v>267</v>
      </c>
    </row>
    <row r="19" spans="1:6" ht="15" customHeight="1">
      <c r="A19" s="267"/>
      <c r="B19" s="267" t="s">
        <v>51</v>
      </c>
      <c r="D19" s="87" t="s">
        <v>304</v>
      </c>
      <c r="E19" s="87">
        <v>3</v>
      </c>
      <c r="F19" s="267" t="s">
        <v>267</v>
      </c>
    </row>
    <row r="20" spans="1:6" ht="15" customHeight="1">
      <c r="A20" s="267"/>
      <c r="B20" s="267" t="s">
        <v>409</v>
      </c>
      <c r="D20" s="87" t="s">
        <v>410</v>
      </c>
      <c r="E20" s="87">
        <v>3</v>
      </c>
      <c r="F20" s="267" t="s">
        <v>267</v>
      </c>
    </row>
    <row r="21" spans="1:6" ht="15" customHeight="1">
      <c r="A21" s="267"/>
      <c r="B21" s="460"/>
      <c r="C21" s="352"/>
      <c r="D21" s="352"/>
      <c r="E21" s="352"/>
      <c r="F21" s="352"/>
    </row>
    <row r="22" spans="1:6" ht="15" customHeight="1">
      <c r="A22" s="267"/>
      <c r="B22" s="267" t="s">
        <v>411</v>
      </c>
      <c r="D22" s="87" t="s">
        <v>412</v>
      </c>
      <c r="E22" s="87">
        <v>1</v>
      </c>
      <c r="F22" s="267" t="s">
        <v>413</v>
      </c>
    </row>
    <row r="23" spans="1:6" ht="15" customHeight="1">
      <c r="A23" s="267"/>
      <c r="B23" s="267" t="s">
        <v>414</v>
      </c>
      <c r="D23" s="87" t="s">
        <v>415</v>
      </c>
      <c r="E23" s="87">
        <v>1</v>
      </c>
      <c r="F23" s="267" t="s">
        <v>413</v>
      </c>
    </row>
    <row r="24" spans="1:6" ht="15" customHeight="1">
      <c r="A24" s="267"/>
      <c r="B24" s="267" t="s">
        <v>416</v>
      </c>
      <c r="D24" s="87" t="s">
        <v>417</v>
      </c>
      <c r="F24" s="267"/>
    </row>
    <row r="25" spans="1:6" ht="12.75">
      <c r="A25" s="267"/>
      <c r="B25" s="267" t="s">
        <v>418</v>
      </c>
      <c r="D25" s="87" t="s">
        <v>419</v>
      </c>
      <c r="F25" s="267"/>
    </row>
    <row r="26" spans="1:6" ht="12.75">
      <c r="A26" s="267"/>
      <c r="B26" s="267" t="s">
        <v>420</v>
      </c>
      <c r="D26" s="87" t="s">
        <v>421</v>
      </c>
      <c r="F26" s="267"/>
    </row>
    <row r="27" spans="1:6" ht="12.75">
      <c r="A27" s="267"/>
      <c r="B27" s="267" t="s">
        <v>422</v>
      </c>
      <c r="D27" s="87" t="s">
        <v>423</v>
      </c>
      <c r="F27" s="267"/>
    </row>
    <row r="28" spans="1:6" ht="12.75">
      <c r="A28" s="267"/>
      <c r="B28" s="267" t="s">
        <v>424</v>
      </c>
      <c r="D28" s="87" t="s">
        <v>425</v>
      </c>
      <c r="F28" s="267"/>
    </row>
    <row r="29" spans="1:6" ht="12.75">
      <c r="A29" s="267"/>
      <c r="B29" s="267" t="s">
        <v>426</v>
      </c>
      <c r="D29" s="87" t="s">
        <v>427</v>
      </c>
      <c r="F29" s="267"/>
    </row>
    <row r="30" spans="1:6" ht="12.75">
      <c r="A30" s="267"/>
      <c r="B30" s="267" t="s">
        <v>428</v>
      </c>
      <c r="D30" s="87" t="s">
        <v>429</v>
      </c>
      <c r="F30" s="267"/>
    </row>
    <row r="31" spans="1:6" ht="12.75">
      <c r="A31" s="267"/>
      <c r="B31" s="267" t="s">
        <v>430</v>
      </c>
      <c r="D31" s="87" t="s">
        <v>431</v>
      </c>
      <c r="F31" s="267"/>
    </row>
    <row r="32" spans="1:6" ht="12.75">
      <c r="A32" s="267"/>
      <c r="B32" s="267" t="s">
        <v>432</v>
      </c>
      <c r="D32" s="87" t="s">
        <v>433</v>
      </c>
      <c r="F32" s="267"/>
    </row>
    <row r="33" spans="1:6" ht="12.75">
      <c r="A33" s="267"/>
      <c r="B33" s="267" t="s">
        <v>434</v>
      </c>
      <c r="D33" s="87" t="s">
        <v>435</v>
      </c>
      <c r="F33" s="267"/>
    </row>
    <row r="34" spans="1:6" ht="12.75">
      <c r="A34" s="267"/>
      <c r="B34" s="456" t="s">
        <v>305</v>
      </c>
      <c r="C34" s="352"/>
      <c r="D34" s="352"/>
      <c r="E34" s="352"/>
      <c r="F34" s="352"/>
    </row>
    <row r="35" spans="1:6" ht="12.75">
      <c r="A35" s="267"/>
      <c r="B35" s="456" t="s">
        <v>306</v>
      </c>
      <c r="C35" s="352"/>
      <c r="D35" s="352"/>
      <c r="E35" s="352"/>
      <c r="F35" s="352"/>
    </row>
    <row r="36" spans="1:6" ht="12.75">
      <c r="A36" s="267"/>
      <c r="B36" s="267" t="s">
        <v>307</v>
      </c>
      <c r="D36" s="87" t="s">
        <v>308</v>
      </c>
      <c r="E36" s="87">
        <v>2</v>
      </c>
      <c r="F36" s="267" t="s">
        <v>309</v>
      </c>
    </row>
    <row r="37" spans="1:6" ht="12.75">
      <c r="A37" s="267"/>
      <c r="B37" s="267" t="s">
        <v>44</v>
      </c>
      <c r="D37" s="87" t="s">
        <v>310</v>
      </c>
      <c r="E37" s="87">
        <v>2</v>
      </c>
      <c r="F37" s="267" t="s">
        <v>309</v>
      </c>
    </row>
    <row r="38" spans="1:6" ht="12.75">
      <c r="A38" s="267"/>
      <c r="B38" s="267" t="s">
        <v>100</v>
      </c>
      <c r="D38" s="87" t="s">
        <v>311</v>
      </c>
      <c r="E38" s="87">
        <v>2</v>
      </c>
      <c r="F38" s="267" t="s">
        <v>312</v>
      </c>
    </row>
    <row r="39" spans="1:6" ht="12.75">
      <c r="A39" s="267"/>
      <c r="B39" s="267" t="s">
        <v>313</v>
      </c>
      <c r="D39" s="87" t="s">
        <v>314</v>
      </c>
      <c r="E39" s="87">
        <v>2</v>
      </c>
      <c r="F39" s="267" t="s">
        <v>309</v>
      </c>
    </row>
    <row r="40" spans="1:6" ht="12.75">
      <c r="A40" s="267"/>
      <c r="B40" s="267" t="s">
        <v>46</v>
      </c>
      <c r="D40" s="87" t="s">
        <v>315</v>
      </c>
      <c r="E40" s="87">
        <v>3</v>
      </c>
      <c r="F40" s="267" t="s">
        <v>316</v>
      </c>
    </row>
    <row r="41" spans="1:6" ht="12.75">
      <c r="A41" s="267"/>
      <c r="B41" s="267" t="s">
        <v>317</v>
      </c>
      <c r="D41" s="87" t="s">
        <v>318</v>
      </c>
      <c r="E41" s="87">
        <v>3</v>
      </c>
      <c r="F41" s="267" t="s">
        <v>316</v>
      </c>
    </row>
    <row r="42" spans="1:6" ht="12.75">
      <c r="A42" s="267"/>
      <c r="B42" s="456" t="s">
        <v>319</v>
      </c>
      <c r="C42" s="352"/>
      <c r="D42" s="352"/>
      <c r="E42" s="352"/>
      <c r="F42" s="352"/>
    </row>
    <row r="43" spans="1:6" ht="12.75">
      <c r="A43" s="267"/>
      <c r="B43" s="456" t="s">
        <v>320</v>
      </c>
      <c r="C43" s="352"/>
      <c r="D43" s="352"/>
      <c r="E43" s="352"/>
      <c r="F43" s="352"/>
    </row>
    <row r="44" spans="1:6" ht="12.75">
      <c r="A44" s="267"/>
      <c r="B44" s="267" t="s">
        <v>101</v>
      </c>
      <c r="D44" s="87" t="s">
        <v>322</v>
      </c>
      <c r="F44" s="267"/>
    </row>
    <row r="45" spans="1:6" ht="12.75">
      <c r="A45" s="267"/>
      <c r="B45" s="267" t="s">
        <v>323</v>
      </c>
      <c r="D45" s="87" t="s">
        <v>324</v>
      </c>
      <c r="F45" s="267"/>
    </row>
    <row r="46" spans="1:6" ht="12.75">
      <c r="A46" s="267"/>
      <c r="B46" s="267" t="s">
        <v>103</v>
      </c>
      <c r="D46" s="87" t="s">
        <v>325</v>
      </c>
      <c r="F46" s="267"/>
    </row>
    <row r="47" spans="1:6" ht="12.75">
      <c r="A47" s="267"/>
      <c r="B47" s="267" t="s">
        <v>326</v>
      </c>
      <c r="D47" s="87" t="s">
        <v>327</v>
      </c>
      <c r="F47" s="267"/>
    </row>
    <row r="48" spans="1:6" ht="12.75">
      <c r="A48" s="267"/>
      <c r="B48" s="267" t="s">
        <v>107</v>
      </c>
      <c r="D48" s="87" t="s">
        <v>328</v>
      </c>
      <c r="F48" s="267"/>
    </row>
    <row r="49" spans="1:6" ht="12.75">
      <c r="A49" s="267"/>
      <c r="B49" s="267" t="s">
        <v>110</v>
      </c>
      <c r="D49" s="87" t="s">
        <v>329</v>
      </c>
      <c r="F49" s="267"/>
    </row>
    <row r="50" spans="1:6" ht="12.75">
      <c r="A50" s="267"/>
      <c r="B50" s="267" t="s">
        <v>330</v>
      </c>
      <c r="D50" s="87" t="s">
        <v>138</v>
      </c>
      <c r="F50" s="267"/>
    </row>
    <row r="51" spans="1:6" ht="12.75">
      <c r="A51" s="267"/>
      <c r="B51" s="267" t="s">
        <v>331</v>
      </c>
      <c r="D51" s="87" t="s">
        <v>332</v>
      </c>
      <c r="F51" s="267"/>
    </row>
    <row r="52" spans="1:6" ht="12.75">
      <c r="A52" s="267"/>
      <c r="B52" s="267" t="s">
        <v>333</v>
      </c>
      <c r="D52" s="87" t="s">
        <v>142</v>
      </c>
      <c r="F52" s="267"/>
    </row>
    <row r="53" spans="1:6" ht="12.75">
      <c r="A53" s="267"/>
      <c r="B53" s="267" t="s">
        <v>334</v>
      </c>
      <c r="D53" s="87" t="s">
        <v>145</v>
      </c>
      <c r="F53" s="267"/>
    </row>
    <row r="54" spans="1:6" ht="12.75">
      <c r="A54" s="267"/>
      <c r="B54" s="267" t="s">
        <v>335</v>
      </c>
      <c r="D54" s="87" t="s">
        <v>336</v>
      </c>
      <c r="F54" s="267"/>
    </row>
    <row r="55" spans="1:6" ht="12.75">
      <c r="A55" s="267"/>
      <c r="B55" s="267" t="s">
        <v>337</v>
      </c>
      <c r="D55" s="87" t="s">
        <v>338</v>
      </c>
      <c r="F55" s="267"/>
    </row>
    <row r="56" spans="1:6" ht="12.75">
      <c r="A56" s="267"/>
      <c r="B56" s="267" t="s">
        <v>339</v>
      </c>
      <c r="D56" s="87" t="s">
        <v>340</v>
      </c>
      <c r="F56" s="267"/>
    </row>
    <row r="57" spans="1:6" ht="12.75">
      <c r="A57" s="267"/>
      <c r="B57" s="267" t="s">
        <v>341</v>
      </c>
      <c r="D57" s="87" t="s">
        <v>342</v>
      </c>
      <c r="F57" s="267"/>
    </row>
    <row r="58" spans="1:6" ht="12.75">
      <c r="A58" s="267"/>
      <c r="B58" s="456" t="s">
        <v>343</v>
      </c>
      <c r="C58" s="352"/>
      <c r="D58" s="352"/>
      <c r="E58" s="352"/>
      <c r="F58" s="352"/>
    </row>
    <row r="59" spans="1:6" ht="12.75">
      <c r="A59" s="267"/>
      <c r="B59" s="267" t="s">
        <v>344</v>
      </c>
      <c r="D59" s="87" t="s">
        <v>345</v>
      </c>
      <c r="F59" s="267"/>
    </row>
    <row r="60" spans="1:6" ht="12.75">
      <c r="A60" s="267"/>
      <c r="B60" s="267" t="s">
        <v>346</v>
      </c>
      <c r="D60" s="87" t="s">
        <v>347</v>
      </c>
      <c r="F60" s="267"/>
    </row>
    <row r="61" spans="1:6" ht="12.75">
      <c r="A61" s="267"/>
      <c r="B61" s="267" t="s">
        <v>348</v>
      </c>
      <c r="D61" s="87" t="s">
        <v>349</v>
      </c>
      <c r="F61" s="267"/>
    </row>
    <row r="62" spans="1:6" ht="12.75">
      <c r="A62" s="267"/>
      <c r="B62" s="267" t="s">
        <v>350</v>
      </c>
      <c r="D62" s="87" t="s">
        <v>351</v>
      </c>
      <c r="F62" s="267"/>
    </row>
    <row r="63" spans="1:6" ht="12.75">
      <c r="A63" s="267"/>
      <c r="B63" s="267" t="s">
        <v>352</v>
      </c>
      <c r="D63" s="87" t="s">
        <v>353</v>
      </c>
      <c r="F63" s="267"/>
    </row>
    <row r="64" spans="1:6" ht="12.75">
      <c r="A64" s="267"/>
      <c r="B64" s="267" t="s">
        <v>354</v>
      </c>
      <c r="D64" s="87" t="s">
        <v>355</v>
      </c>
      <c r="F64" s="267"/>
    </row>
    <row r="65" spans="1:6" ht="12.75">
      <c r="A65" s="267"/>
      <c r="B65" s="267" t="s">
        <v>114</v>
      </c>
      <c r="D65" s="87" t="s">
        <v>356</v>
      </c>
      <c r="F65" s="267"/>
    </row>
    <row r="66" spans="1:6" ht="12.75">
      <c r="A66" s="267"/>
      <c r="B66" s="267" t="s">
        <v>357</v>
      </c>
      <c r="D66" s="87" t="s">
        <v>358</v>
      </c>
      <c r="F66" s="267"/>
    </row>
    <row r="67" spans="1:6" ht="12.75">
      <c r="A67" s="267"/>
      <c r="B67" s="267" t="s">
        <v>359</v>
      </c>
      <c r="D67" s="87" t="s">
        <v>360</v>
      </c>
      <c r="E67" s="87">
        <v>3</v>
      </c>
      <c r="F67" s="267" t="s">
        <v>316</v>
      </c>
    </row>
    <row r="68" spans="1:6" ht="12.75">
      <c r="A68" s="267"/>
      <c r="B68" s="267" t="s">
        <v>361</v>
      </c>
      <c r="D68" s="87" t="s">
        <v>362</v>
      </c>
      <c r="E68" s="87">
        <v>3</v>
      </c>
      <c r="F68" s="267" t="s">
        <v>267</v>
      </c>
    </row>
    <row r="69" spans="1:6" ht="25.5">
      <c r="A69" s="267"/>
      <c r="B69" s="267" t="s">
        <v>363</v>
      </c>
      <c r="D69" s="87" t="s">
        <v>364</v>
      </c>
      <c r="E69" s="87">
        <v>3</v>
      </c>
      <c r="F69" s="267" t="s">
        <v>316</v>
      </c>
    </row>
    <row r="70" spans="1:6" ht="25.5">
      <c r="A70" s="267"/>
      <c r="B70" s="267" t="s">
        <v>365</v>
      </c>
      <c r="D70" s="87" t="s">
        <v>366</v>
      </c>
      <c r="E70" s="87">
        <v>3</v>
      </c>
      <c r="F70" s="267" t="s">
        <v>316</v>
      </c>
    </row>
    <row r="71" spans="1:6" ht="12.75">
      <c r="A71" s="267"/>
      <c r="B71" s="267" t="s">
        <v>367</v>
      </c>
      <c r="D71" s="87" t="s">
        <v>368</v>
      </c>
      <c r="F71" s="267"/>
    </row>
    <row r="72" spans="1:6" ht="12.75">
      <c r="A72" s="267"/>
      <c r="B72" s="267" t="s">
        <v>369</v>
      </c>
      <c r="D72" s="87" t="s">
        <v>370</v>
      </c>
      <c r="F72" s="267"/>
    </row>
    <row r="73" spans="1:6" ht="12.75">
      <c r="A73" s="267"/>
      <c r="B73" s="267" t="s">
        <v>371</v>
      </c>
      <c r="D73" s="87" t="s">
        <v>372</v>
      </c>
      <c r="F73" s="267"/>
    </row>
    <row r="74" spans="1:6" ht="12.75">
      <c r="A74" s="267"/>
      <c r="B74" s="267" t="s">
        <v>373</v>
      </c>
      <c r="D74" s="87" t="s">
        <v>374</v>
      </c>
      <c r="F74" s="267"/>
    </row>
    <row r="75" spans="1:6" ht="12.75">
      <c r="A75" s="267"/>
      <c r="B75" s="267" t="s">
        <v>375</v>
      </c>
      <c r="D75" s="87" t="s">
        <v>376</v>
      </c>
      <c r="F75" s="267"/>
    </row>
    <row r="76" spans="1:6" ht="12.75">
      <c r="A76" s="267"/>
      <c r="B76" s="267" t="s">
        <v>377</v>
      </c>
      <c r="D76" s="87" t="s">
        <v>378</v>
      </c>
      <c r="F76" s="267"/>
    </row>
    <row r="77" spans="1:6" ht="12.75">
      <c r="A77" s="267"/>
      <c r="B77" s="267" t="s">
        <v>379</v>
      </c>
      <c r="D77" s="87" t="s">
        <v>380</v>
      </c>
      <c r="F77" s="267"/>
    </row>
    <row r="78" spans="1:6" ht="12.75">
      <c r="A78" s="267"/>
      <c r="B78" s="267" t="s">
        <v>381</v>
      </c>
      <c r="D78" s="87" t="s">
        <v>382</v>
      </c>
      <c r="F78" s="267"/>
    </row>
    <row r="79" spans="1:6" ht="12.75">
      <c r="A79" s="267"/>
      <c r="B79" s="267" t="s">
        <v>383</v>
      </c>
      <c r="D79" s="87" t="s">
        <v>384</v>
      </c>
      <c r="F79" s="267"/>
    </row>
    <row r="80" spans="1:6" ht="12.75">
      <c r="A80" s="267"/>
      <c r="B80" s="267"/>
      <c r="F80" s="267"/>
    </row>
    <row r="81" spans="1:6" ht="12.75">
      <c r="A81" s="267"/>
      <c r="B81" s="267"/>
      <c r="F81" s="267"/>
    </row>
    <row r="82" spans="1:6" ht="12.75">
      <c r="A82" s="267"/>
      <c r="B82" s="267"/>
      <c r="F82" s="267"/>
    </row>
    <row r="83" spans="1:6" ht="12.75">
      <c r="A83" s="267"/>
      <c r="B83" s="267"/>
      <c r="F83" s="267"/>
    </row>
    <row r="84" spans="1:6" ht="12.75">
      <c r="A84" s="267"/>
      <c r="B84" s="267"/>
      <c r="F84" s="267"/>
    </row>
    <row r="85" spans="1:6" ht="12.75">
      <c r="A85" s="267"/>
      <c r="B85" s="267"/>
      <c r="F85" s="267"/>
    </row>
    <row r="86" spans="1:6" ht="12.75">
      <c r="A86" s="267"/>
      <c r="B86" s="267"/>
      <c r="F86" s="267"/>
    </row>
    <row r="87" spans="1:6" ht="12.75">
      <c r="A87" s="267"/>
      <c r="B87" s="267"/>
      <c r="F87" s="267"/>
    </row>
    <row r="88" spans="1:6" ht="12.75">
      <c r="A88" s="267"/>
      <c r="B88" s="267"/>
      <c r="F88" s="267"/>
    </row>
    <row r="89" spans="1:6" ht="12.75">
      <c r="A89" s="267"/>
      <c r="B89" s="267"/>
      <c r="F89" s="267"/>
    </row>
    <row r="90" spans="1:6" ht="12.75">
      <c r="A90" s="267"/>
      <c r="B90" s="267"/>
      <c r="F90" s="267"/>
    </row>
    <row r="91" spans="1:6" ht="12.75">
      <c r="A91" s="267"/>
      <c r="B91" s="267"/>
      <c r="F91" s="267"/>
    </row>
    <row r="92" spans="1:6" ht="12.75">
      <c r="A92" s="267"/>
      <c r="B92" s="267"/>
      <c r="F92" s="267"/>
    </row>
    <row r="93" spans="1:6" ht="12.75">
      <c r="A93" s="267"/>
      <c r="B93" s="267"/>
      <c r="F93" s="267"/>
    </row>
    <row r="94" spans="1:6" ht="12.75">
      <c r="A94" s="267"/>
      <c r="B94" s="267"/>
      <c r="F94" s="267"/>
    </row>
    <row r="95" spans="1:6" ht="12.75">
      <c r="A95" s="267"/>
      <c r="B95" s="267"/>
      <c r="F95" s="267"/>
    </row>
    <row r="96" spans="1:6" ht="12.75">
      <c r="A96" s="267"/>
      <c r="B96" s="267"/>
      <c r="F96" s="267"/>
    </row>
    <row r="97" spans="1:6" ht="12.75">
      <c r="A97" s="267"/>
      <c r="B97" s="267"/>
      <c r="F97" s="267"/>
    </row>
    <row r="98" spans="1:6" ht="12.75">
      <c r="A98" s="267"/>
      <c r="B98" s="267"/>
      <c r="F98" s="267"/>
    </row>
    <row r="99" spans="1:6" ht="12.75">
      <c r="A99" s="267"/>
      <c r="B99" s="267"/>
      <c r="F99" s="267"/>
    </row>
    <row r="100" spans="1:6" ht="12.75">
      <c r="A100" s="267"/>
      <c r="B100" s="267"/>
      <c r="F100" s="267"/>
    </row>
    <row r="101" spans="1:6" ht="12.75">
      <c r="A101" s="267"/>
      <c r="B101" s="267"/>
      <c r="F101" s="267"/>
    </row>
    <row r="102" spans="1:6" ht="12.75">
      <c r="A102" s="267"/>
      <c r="B102" s="267"/>
      <c r="F102" s="267"/>
    </row>
    <row r="103" spans="1:6" ht="12.75">
      <c r="A103" s="267"/>
      <c r="B103" s="267"/>
      <c r="F103" s="267"/>
    </row>
    <row r="104" spans="1:6" ht="12.75">
      <c r="A104" s="267"/>
      <c r="B104" s="267"/>
      <c r="F104" s="267"/>
    </row>
    <row r="105" spans="1:6" ht="12.75">
      <c r="A105" s="267"/>
      <c r="B105" s="267"/>
      <c r="F105" s="267"/>
    </row>
    <row r="106" spans="1:6" ht="12.75">
      <c r="A106" s="267"/>
      <c r="B106" s="267"/>
      <c r="F106" s="267"/>
    </row>
    <row r="107" spans="1:6" ht="12.75">
      <c r="A107" s="267"/>
      <c r="B107" s="267"/>
      <c r="F107" s="267"/>
    </row>
    <row r="108" spans="1:6" ht="12.75">
      <c r="A108" s="267"/>
      <c r="B108" s="267"/>
      <c r="F108" s="267"/>
    </row>
    <row r="109" spans="1:6" ht="12.75">
      <c r="A109" s="267"/>
      <c r="B109" s="267"/>
      <c r="F109" s="267"/>
    </row>
    <row r="110" spans="1:6" ht="12.75">
      <c r="A110" s="267"/>
      <c r="B110" s="267"/>
      <c r="F110" s="267"/>
    </row>
    <row r="111" spans="1:6" ht="12.75">
      <c r="A111" s="267"/>
      <c r="B111" s="267"/>
      <c r="F111" s="267"/>
    </row>
    <row r="112" spans="1:6" ht="12.75">
      <c r="A112" s="267"/>
      <c r="B112" s="267"/>
      <c r="F112" s="267"/>
    </row>
    <row r="113" spans="1:6" ht="12.75">
      <c r="A113" s="267"/>
      <c r="B113" s="267"/>
      <c r="F113" s="267"/>
    </row>
    <row r="114" spans="1:6" ht="12.75">
      <c r="A114" s="267"/>
      <c r="B114" s="267"/>
      <c r="F114" s="267"/>
    </row>
    <row r="115" spans="1:6" ht="12.75">
      <c r="A115" s="267"/>
      <c r="B115" s="267"/>
      <c r="F115" s="267"/>
    </row>
    <row r="116" spans="1:6" ht="12.75">
      <c r="A116" s="267"/>
      <c r="B116" s="267"/>
      <c r="F116" s="267"/>
    </row>
    <row r="117" spans="1:6" ht="12.75">
      <c r="A117" s="267"/>
      <c r="B117" s="267"/>
      <c r="F117" s="267"/>
    </row>
    <row r="118" spans="1:6" ht="12.75">
      <c r="A118" s="267"/>
      <c r="B118" s="267"/>
      <c r="F118" s="267"/>
    </row>
    <row r="119" spans="1:6" ht="12.75">
      <c r="A119" s="267"/>
      <c r="B119" s="267"/>
      <c r="F119" s="267"/>
    </row>
    <row r="120" spans="1:6" ht="12.75">
      <c r="A120" s="267"/>
      <c r="B120" s="267"/>
      <c r="F120" s="267"/>
    </row>
    <row r="121" spans="1:6" ht="12.75">
      <c r="A121" s="267"/>
      <c r="B121" s="267"/>
      <c r="F121" s="267"/>
    </row>
    <row r="122" spans="1:6" ht="12.75">
      <c r="A122" s="267"/>
      <c r="B122" s="267"/>
      <c r="F122" s="267"/>
    </row>
    <row r="123" spans="1:6" ht="12.75">
      <c r="A123" s="267"/>
      <c r="B123" s="267"/>
      <c r="F123" s="267"/>
    </row>
    <row r="124" spans="1:6" ht="12.75">
      <c r="A124" s="267"/>
      <c r="B124" s="267"/>
      <c r="F124" s="267"/>
    </row>
    <row r="125" spans="1:6" ht="12.75">
      <c r="A125" s="267"/>
      <c r="B125" s="267"/>
      <c r="F125" s="267"/>
    </row>
    <row r="126" spans="1:6" ht="12.75">
      <c r="A126" s="267"/>
      <c r="B126" s="267"/>
      <c r="F126" s="267"/>
    </row>
    <row r="127" spans="1:6" ht="12.75">
      <c r="A127" s="267"/>
      <c r="B127" s="267"/>
      <c r="F127" s="267"/>
    </row>
    <row r="128" spans="1:6" ht="12.75">
      <c r="A128" s="267"/>
      <c r="B128" s="267"/>
      <c r="F128" s="267"/>
    </row>
    <row r="129" spans="1:6" ht="12.75">
      <c r="A129" s="267"/>
      <c r="B129" s="267"/>
      <c r="F129" s="267"/>
    </row>
    <row r="130" spans="1:6" ht="12.75">
      <c r="A130" s="267"/>
      <c r="B130" s="267"/>
      <c r="F130" s="267"/>
    </row>
    <row r="131" spans="1:6" ht="12.75">
      <c r="A131" s="267"/>
      <c r="B131" s="267"/>
      <c r="F131" s="267"/>
    </row>
    <row r="132" spans="1:6" ht="12.75">
      <c r="A132" s="267"/>
      <c r="B132" s="267"/>
      <c r="F132" s="267"/>
    </row>
    <row r="133" spans="1:6" ht="12.75">
      <c r="A133" s="267"/>
      <c r="B133" s="267"/>
      <c r="F133" s="267"/>
    </row>
    <row r="134" spans="1:6" ht="12.75">
      <c r="A134" s="267"/>
      <c r="B134" s="267"/>
      <c r="F134" s="267"/>
    </row>
    <row r="135" spans="1:6" ht="12.75">
      <c r="A135" s="267"/>
      <c r="B135" s="267"/>
      <c r="F135" s="267"/>
    </row>
    <row r="136" spans="1:6" ht="12.75">
      <c r="A136" s="267"/>
      <c r="B136" s="267"/>
      <c r="F136" s="267"/>
    </row>
    <row r="137" spans="1:6" ht="12.75">
      <c r="A137" s="267"/>
      <c r="B137" s="267"/>
      <c r="F137" s="267"/>
    </row>
    <row r="138" spans="1:6" ht="12.75">
      <c r="A138" s="267"/>
      <c r="B138" s="267"/>
      <c r="F138" s="267"/>
    </row>
    <row r="139" spans="1:6" ht="12.75">
      <c r="A139" s="267"/>
      <c r="B139" s="267"/>
      <c r="F139" s="267"/>
    </row>
    <row r="140" spans="1:6" ht="12.75">
      <c r="A140" s="267"/>
      <c r="B140" s="267"/>
      <c r="F140" s="267"/>
    </row>
    <row r="141" spans="1:6" ht="12.75">
      <c r="A141" s="267"/>
      <c r="B141" s="267"/>
      <c r="F141" s="267"/>
    </row>
    <row r="142" spans="1:6" ht="12.75">
      <c r="A142" s="267"/>
      <c r="B142" s="267"/>
      <c r="F142" s="267"/>
    </row>
    <row r="143" spans="1:6" ht="12.75">
      <c r="A143" s="267"/>
      <c r="B143" s="267"/>
      <c r="F143" s="267"/>
    </row>
    <row r="144" spans="1:6" ht="12.75">
      <c r="A144" s="267"/>
      <c r="B144" s="267"/>
      <c r="F144" s="267"/>
    </row>
    <row r="145" spans="1:6" ht="12.75">
      <c r="A145" s="267"/>
      <c r="B145" s="267"/>
      <c r="F145" s="267"/>
    </row>
    <row r="146" spans="1:6" ht="12.75">
      <c r="A146" s="267"/>
      <c r="B146" s="267"/>
      <c r="F146" s="267"/>
    </row>
    <row r="147" spans="1:6" ht="12.75">
      <c r="A147" s="267"/>
      <c r="B147" s="267"/>
      <c r="F147" s="267"/>
    </row>
    <row r="148" spans="1:6" ht="12.75">
      <c r="A148" s="267"/>
      <c r="B148" s="267"/>
      <c r="F148" s="267"/>
    </row>
    <row r="149" spans="1:6" ht="12.75">
      <c r="A149" s="267"/>
      <c r="B149" s="267"/>
      <c r="F149" s="267"/>
    </row>
    <row r="150" spans="1:6" ht="12.75">
      <c r="A150" s="267"/>
      <c r="B150" s="267"/>
      <c r="F150" s="267"/>
    </row>
    <row r="151" spans="1:6" ht="12.75">
      <c r="A151" s="267"/>
      <c r="B151" s="267"/>
      <c r="F151" s="267"/>
    </row>
    <row r="152" spans="1:6" ht="12.75">
      <c r="A152" s="267"/>
      <c r="B152" s="267"/>
      <c r="F152" s="267"/>
    </row>
    <row r="153" spans="1:6" ht="12.75">
      <c r="A153" s="267"/>
      <c r="B153" s="267"/>
      <c r="F153" s="267"/>
    </row>
    <row r="154" spans="1:6" ht="12.75">
      <c r="A154" s="267"/>
      <c r="B154" s="267"/>
      <c r="F154" s="267"/>
    </row>
    <row r="155" spans="1:6" ht="12.75">
      <c r="A155" s="267"/>
      <c r="B155" s="267"/>
      <c r="F155" s="267"/>
    </row>
    <row r="156" spans="1:6" ht="12.75">
      <c r="A156" s="267"/>
      <c r="B156" s="267"/>
      <c r="F156" s="267"/>
    </row>
    <row r="157" spans="1:6" ht="12.75">
      <c r="A157" s="267"/>
      <c r="B157" s="267"/>
      <c r="F157" s="267"/>
    </row>
    <row r="158" spans="1:6" ht="12.75">
      <c r="A158" s="267"/>
      <c r="B158" s="267"/>
      <c r="F158" s="267"/>
    </row>
    <row r="159" spans="1:6" ht="12.75">
      <c r="A159" s="267"/>
      <c r="B159" s="267"/>
      <c r="F159" s="267"/>
    </row>
    <row r="160" spans="1:6" ht="12.75">
      <c r="A160" s="267"/>
      <c r="B160" s="267"/>
      <c r="F160" s="267"/>
    </row>
    <row r="161" spans="1:6" ht="12.75">
      <c r="A161" s="267"/>
      <c r="B161" s="267"/>
      <c r="F161" s="267"/>
    </row>
    <row r="162" spans="1:6" ht="12.75">
      <c r="A162" s="267"/>
      <c r="B162" s="267"/>
      <c r="F162" s="267"/>
    </row>
    <row r="163" spans="1:6" ht="12.75">
      <c r="A163" s="267"/>
      <c r="B163" s="267"/>
      <c r="F163" s="267"/>
    </row>
    <row r="164" spans="1:6" ht="12.75">
      <c r="A164" s="267"/>
      <c r="B164" s="267"/>
      <c r="F164" s="267"/>
    </row>
    <row r="165" spans="1:6" ht="12.75">
      <c r="A165" s="267"/>
      <c r="B165" s="267"/>
      <c r="F165" s="267"/>
    </row>
    <row r="166" spans="1:6" ht="12.75">
      <c r="A166" s="267"/>
      <c r="B166" s="267"/>
      <c r="F166" s="267"/>
    </row>
    <row r="167" spans="1:6" ht="12.75">
      <c r="A167" s="267"/>
      <c r="B167" s="267"/>
      <c r="F167" s="267"/>
    </row>
    <row r="168" spans="1:6" ht="12.75">
      <c r="A168" s="267"/>
      <c r="B168" s="267"/>
      <c r="F168" s="267"/>
    </row>
    <row r="169" spans="1:6" ht="12.75">
      <c r="A169" s="267"/>
      <c r="B169" s="267"/>
      <c r="F169" s="267"/>
    </row>
    <row r="170" spans="1:6" ht="12.75">
      <c r="A170" s="267"/>
      <c r="B170" s="267"/>
      <c r="F170" s="267"/>
    </row>
    <row r="171" spans="1:6" ht="12.75">
      <c r="A171" s="267"/>
      <c r="B171" s="267"/>
      <c r="F171" s="267"/>
    </row>
    <row r="172" spans="1:6" ht="12.75">
      <c r="A172" s="267"/>
      <c r="B172" s="267"/>
      <c r="F172" s="267"/>
    </row>
    <row r="173" spans="1:6" ht="12.75">
      <c r="A173" s="267"/>
      <c r="B173" s="267"/>
      <c r="F173" s="267"/>
    </row>
    <row r="174" spans="1:6" ht="12.75">
      <c r="A174" s="267"/>
      <c r="B174" s="267"/>
      <c r="F174" s="267"/>
    </row>
    <row r="175" spans="1:6" ht="12.75">
      <c r="A175" s="267"/>
      <c r="B175" s="267"/>
      <c r="F175" s="267"/>
    </row>
    <row r="176" spans="1:6" ht="12.75">
      <c r="A176" s="267"/>
      <c r="B176" s="267"/>
      <c r="F176" s="267"/>
    </row>
    <row r="177" spans="1:6" ht="12.75">
      <c r="A177" s="267"/>
      <c r="B177" s="267"/>
      <c r="F177" s="267"/>
    </row>
    <row r="178" spans="1:6" ht="12.75">
      <c r="A178" s="267"/>
      <c r="B178" s="267"/>
      <c r="F178" s="267"/>
    </row>
    <row r="179" spans="1:6" ht="12.75">
      <c r="A179" s="267"/>
      <c r="B179" s="267"/>
      <c r="F179" s="267"/>
    </row>
    <row r="180" spans="1:6" ht="12.75">
      <c r="A180" s="267"/>
      <c r="B180" s="267"/>
      <c r="F180" s="267"/>
    </row>
    <row r="181" spans="1:6" ht="12.75">
      <c r="A181" s="267"/>
      <c r="B181" s="267"/>
      <c r="F181" s="267"/>
    </row>
    <row r="182" spans="1:6" ht="12.75">
      <c r="A182" s="267"/>
      <c r="B182" s="267"/>
      <c r="F182" s="267"/>
    </row>
    <row r="183" spans="1:6" ht="12.75">
      <c r="A183" s="267"/>
      <c r="B183" s="267"/>
      <c r="F183" s="267"/>
    </row>
    <row r="184" spans="1:6" ht="12.75">
      <c r="A184" s="267"/>
      <c r="B184" s="267"/>
      <c r="F184" s="267"/>
    </row>
    <row r="185" spans="1:6" ht="12.75">
      <c r="A185" s="267"/>
      <c r="B185" s="267"/>
      <c r="F185" s="267"/>
    </row>
    <row r="186" spans="1:6" ht="12.75">
      <c r="A186" s="267"/>
      <c r="B186" s="267"/>
      <c r="F186" s="267"/>
    </row>
    <row r="187" spans="1:6" ht="12.75">
      <c r="A187" s="267"/>
      <c r="B187" s="267"/>
      <c r="F187" s="267"/>
    </row>
    <row r="188" spans="1:6" ht="12.75">
      <c r="A188" s="267"/>
      <c r="B188" s="267"/>
      <c r="F188" s="267"/>
    </row>
    <row r="189" spans="1:6" ht="12.75">
      <c r="A189" s="267"/>
      <c r="B189" s="267"/>
      <c r="F189" s="267"/>
    </row>
    <row r="190" spans="1:6" ht="12.75">
      <c r="A190" s="267"/>
      <c r="B190" s="267"/>
      <c r="F190" s="267"/>
    </row>
    <row r="191" spans="1:6" ht="12.75">
      <c r="A191" s="267"/>
      <c r="B191" s="267"/>
      <c r="F191" s="267"/>
    </row>
    <row r="192" spans="1:6" ht="12.75">
      <c r="A192" s="267"/>
      <c r="B192" s="267"/>
      <c r="F192" s="267"/>
    </row>
    <row r="193" spans="1:6" ht="12.75">
      <c r="A193" s="267"/>
      <c r="B193" s="267"/>
      <c r="F193" s="267"/>
    </row>
    <row r="194" spans="1:6" ht="12.75">
      <c r="A194" s="267"/>
      <c r="B194" s="267"/>
      <c r="F194" s="267"/>
    </row>
    <row r="195" spans="1:6" ht="12.75">
      <c r="A195" s="267"/>
      <c r="B195" s="267"/>
      <c r="F195" s="267"/>
    </row>
    <row r="196" spans="1:6" ht="12.75">
      <c r="A196" s="267"/>
      <c r="B196" s="267"/>
      <c r="F196" s="267"/>
    </row>
    <row r="197" spans="1:6" ht="12.75">
      <c r="A197" s="267"/>
      <c r="B197" s="267"/>
      <c r="F197" s="267"/>
    </row>
    <row r="198" spans="1:6" ht="12.75">
      <c r="A198" s="267"/>
      <c r="B198" s="267"/>
      <c r="F198" s="267"/>
    </row>
    <row r="199" spans="1:6" ht="12.75">
      <c r="A199" s="267"/>
      <c r="B199" s="267"/>
      <c r="F199" s="267"/>
    </row>
    <row r="200" spans="1:6" ht="12.75">
      <c r="A200" s="267"/>
      <c r="B200" s="267"/>
      <c r="F200" s="267"/>
    </row>
    <row r="201" spans="1:6" ht="12.75">
      <c r="A201" s="267"/>
      <c r="B201" s="267"/>
      <c r="F201" s="267"/>
    </row>
    <row r="202" spans="1:6" ht="12.75">
      <c r="A202" s="267"/>
      <c r="B202" s="267"/>
      <c r="F202" s="267"/>
    </row>
    <row r="203" spans="1:6" ht="12.75">
      <c r="A203" s="267"/>
      <c r="B203" s="267"/>
      <c r="F203" s="267"/>
    </row>
    <row r="204" spans="1:6" ht="12.75">
      <c r="A204" s="267"/>
      <c r="B204" s="267"/>
      <c r="F204" s="267"/>
    </row>
    <row r="205" spans="1:6" ht="12.75">
      <c r="A205" s="267"/>
      <c r="B205" s="267"/>
      <c r="F205" s="267"/>
    </row>
    <row r="206" spans="1:6" ht="12.75">
      <c r="A206" s="267"/>
      <c r="B206" s="267"/>
      <c r="F206" s="267"/>
    </row>
    <row r="207" spans="1:6" ht="12.75">
      <c r="A207" s="267"/>
      <c r="B207" s="267"/>
      <c r="F207" s="267"/>
    </row>
    <row r="208" spans="1:6" ht="12.75">
      <c r="A208" s="267"/>
      <c r="B208" s="267"/>
      <c r="F208" s="267"/>
    </row>
    <row r="209" spans="1:6" ht="12.75">
      <c r="A209" s="267"/>
      <c r="B209" s="267"/>
      <c r="F209" s="267"/>
    </row>
    <row r="210" spans="1:6" ht="12.75">
      <c r="A210" s="267"/>
      <c r="B210" s="267"/>
      <c r="F210" s="267"/>
    </row>
    <row r="211" spans="1:6" ht="12.75">
      <c r="A211" s="267"/>
      <c r="B211" s="267"/>
      <c r="F211" s="267"/>
    </row>
    <row r="212" spans="1:6" ht="12.75">
      <c r="A212" s="267"/>
      <c r="B212" s="267"/>
      <c r="F212" s="267"/>
    </row>
    <row r="213" spans="1:6" ht="12.75">
      <c r="A213" s="267"/>
      <c r="B213" s="267"/>
      <c r="F213" s="267"/>
    </row>
    <row r="214" spans="1:6" ht="12.75">
      <c r="A214" s="267"/>
      <c r="B214" s="267"/>
      <c r="F214" s="267"/>
    </row>
    <row r="215" spans="1:6" ht="12.75">
      <c r="A215" s="267"/>
      <c r="B215" s="267"/>
      <c r="F215" s="267"/>
    </row>
    <row r="216" spans="1:6" ht="12.75">
      <c r="A216" s="267"/>
      <c r="B216" s="267"/>
      <c r="F216" s="267"/>
    </row>
    <row r="217" spans="1:6" ht="12.75">
      <c r="A217" s="267"/>
      <c r="B217" s="267"/>
      <c r="F217" s="267"/>
    </row>
    <row r="218" spans="1:6" ht="12.75">
      <c r="A218" s="267"/>
      <c r="B218" s="267"/>
      <c r="F218" s="267"/>
    </row>
    <row r="219" spans="1:6" ht="12.75">
      <c r="A219" s="267"/>
      <c r="B219" s="267"/>
      <c r="F219" s="267"/>
    </row>
    <row r="220" spans="1:6" ht="12.75">
      <c r="A220" s="267"/>
      <c r="B220" s="267"/>
      <c r="F220" s="267"/>
    </row>
    <row r="221" spans="1:6" ht="12.75">
      <c r="A221" s="267"/>
      <c r="B221" s="267"/>
      <c r="F221" s="267"/>
    </row>
    <row r="222" spans="1:6" ht="12.75">
      <c r="A222" s="267"/>
      <c r="B222" s="267"/>
      <c r="F222" s="267"/>
    </row>
    <row r="223" spans="1:6" ht="12.75">
      <c r="A223" s="267"/>
      <c r="B223" s="267"/>
      <c r="F223" s="267"/>
    </row>
    <row r="224" spans="1:6" ht="12.75">
      <c r="A224" s="267"/>
      <c r="B224" s="267"/>
      <c r="F224" s="267"/>
    </row>
    <row r="225" spans="1:6" ht="12.75">
      <c r="A225" s="267"/>
      <c r="B225" s="267"/>
      <c r="F225" s="267"/>
    </row>
    <row r="226" spans="1:6" ht="12.75">
      <c r="A226" s="267"/>
      <c r="B226" s="267"/>
      <c r="F226" s="267"/>
    </row>
    <row r="227" spans="1:6" ht="12.75">
      <c r="A227" s="267"/>
      <c r="B227" s="267"/>
      <c r="F227" s="267"/>
    </row>
    <row r="228" spans="1:6" ht="12.75">
      <c r="A228" s="267"/>
      <c r="B228" s="267"/>
      <c r="F228" s="267"/>
    </row>
    <row r="229" spans="1:6" ht="12.75">
      <c r="A229" s="267"/>
      <c r="B229" s="267"/>
      <c r="F229" s="267"/>
    </row>
    <row r="230" spans="1:6" ht="12.75">
      <c r="A230" s="267"/>
      <c r="B230" s="267"/>
      <c r="F230" s="267"/>
    </row>
    <row r="231" spans="1:6" ht="12.75">
      <c r="A231" s="267"/>
      <c r="B231" s="267"/>
      <c r="F231" s="267"/>
    </row>
    <row r="232" spans="1:6" ht="12.75">
      <c r="A232" s="267"/>
      <c r="B232" s="267"/>
      <c r="F232" s="267"/>
    </row>
    <row r="233" spans="1:6" ht="12.75">
      <c r="A233" s="267"/>
      <c r="B233" s="267"/>
      <c r="F233" s="267"/>
    </row>
    <row r="234" spans="1:6" ht="12.75">
      <c r="A234" s="267"/>
      <c r="B234" s="267"/>
      <c r="F234" s="267"/>
    </row>
    <row r="235" spans="1:6" ht="12.75">
      <c r="A235" s="267"/>
      <c r="B235" s="267"/>
      <c r="F235" s="267"/>
    </row>
    <row r="236" spans="1:6" ht="12.75">
      <c r="A236" s="267"/>
      <c r="B236" s="267"/>
      <c r="F236" s="267"/>
    </row>
    <row r="237" spans="1:6" ht="12.75">
      <c r="A237" s="267"/>
      <c r="B237" s="267"/>
      <c r="F237" s="267"/>
    </row>
    <row r="238" spans="1:6" ht="12.75">
      <c r="A238" s="267"/>
      <c r="B238" s="267"/>
      <c r="F238" s="267"/>
    </row>
    <row r="239" spans="1:6" ht="12.75">
      <c r="A239" s="267"/>
      <c r="B239" s="267"/>
      <c r="F239" s="267"/>
    </row>
    <row r="240" spans="1:6" ht="12.75">
      <c r="A240" s="267"/>
      <c r="B240" s="267"/>
      <c r="F240" s="267"/>
    </row>
    <row r="241" spans="1:6" ht="12.75">
      <c r="A241" s="267"/>
      <c r="B241" s="267"/>
      <c r="F241" s="267"/>
    </row>
    <row r="242" spans="1:6" ht="12.75">
      <c r="A242" s="267"/>
      <c r="B242" s="267"/>
      <c r="F242" s="267"/>
    </row>
    <row r="243" spans="1:6" ht="12.75">
      <c r="A243" s="267"/>
      <c r="B243" s="267"/>
      <c r="F243" s="267"/>
    </row>
    <row r="244" spans="1:6" ht="12.75">
      <c r="A244" s="267"/>
      <c r="B244" s="267"/>
      <c r="F244" s="267"/>
    </row>
    <row r="245" spans="1:6" ht="12.75">
      <c r="A245" s="267"/>
      <c r="B245" s="267"/>
      <c r="F245" s="267"/>
    </row>
    <row r="246" spans="1:6" ht="12.75">
      <c r="A246" s="267"/>
      <c r="B246" s="267"/>
      <c r="F246" s="267"/>
    </row>
    <row r="247" spans="1:6" ht="12.75">
      <c r="A247" s="267"/>
      <c r="B247" s="267"/>
      <c r="F247" s="267"/>
    </row>
    <row r="248" spans="1:6" ht="12.75">
      <c r="A248" s="267"/>
      <c r="B248" s="267"/>
      <c r="F248" s="267"/>
    </row>
    <row r="249" spans="1:6" ht="12.75">
      <c r="A249" s="267"/>
      <c r="B249" s="267"/>
      <c r="F249" s="267"/>
    </row>
    <row r="250" spans="1:6" ht="12.75">
      <c r="A250" s="267"/>
      <c r="B250" s="267"/>
      <c r="F250" s="267"/>
    </row>
    <row r="251" spans="1:6" ht="12.75">
      <c r="A251" s="267"/>
      <c r="B251" s="267"/>
      <c r="F251" s="267"/>
    </row>
    <row r="252" spans="1:6" ht="12.75">
      <c r="A252" s="267"/>
      <c r="B252" s="267"/>
      <c r="F252" s="267"/>
    </row>
    <row r="253" spans="1:6" ht="12.75">
      <c r="A253" s="267"/>
      <c r="B253" s="267"/>
      <c r="F253" s="267"/>
    </row>
    <row r="254" spans="1:6" ht="12.75">
      <c r="A254" s="267"/>
      <c r="B254" s="267"/>
      <c r="F254" s="267"/>
    </row>
    <row r="255" spans="1:6" ht="12.75">
      <c r="A255" s="267"/>
      <c r="B255" s="267"/>
      <c r="F255" s="267"/>
    </row>
    <row r="256" spans="1:6" ht="12.75">
      <c r="A256" s="267"/>
      <c r="B256" s="267"/>
      <c r="F256" s="267"/>
    </row>
    <row r="257" spans="1:6" ht="12.75">
      <c r="A257" s="267"/>
      <c r="B257" s="267"/>
      <c r="F257" s="267"/>
    </row>
    <row r="258" spans="1:6" ht="12.75">
      <c r="A258" s="267"/>
      <c r="B258" s="267"/>
      <c r="F258" s="267"/>
    </row>
    <row r="259" spans="1:6" ht="12.75">
      <c r="A259" s="267"/>
      <c r="B259" s="267"/>
      <c r="F259" s="267"/>
    </row>
    <row r="260" spans="1:6" ht="12.75">
      <c r="A260" s="267"/>
      <c r="B260" s="267"/>
      <c r="F260" s="267"/>
    </row>
    <row r="261" spans="1:6" ht="12.75">
      <c r="A261" s="267"/>
      <c r="B261" s="267"/>
      <c r="F261" s="267"/>
    </row>
    <row r="262" spans="1:6" ht="12.75">
      <c r="A262" s="267"/>
      <c r="B262" s="267"/>
      <c r="F262" s="267"/>
    </row>
    <row r="263" spans="1:6" ht="12.75">
      <c r="A263" s="267"/>
      <c r="B263" s="267"/>
      <c r="F263" s="267"/>
    </row>
    <row r="264" spans="1:6" ht="12.75">
      <c r="A264" s="267"/>
      <c r="B264" s="267"/>
      <c r="F264" s="267"/>
    </row>
    <row r="265" spans="1:6" ht="12.75">
      <c r="A265" s="267"/>
      <c r="B265" s="267"/>
      <c r="F265" s="267"/>
    </row>
    <row r="266" spans="1:6" ht="12.75">
      <c r="A266" s="267"/>
      <c r="B266" s="267"/>
      <c r="F266" s="267"/>
    </row>
    <row r="267" spans="1:6" ht="12.75">
      <c r="A267" s="267"/>
      <c r="B267" s="267"/>
      <c r="F267" s="267"/>
    </row>
    <row r="268" spans="1:6" ht="12.75">
      <c r="A268" s="267"/>
      <c r="B268" s="267"/>
      <c r="F268" s="267"/>
    </row>
    <row r="269" spans="1:6" ht="12.75">
      <c r="A269" s="267"/>
      <c r="B269" s="267"/>
      <c r="F269" s="267"/>
    </row>
    <row r="270" spans="1:6" ht="12.75">
      <c r="A270" s="267"/>
      <c r="B270" s="267"/>
      <c r="F270" s="267"/>
    </row>
    <row r="271" spans="1:6" ht="12.75">
      <c r="A271" s="267"/>
      <c r="B271" s="267"/>
      <c r="F271" s="267"/>
    </row>
    <row r="272" spans="1:6" ht="12.75">
      <c r="A272" s="267"/>
      <c r="B272" s="267"/>
      <c r="F272" s="267"/>
    </row>
    <row r="273" spans="1:6" ht="12.75">
      <c r="A273" s="267"/>
      <c r="B273" s="267"/>
      <c r="F273" s="267"/>
    </row>
    <row r="274" spans="1:6" ht="12.75">
      <c r="A274" s="267"/>
      <c r="B274" s="267"/>
      <c r="F274" s="267"/>
    </row>
    <row r="275" spans="1:6" ht="12.75">
      <c r="A275" s="267"/>
      <c r="B275" s="267"/>
      <c r="F275" s="267"/>
    </row>
    <row r="276" spans="1:6" ht="12.75">
      <c r="A276" s="267"/>
      <c r="B276" s="267"/>
      <c r="F276" s="267"/>
    </row>
    <row r="277" spans="1:6" ht="12.75">
      <c r="A277" s="267"/>
      <c r="B277" s="267"/>
      <c r="F277" s="267"/>
    </row>
    <row r="278" spans="1:6" ht="12.75">
      <c r="A278" s="267"/>
      <c r="B278" s="267"/>
      <c r="F278" s="267"/>
    </row>
    <row r="279" spans="1:6" ht="12.75">
      <c r="A279" s="267"/>
      <c r="B279" s="267"/>
      <c r="F279" s="267"/>
    </row>
    <row r="280" spans="1:6" ht="12.75">
      <c r="A280" s="267"/>
      <c r="B280" s="267"/>
      <c r="F280" s="267"/>
    </row>
    <row r="281" spans="1:6" ht="12.75">
      <c r="A281" s="267"/>
      <c r="B281" s="267"/>
      <c r="F281" s="267"/>
    </row>
    <row r="282" spans="1:6" ht="12.75">
      <c r="A282" s="267"/>
      <c r="B282" s="267"/>
      <c r="F282" s="267"/>
    </row>
    <row r="283" spans="1:6" ht="12.75">
      <c r="A283" s="267"/>
      <c r="B283" s="267"/>
      <c r="F283" s="267"/>
    </row>
    <row r="284" spans="1:6" ht="12.75">
      <c r="A284" s="267"/>
      <c r="B284" s="267"/>
      <c r="F284" s="267"/>
    </row>
    <row r="285" spans="1:6" ht="12.75">
      <c r="A285" s="267"/>
      <c r="B285" s="267"/>
      <c r="F285" s="267"/>
    </row>
    <row r="286" spans="1:6" ht="12.75">
      <c r="A286" s="267"/>
      <c r="B286" s="267"/>
      <c r="F286" s="267"/>
    </row>
    <row r="287" spans="1:6" ht="12.75">
      <c r="A287" s="267"/>
      <c r="B287" s="267"/>
      <c r="F287" s="267"/>
    </row>
    <row r="288" spans="1:6" ht="12.75">
      <c r="A288" s="267"/>
      <c r="B288" s="267"/>
      <c r="F288" s="267"/>
    </row>
    <row r="289" spans="1:6" ht="12.75">
      <c r="A289" s="267"/>
      <c r="B289" s="267"/>
      <c r="F289" s="267"/>
    </row>
    <row r="290" spans="1:6" ht="12.75">
      <c r="A290" s="267"/>
      <c r="B290" s="267"/>
      <c r="F290" s="267"/>
    </row>
    <row r="291" spans="1:6" ht="12.75">
      <c r="A291" s="267"/>
      <c r="B291" s="267"/>
      <c r="F291" s="267"/>
    </row>
    <row r="292" spans="1:6" ht="12.75">
      <c r="A292" s="267"/>
      <c r="B292" s="267"/>
      <c r="F292" s="267"/>
    </row>
    <row r="293" spans="1:6" ht="12.75">
      <c r="A293" s="267"/>
      <c r="B293" s="267"/>
      <c r="F293" s="267"/>
    </row>
    <row r="294" spans="1:6" ht="12.75">
      <c r="A294" s="267"/>
      <c r="B294" s="267"/>
      <c r="F294" s="267"/>
    </row>
    <row r="295" spans="1:6" ht="12.75">
      <c r="A295" s="267"/>
      <c r="B295" s="267"/>
      <c r="F295" s="267"/>
    </row>
    <row r="296" spans="1:6" ht="12.75">
      <c r="A296" s="267"/>
      <c r="B296" s="267"/>
      <c r="F296" s="267"/>
    </row>
    <row r="297" spans="1:6" ht="12.75">
      <c r="A297" s="267"/>
      <c r="B297" s="267"/>
      <c r="F297" s="267"/>
    </row>
    <row r="298" spans="1:6" ht="12.75">
      <c r="A298" s="267"/>
      <c r="B298" s="267"/>
      <c r="F298" s="267"/>
    </row>
    <row r="299" spans="1:6" ht="12.75">
      <c r="A299" s="267"/>
      <c r="B299" s="267"/>
      <c r="F299" s="267"/>
    </row>
    <row r="300" spans="1:6" ht="12.75">
      <c r="A300" s="267"/>
      <c r="B300" s="267"/>
      <c r="F300" s="267"/>
    </row>
    <row r="301" spans="1:6" ht="12.75">
      <c r="A301" s="267"/>
      <c r="B301" s="267"/>
      <c r="F301" s="267"/>
    </row>
    <row r="302" spans="1:6" ht="12.75">
      <c r="A302" s="267"/>
      <c r="B302" s="267"/>
      <c r="F302" s="267"/>
    </row>
    <row r="303" spans="1:6" ht="12.75">
      <c r="A303" s="267"/>
      <c r="B303" s="267"/>
      <c r="F303" s="267"/>
    </row>
    <row r="304" spans="1:6" ht="12.75">
      <c r="A304" s="267"/>
      <c r="B304" s="267"/>
      <c r="F304" s="267"/>
    </row>
    <row r="305" spans="1:6" ht="12.75">
      <c r="A305" s="267"/>
      <c r="B305" s="267"/>
      <c r="F305" s="267"/>
    </row>
    <row r="306" spans="1:6" ht="12.75">
      <c r="A306" s="267"/>
      <c r="B306" s="267"/>
      <c r="F306" s="267"/>
    </row>
    <row r="307" spans="1:6" ht="12.75">
      <c r="A307" s="267"/>
      <c r="B307" s="267"/>
      <c r="F307" s="267"/>
    </row>
    <row r="308" spans="1:6" ht="12.75">
      <c r="A308" s="267"/>
      <c r="B308" s="267"/>
      <c r="F308" s="267"/>
    </row>
    <row r="309" spans="1:6" ht="12.75">
      <c r="A309" s="267"/>
      <c r="B309" s="267"/>
      <c r="F309" s="267"/>
    </row>
    <row r="310" spans="1:6" ht="12.75">
      <c r="A310" s="267"/>
      <c r="B310" s="267"/>
      <c r="F310" s="267"/>
    </row>
    <row r="311" spans="1:6" ht="12.75">
      <c r="A311" s="267"/>
      <c r="B311" s="267"/>
      <c r="F311" s="267"/>
    </row>
    <row r="312" spans="1:6" ht="12.75">
      <c r="A312" s="267"/>
      <c r="B312" s="267"/>
      <c r="F312" s="267"/>
    </row>
    <row r="313" spans="1:6" ht="12.75">
      <c r="A313" s="267"/>
      <c r="B313" s="267"/>
      <c r="F313" s="267"/>
    </row>
    <row r="314" spans="1:6" ht="12.75">
      <c r="A314" s="267"/>
      <c r="B314" s="267"/>
      <c r="F314" s="267"/>
    </row>
    <row r="315" spans="1:6" ht="12.75">
      <c r="A315" s="267"/>
      <c r="B315" s="267"/>
      <c r="F315" s="267"/>
    </row>
    <row r="316" spans="1:6" ht="12.75">
      <c r="A316" s="267"/>
      <c r="B316" s="267"/>
      <c r="F316" s="267"/>
    </row>
    <row r="317" spans="1:6" ht="12.75">
      <c r="A317" s="267"/>
      <c r="B317" s="267"/>
      <c r="F317" s="267"/>
    </row>
    <row r="318" spans="1:6" ht="12.75">
      <c r="A318" s="267"/>
      <c r="B318" s="267"/>
      <c r="F318" s="267"/>
    </row>
    <row r="319" spans="1:6" ht="12.75">
      <c r="A319" s="267"/>
      <c r="B319" s="267"/>
      <c r="F319" s="267"/>
    </row>
    <row r="320" spans="1:6" ht="12.75">
      <c r="A320" s="267"/>
      <c r="B320" s="267"/>
      <c r="F320" s="267"/>
    </row>
    <row r="321" spans="1:6" ht="12.75">
      <c r="A321" s="267"/>
      <c r="B321" s="267"/>
      <c r="F321" s="267"/>
    </row>
    <row r="322" spans="1:6" ht="12.75">
      <c r="A322" s="267"/>
      <c r="B322" s="267"/>
      <c r="F322" s="267"/>
    </row>
    <row r="323" spans="1:6" ht="12.75">
      <c r="A323" s="267"/>
      <c r="B323" s="267"/>
      <c r="F323" s="267"/>
    </row>
    <row r="324" spans="1:6" ht="12.75">
      <c r="A324" s="267"/>
      <c r="B324" s="267"/>
      <c r="F324" s="267"/>
    </row>
    <row r="325" spans="1:6" ht="12.75">
      <c r="A325" s="267"/>
      <c r="B325" s="267"/>
      <c r="F325" s="267"/>
    </row>
    <row r="326" spans="1:6" ht="12.75">
      <c r="A326" s="267"/>
      <c r="B326" s="267"/>
      <c r="F326" s="267"/>
    </row>
    <row r="327" spans="1:6" ht="12.75">
      <c r="A327" s="267"/>
      <c r="B327" s="267"/>
      <c r="F327" s="267"/>
    </row>
    <row r="328" spans="1:6" ht="12.75">
      <c r="A328" s="267"/>
      <c r="B328" s="267"/>
      <c r="F328" s="267"/>
    </row>
    <row r="329" spans="1:6" ht="12.75">
      <c r="A329" s="267"/>
      <c r="B329" s="267"/>
      <c r="F329" s="267"/>
    </row>
    <row r="330" spans="1:6" ht="12.75">
      <c r="A330" s="267"/>
      <c r="B330" s="267"/>
      <c r="F330" s="267"/>
    </row>
    <row r="331" spans="1:6" ht="12.75">
      <c r="A331" s="267"/>
      <c r="B331" s="267"/>
      <c r="F331" s="267"/>
    </row>
    <row r="332" spans="1:6" ht="12.75">
      <c r="A332" s="267"/>
      <c r="B332" s="267"/>
      <c r="F332" s="267"/>
    </row>
    <row r="333" spans="1:6" ht="12.75">
      <c r="A333" s="267"/>
      <c r="B333" s="267"/>
      <c r="F333" s="267"/>
    </row>
    <row r="334" spans="1:6" ht="12.75">
      <c r="A334" s="267"/>
      <c r="B334" s="267"/>
      <c r="F334" s="267"/>
    </row>
    <row r="335" spans="1:6" ht="12.75">
      <c r="A335" s="267"/>
      <c r="B335" s="267"/>
      <c r="F335" s="267"/>
    </row>
    <row r="336" spans="1:6" ht="12.75">
      <c r="A336" s="267"/>
      <c r="B336" s="267"/>
      <c r="F336" s="267"/>
    </row>
    <row r="337" spans="1:6" ht="12.75">
      <c r="A337" s="267"/>
      <c r="B337" s="267"/>
      <c r="F337" s="267"/>
    </row>
    <row r="338" spans="1:6" ht="12.75">
      <c r="A338" s="267"/>
      <c r="B338" s="267"/>
      <c r="F338" s="267"/>
    </row>
    <row r="339" spans="1:6" ht="12.75">
      <c r="A339" s="267"/>
      <c r="B339" s="267"/>
      <c r="F339" s="267"/>
    </row>
    <row r="340" spans="1:6" ht="12.75">
      <c r="A340" s="267"/>
      <c r="B340" s="267"/>
      <c r="F340" s="267"/>
    </row>
    <row r="341" spans="1:6" ht="12.75">
      <c r="A341" s="267"/>
      <c r="B341" s="267"/>
      <c r="F341" s="267"/>
    </row>
    <row r="342" spans="1:6" ht="12.75">
      <c r="A342" s="267"/>
      <c r="B342" s="267"/>
      <c r="F342" s="267"/>
    </row>
    <row r="343" spans="1:6" ht="12.75">
      <c r="A343" s="267"/>
      <c r="B343" s="267"/>
      <c r="F343" s="267"/>
    </row>
    <row r="344" spans="1:6" ht="12.75">
      <c r="A344" s="267"/>
      <c r="B344" s="267"/>
      <c r="F344" s="267"/>
    </row>
    <row r="345" spans="1:6" ht="12.75">
      <c r="A345" s="267"/>
      <c r="B345" s="267"/>
      <c r="F345" s="267"/>
    </row>
    <row r="346" spans="1:6" ht="12.75">
      <c r="A346" s="267"/>
      <c r="B346" s="267"/>
      <c r="F346" s="267"/>
    </row>
    <row r="347" spans="1:6" ht="12.75">
      <c r="A347" s="267"/>
      <c r="B347" s="267"/>
      <c r="F347" s="267"/>
    </row>
    <row r="348" spans="1:6" ht="12.75">
      <c r="A348" s="267"/>
      <c r="B348" s="267"/>
      <c r="F348" s="267"/>
    </row>
    <row r="349" spans="1:6" ht="12.75">
      <c r="A349" s="267"/>
      <c r="B349" s="267"/>
      <c r="F349" s="267"/>
    </row>
    <row r="350" spans="1:6" ht="12.75">
      <c r="A350" s="267"/>
      <c r="B350" s="267"/>
      <c r="F350" s="267"/>
    </row>
    <row r="351" spans="1:6" ht="12.75">
      <c r="A351" s="267"/>
      <c r="B351" s="267"/>
      <c r="F351" s="267"/>
    </row>
    <row r="352" spans="1:6" ht="12.75">
      <c r="A352" s="267"/>
      <c r="B352" s="267"/>
      <c r="F352" s="267"/>
    </row>
    <row r="353" spans="1:6" ht="12.75">
      <c r="A353" s="267"/>
      <c r="B353" s="267"/>
      <c r="F353" s="267"/>
    </row>
    <row r="354" spans="1:6" ht="12.75">
      <c r="A354" s="267"/>
      <c r="B354" s="267"/>
      <c r="F354" s="267"/>
    </row>
    <row r="355" spans="1:6" ht="12.75">
      <c r="A355" s="267"/>
      <c r="B355" s="267"/>
      <c r="F355" s="267"/>
    </row>
    <row r="356" spans="1:6" ht="12.75">
      <c r="A356" s="267"/>
      <c r="B356" s="267"/>
      <c r="F356" s="267"/>
    </row>
    <row r="357" spans="1:6" ht="12.75">
      <c r="A357" s="267"/>
      <c r="B357" s="267"/>
      <c r="F357" s="267"/>
    </row>
    <row r="358" spans="1:6" ht="12.75">
      <c r="A358" s="267"/>
      <c r="B358" s="267"/>
      <c r="F358" s="267"/>
    </row>
    <row r="359" spans="1:6" ht="12.75">
      <c r="A359" s="267"/>
      <c r="B359" s="267"/>
      <c r="F359" s="267"/>
    </row>
    <row r="360" spans="1:6" ht="12.75">
      <c r="A360" s="267"/>
      <c r="B360" s="267"/>
      <c r="F360" s="267"/>
    </row>
    <row r="361" spans="1:6" ht="12.75">
      <c r="A361" s="267"/>
      <c r="B361" s="267"/>
      <c r="F361" s="267"/>
    </row>
    <row r="362" spans="1:6" ht="12.75">
      <c r="A362" s="267"/>
      <c r="B362" s="267"/>
      <c r="F362" s="267"/>
    </row>
    <row r="363" spans="1:6" ht="12.75">
      <c r="A363" s="267"/>
      <c r="B363" s="267"/>
      <c r="F363" s="267"/>
    </row>
    <row r="364" spans="1:6" ht="12.75">
      <c r="A364" s="267"/>
      <c r="B364" s="267"/>
      <c r="F364" s="267"/>
    </row>
    <row r="365" spans="1:6" ht="12.75">
      <c r="A365" s="267"/>
      <c r="B365" s="267"/>
      <c r="F365" s="267"/>
    </row>
    <row r="366" spans="1:6" ht="12.75">
      <c r="A366" s="267"/>
      <c r="B366" s="267"/>
      <c r="F366" s="267"/>
    </row>
    <row r="367" spans="1:6" ht="12.75">
      <c r="A367" s="267"/>
      <c r="B367" s="267"/>
      <c r="F367" s="267"/>
    </row>
    <row r="368" spans="1:6" ht="12.75">
      <c r="A368" s="267"/>
      <c r="B368" s="267"/>
      <c r="F368" s="267"/>
    </row>
    <row r="369" spans="1:6" ht="12.75">
      <c r="A369" s="267"/>
      <c r="B369" s="267"/>
      <c r="F369" s="267"/>
    </row>
    <row r="370" spans="1:6" ht="12.75">
      <c r="A370" s="267"/>
      <c r="B370" s="267"/>
      <c r="F370" s="267"/>
    </row>
    <row r="371" spans="1:6" ht="12.75">
      <c r="A371" s="267"/>
      <c r="B371" s="267"/>
      <c r="F371" s="267"/>
    </row>
    <row r="372" spans="1:6" ht="12.75">
      <c r="A372" s="267"/>
      <c r="B372" s="267"/>
      <c r="F372" s="267"/>
    </row>
    <row r="373" spans="1:6" ht="12.75">
      <c r="A373" s="267"/>
      <c r="B373" s="267"/>
      <c r="F373" s="267"/>
    </row>
    <row r="374" spans="1:6" ht="12.75">
      <c r="A374" s="267"/>
      <c r="B374" s="267"/>
      <c r="F374" s="267"/>
    </row>
    <row r="375" spans="1:6" ht="12.75">
      <c r="A375" s="267"/>
      <c r="B375" s="267"/>
      <c r="F375" s="267"/>
    </row>
    <row r="376" spans="1:6" ht="12.75">
      <c r="A376" s="267"/>
      <c r="B376" s="267"/>
      <c r="F376" s="267"/>
    </row>
    <row r="377" spans="1:6" ht="12.75">
      <c r="A377" s="267"/>
      <c r="B377" s="267"/>
      <c r="F377" s="267"/>
    </row>
    <row r="378" spans="1:6" ht="12.75">
      <c r="A378" s="267"/>
      <c r="B378" s="267"/>
      <c r="F378" s="267"/>
    </row>
    <row r="379" spans="1:6" ht="12.75">
      <c r="A379" s="267"/>
      <c r="B379" s="267"/>
      <c r="F379" s="267"/>
    </row>
    <row r="380" spans="1:6" ht="12.75">
      <c r="A380" s="267"/>
      <c r="B380" s="267"/>
      <c r="F380" s="267"/>
    </row>
    <row r="381" spans="1:6" ht="12.75">
      <c r="A381" s="267"/>
      <c r="B381" s="267"/>
      <c r="F381" s="267"/>
    </row>
    <row r="382" spans="1:6" ht="12.75">
      <c r="A382" s="267"/>
      <c r="B382" s="267"/>
      <c r="F382" s="267"/>
    </row>
    <row r="383" spans="1:6" ht="12.75">
      <c r="A383" s="267"/>
      <c r="B383" s="267"/>
      <c r="F383" s="267"/>
    </row>
    <row r="384" spans="1:6" ht="12.75">
      <c r="A384" s="267"/>
      <c r="B384" s="267"/>
      <c r="F384" s="267"/>
    </row>
    <row r="385" spans="1:6" ht="12.75">
      <c r="A385" s="267"/>
      <c r="B385" s="267"/>
      <c r="F385" s="267"/>
    </row>
    <row r="386" spans="1:6" ht="12.75">
      <c r="A386" s="267"/>
      <c r="B386" s="267"/>
      <c r="F386" s="267"/>
    </row>
    <row r="387" spans="1:6" ht="12.75">
      <c r="A387" s="267"/>
      <c r="B387" s="267"/>
      <c r="F387" s="267"/>
    </row>
    <row r="388" spans="1:6" ht="12.75">
      <c r="A388" s="267"/>
      <c r="B388" s="267"/>
      <c r="F388" s="267"/>
    </row>
    <row r="389" spans="1:6" ht="12.75">
      <c r="A389" s="267"/>
      <c r="B389" s="267"/>
      <c r="F389" s="267"/>
    </row>
    <row r="390" spans="1:6" ht="12.75">
      <c r="A390" s="267"/>
      <c r="B390" s="267"/>
      <c r="F390" s="267"/>
    </row>
    <row r="391" spans="1:6" ht="12.75">
      <c r="A391" s="267"/>
      <c r="B391" s="267"/>
      <c r="F391" s="267"/>
    </row>
    <row r="392" spans="1:6" ht="12.75">
      <c r="A392" s="267"/>
      <c r="B392" s="267"/>
      <c r="F392" s="267"/>
    </row>
    <row r="393" spans="1:6" ht="12.75">
      <c r="A393" s="267"/>
      <c r="B393" s="267"/>
      <c r="F393" s="267"/>
    </row>
    <row r="394" spans="1:6" ht="12.75">
      <c r="A394" s="267"/>
      <c r="B394" s="267"/>
      <c r="F394" s="267"/>
    </row>
    <row r="395" spans="1:6" ht="12.75">
      <c r="A395" s="267"/>
      <c r="B395" s="267"/>
      <c r="F395" s="267"/>
    </row>
    <row r="396" spans="1:6" ht="12.75">
      <c r="A396" s="267"/>
      <c r="B396" s="267"/>
      <c r="F396" s="267"/>
    </row>
    <row r="397" spans="1:6" ht="12.75">
      <c r="A397" s="267"/>
      <c r="B397" s="267"/>
      <c r="F397" s="267"/>
    </row>
    <row r="398" spans="1:6" ht="12.75">
      <c r="A398" s="267"/>
      <c r="B398" s="267"/>
      <c r="F398" s="267"/>
    </row>
    <row r="399" spans="1:6" ht="12.75">
      <c r="A399" s="267"/>
      <c r="B399" s="267"/>
      <c r="F399" s="267"/>
    </row>
    <row r="400" spans="1:6" ht="12.75">
      <c r="A400" s="267"/>
      <c r="B400" s="267"/>
      <c r="F400" s="267"/>
    </row>
    <row r="401" spans="1:6" ht="12.75">
      <c r="A401" s="267"/>
      <c r="B401" s="267"/>
      <c r="F401" s="267"/>
    </row>
    <row r="402" spans="1:6" ht="12.75">
      <c r="A402" s="267"/>
      <c r="B402" s="267"/>
      <c r="F402" s="267"/>
    </row>
    <row r="403" spans="1:6" ht="12.75">
      <c r="A403" s="267"/>
      <c r="B403" s="267"/>
      <c r="F403" s="267"/>
    </row>
    <row r="404" spans="1:6" ht="12.75">
      <c r="A404" s="267"/>
      <c r="B404" s="267"/>
      <c r="F404" s="267"/>
    </row>
    <row r="405" spans="1:6" ht="12.75">
      <c r="A405" s="267"/>
      <c r="B405" s="267"/>
      <c r="F405" s="267"/>
    </row>
    <row r="406" spans="1:6" ht="12.75">
      <c r="A406" s="267"/>
      <c r="B406" s="267"/>
      <c r="F406" s="267"/>
    </row>
    <row r="407" spans="1:6" ht="12.75">
      <c r="A407" s="267"/>
      <c r="B407" s="267"/>
      <c r="F407" s="267"/>
    </row>
    <row r="408" spans="1:6" ht="12.75">
      <c r="A408" s="267"/>
      <c r="B408" s="267"/>
      <c r="F408" s="267"/>
    </row>
    <row r="409" spans="1:6" ht="12.75">
      <c r="A409" s="267"/>
      <c r="B409" s="267"/>
      <c r="F409" s="267"/>
    </row>
    <row r="410" spans="1:6" ht="12.75">
      <c r="A410" s="267"/>
      <c r="B410" s="267"/>
      <c r="F410" s="267"/>
    </row>
    <row r="411" spans="1:6" ht="12.75">
      <c r="A411" s="267"/>
      <c r="B411" s="267"/>
      <c r="F411" s="267"/>
    </row>
    <row r="412" spans="1:6" ht="12.75">
      <c r="A412" s="267"/>
      <c r="B412" s="267"/>
      <c r="F412" s="267"/>
    </row>
    <row r="413" spans="1:6" ht="12.75">
      <c r="A413" s="267"/>
      <c r="B413" s="267"/>
      <c r="F413" s="267"/>
    </row>
    <row r="414" spans="1:6" ht="12.75">
      <c r="A414" s="267"/>
      <c r="B414" s="267"/>
      <c r="F414" s="267"/>
    </row>
    <row r="415" spans="1:6" ht="12.75">
      <c r="A415" s="267"/>
      <c r="B415" s="267"/>
      <c r="F415" s="267"/>
    </row>
    <row r="416" spans="1:6" ht="12.75">
      <c r="A416" s="267"/>
      <c r="B416" s="267"/>
      <c r="F416" s="267"/>
    </row>
    <row r="417" spans="1:6" ht="12.75">
      <c r="A417" s="267"/>
      <c r="B417" s="267"/>
      <c r="F417" s="267"/>
    </row>
    <row r="418" spans="1:6" ht="12.75">
      <c r="A418" s="267"/>
      <c r="B418" s="267"/>
      <c r="F418" s="267"/>
    </row>
    <row r="419" spans="1:6" ht="12.75">
      <c r="A419" s="267"/>
      <c r="B419" s="267"/>
      <c r="F419" s="267"/>
    </row>
    <row r="420" spans="1:6" ht="12.75">
      <c r="A420" s="267"/>
      <c r="B420" s="267"/>
      <c r="F420" s="267"/>
    </row>
    <row r="421" spans="1:6" ht="12.75">
      <c r="A421" s="267"/>
      <c r="B421" s="267"/>
      <c r="F421" s="267"/>
    </row>
    <row r="422" spans="1:6" ht="12.75">
      <c r="A422" s="267"/>
      <c r="B422" s="267"/>
      <c r="F422" s="267"/>
    </row>
    <row r="423" spans="1:6" ht="12.75">
      <c r="A423" s="267"/>
      <c r="B423" s="267"/>
      <c r="F423" s="267"/>
    </row>
    <row r="424" spans="1:6" ht="12.75">
      <c r="A424" s="267"/>
      <c r="B424" s="267"/>
      <c r="F424" s="267"/>
    </row>
    <row r="425" spans="1:6" ht="12.75">
      <c r="A425" s="267"/>
      <c r="B425" s="267"/>
      <c r="F425" s="267"/>
    </row>
    <row r="426" spans="1:6" ht="12.75">
      <c r="A426" s="267"/>
      <c r="B426" s="267"/>
      <c r="F426" s="267"/>
    </row>
    <row r="427" spans="1:6" ht="12.75">
      <c r="A427" s="267"/>
      <c r="B427" s="267"/>
      <c r="F427" s="267"/>
    </row>
    <row r="428" spans="1:6" ht="12.75">
      <c r="A428" s="267"/>
      <c r="B428" s="267"/>
      <c r="F428" s="267"/>
    </row>
    <row r="429" spans="1:6" ht="12.75">
      <c r="A429" s="267"/>
      <c r="B429" s="267"/>
      <c r="F429" s="267"/>
    </row>
    <row r="430" spans="1:6" ht="12.75">
      <c r="A430" s="267"/>
      <c r="B430" s="267"/>
      <c r="F430" s="267"/>
    </row>
    <row r="431" spans="1:6" ht="12.75">
      <c r="A431" s="267"/>
      <c r="B431" s="267"/>
      <c r="F431" s="267"/>
    </row>
    <row r="432" spans="1:6" ht="12.75">
      <c r="A432" s="267"/>
      <c r="B432" s="267"/>
      <c r="F432" s="267"/>
    </row>
    <row r="433" spans="1:6" ht="12.75">
      <c r="A433" s="267"/>
      <c r="B433" s="267"/>
      <c r="F433" s="267"/>
    </row>
    <row r="434" spans="1:6" ht="12.75">
      <c r="A434" s="267"/>
      <c r="B434" s="267"/>
      <c r="F434" s="267"/>
    </row>
    <row r="435" spans="1:6" ht="12.75">
      <c r="A435" s="267"/>
      <c r="B435" s="267"/>
      <c r="F435" s="267"/>
    </row>
    <row r="436" spans="1:6" ht="12.75">
      <c r="A436" s="267"/>
      <c r="B436" s="267"/>
      <c r="F436" s="267"/>
    </row>
    <row r="437" spans="1:6" ht="12.75">
      <c r="A437" s="267"/>
      <c r="B437" s="267"/>
      <c r="F437" s="267"/>
    </row>
    <row r="438" spans="1:6" ht="12.75">
      <c r="A438" s="267"/>
      <c r="B438" s="267"/>
      <c r="F438" s="267"/>
    </row>
    <row r="439" spans="1:6" ht="12.75">
      <c r="A439" s="267"/>
      <c r="B439" s="267"/>
      <c r="F439" s="267"/>
    </row>
    <row r="440" spans="1:6" ht="12.75">
      <c r="A440" s="267"/>
      <c r="B440" s="267"/>
      <c r="F440" s="267"/>
    </row>
    <row r="441" spans="1:6" ht="12.75">
      <c r="A441" s="267"/>
      <c r="B441" s="267"/>
      <c r="F441" s="267"/>
    </row>
    <row r="442" spans="1:6" ht="12.75">
      <c r="A442" s="267"/>
      <c r="B442" s="267"/>
      <c r="F442" s="267"/>
    </row>
    <row r="443" spans="1:6" ht="12.75">
      <c r="A443" s="267"/>
      <c r="B443" s="267"/>
      <c r="F443" s="267"/>
    </row>
    <row r="444" spans="1:6" ht="12.75">
      <c r="A444" s="267"/>
      <c r="B444" s="267"/>
      <c r="F444" s="267"/>
    </row>
    <row r="445" spans="1:6" ht="12.75">
      <c r="A445" s="267"/>
      <c r="B445" s="267"/>
      <c r="F445" s="267"/>
    </row>
    <row r="446" spans="1:6" ht="12.75">
      <c r="A446" s="267"/>
      <c r="B446" s="267"/>
      <c r="F446" s="267"/>
    </row>
    <row r="447" spans="1:6" ht="12.75">
      <c r="A447" s="267"/>
      <c r="B447" s="267"/>
      <c r="F447" s="267"/>
    </row>
    <row r="448" spans="1:6" ht="12.75">
      <c r="A448" s="267"/>
      <c r="B448" s="267"/>
      <c r="F448" s="267"/>
    </row>
    <row r="449" spans="1:6" ht="12.75">
      <c r="A449" s="267"/>
      <c r="B449" s="267"/>
      <c r="F449" s="267"/>
    </row>
    <row r="450" spans="1:6" ht="12.75">
      <c r="A450" s="267"/>
      <c r="B450" s="267"/>
      <c r="F450" s="267"/>
    </row>
    <row r="451" spans="1:6" ht="12.75">
      <c r="A451" s="267"/>
      <c r="B451" s="267"/>
      <c r="F451" s="267"/>
    </row>
    <row r="452" spans="1:6" ht="12.75">
      <c r="A452" s="267"/>
      <c r="B452" s="267"/>
      <c r="F452" s="267"/>
    </row>
    <row r="453" spans="1:6" ht="12.75">
      <c r="A453" s="267"/>
      <c r="B453" s="267"/>
      <c r="F453" s="267"/>
    </row>
    <row r="454" spans="1:6" ht="12.75">
      <c r="A454" s="267"/>
      <c r="B454" s="267"/>
      <c r="F454" s="267"/>
    </row>
    <row r="455" spans="1:6" ht="12.75">
      <c r="A455" s="267"/>
      <c r="B455" s="267"/>
      <c r="F455" s="267"/>
    </row>
    <row r="456" spans="1:6" ht="12.75">
      <c r="A456" s="267"/>
      <c r="B456" s="267"/>
      <c r="F456" s="267"/>
    </row>
    <row r="457" spans="1:6" ht="12.75">
      <c r="A457" s="267"/>
      <c r="B457" s="267"/>
      <c r="F457" s="267"/>
    </row>
    <row r="458" spans="1:6" ht="12.75">
      <c r="A458" s="267"/>
      <c r="B458" s="267"/>
      <c r="F458" s="267"/>
    </row>
    <row r="459" spans="1:6" ht="12.75">
      <c r="A459" s="267"/>
      <c r="B459" s="267"/>
      <c r="F459" s="267"/>
    </row>
    <row r="460" spans="1:6" ht="12.75">
      <c r="A460" s="267"/>
      <c r="B460" s="267"/>
      <c r="F460" s="267"/>
    </row>
    <row r="461" spans="1:6" ht="12.75">
      <c r="A461" s="267"/>
      <c r="B461" s="267"/>
      <c r="F461" s="267"/>
    </row>
    <row r="462" spans="1:6" ht="12.75">
      <c r="A462" s="267"/>
      <c r="B462" s="267"/>
      <c r="F462" s="267"/>
    </row>
    <row r="463" spans="1:6" ht="12.75">
      <c r="A463" s="267"/>
      <c r="B463" s="267"/>
      <c r="F463" s="267"/>
    </row>
    <row r="464" spans="1:6" ht="12.75">
      <c r="A464" s="267"/>
      <c r="B464" s="267"/>
      <c r="F464" s="267"/>
    </row>
    <row r="465" spans="1:6" ht="12.75">
      <c r="A465" s="267"/>
      <c r="B465" s="267"/>
      <c r="F465" s="267"/>
    </row>
    <row r="466" spans="1:6" ht="12.75">
      <c r="A466" s="267"/>
      <c r="B466" s="267"/>
      <c r="F466" s="267"/>
    </row>
    <row r="467" spans="1:6" ht="12.75">
      <c r="A467" s="267"/>
      <c r="B467" s="267"/>
      <c r="F467" s="267"/>
    </row>
    <row r="468" spans="1:6" ht="12.75">
      <c r="A468" s="267"/>
      <c r="B468" s="267"/>
      <c r="F468" s="267"/>
    </row>
    <row r="469" spans="1:6" ht="12.75">
      <c r="A469" s="267"/>
      <c r="B469" s="267"/>
      <c r="F469" s="267"/>
    </row>
    <row r="470" spans="1:6" ht="12.75">
      <c r="A470" s="267"/>
      <c r="B470" s="267"/>
      <c r="F470" s="267"/>
    </row>
    <row r="471" spans="1:6" ht="12.75">
      <c r="A471" s="267"/>
      <c r="B471" s="267"/>
      <c r="F471" s="267"/>
    </row>
    <row r="472" spans="1:6" ht="12.75">
      <c r="A472" s="267"/>
      <c r="B472" s="267"/>
      <c r="F472" s="267"/>
    </row>
    <row r="473" spans="1:6" ht="12.75">
      <c r="A473" s="267"/>
      <c r="B473" s="267"/>
      <c r="F473" s="267"/>
    </row>
    <row r="474" spans="1:6" ht="12.75">
      <c r="A474" s="267"/>
      <c r="B474" s="267"/>
      <c r="F474" s="267"/>
    </row>
    <row r="475" spans="1:6" ht="12.75">
      <c r="A475" s="267"/>
      <c r="B475" s="267"/>
      <c r="F475" s="267"/>
    </row>
    <row r="476" spans="1:6" ht="12.75">
      <c r="A476" s="267"/>
      <c r="B476" s="267"/>
      <c r="F476" s="267"/>
    </row>
    <row r="477" spans="1:6" ht="12.75">
      <c r="A477" s="267"/>
      <c r="B477" s="267"/>
      <c r="F477" s="267"/>
    </row>
    <row r="478" spans="1:6" ht="12.75">
      <c r="A478" s="267"/>
      <c r="B478" s="267"/>
      <c r="F478" s="267"/>
    </row>
    <row r="479" spans="1:6" ht="12.75">
      <c r="A479" s="267"/>
      <c r="B479" s="267"/>
      <c r="F479" s="267"/>
    </row>
    <row r="480" spans="1:6" ht="12.75">
      <c r="A480" s="267"/>
      <c r="B480" s="267"/>
      <c r="F480" s="267"/>
    </row>
    <row r="481" spans="1:6" ht="12.75">
      <c r="A481" s="267"/>
      <c r="B481" s="267"/>
      <c r="F481" s="267"/>
    </row>
    <row r="482" spans="1:6" ht="12.75">
      <c r="A482" s="267"/>
      <c r="B482" s="267"/>
      <c r="F482" s="267"/>
    </row>
    <row r="483" spans="1:6" ht="12.75">
      <c r="A483" s="267"/>
      <c r="B483" s="267"/>
      <c r="F483" s="267"/>
    </row>
    <row r="484" spans="1:6" ht="12.75">
      <c r="A484" s="267"/>
      <c r="B484" s="267"/>
      <c r="F484" s="267"/>
    </row>
    <row r="485" spans="1:6" ht="12.75">
      <c r="A485" s="267"/>
      <c r="B485" s="267"/>
      <c r="F485" s="267"/>
    </row>
    <row r="486" spans="1:6" ht="12.75">
      <c r="A486" s="267"/>
      <c r="B486" s="267"/>
      <c r="F486" s="267"/>
    </row>
    <row r="487" spans="1:6" ht="12.75">
      <c r="A487" s="267"/>
      <c r="B487" s="267"/>
      <c r="F487" s="267"/>
    </row>
    <row r="488" spans="1:6" ht="12.75">
      <c r="A488" s="267"/>
      <c r="B488" s="267"/>
      <c r="F488" s="267"/>
    </row>
    <row r="489" spans="1:6" ht="12.75">
      <c r="A489" s="267"/>
      <c r="B489" s="267"/>
      <c r="F489" s="267"/>
    </row>
    <row r="490" spans="1:6" ht="12.75">
      <c r="A490" s="267"/>
      <c r="B490" s="267"/>
      <c r="F490" s="267"/>
    </row>
    <row r="491" spans="1:6" ht="12.75">
      <c r="A491" s="267"/>
      <c r="B491" s="267"/>
      <c r="F491" s="267"/>
    </row>
    <row r="492" spans="1:6" ht="12.75">
      <c r="A492" s="267"/>
      <c r="B492" s="267"/>
      <c r="F492" s="267"/>
    </row>
    <row r="493" spans="1:6" ht="12.75">
      <c r="A493" s="267"/>
      <c r="B493" s="267"/>
      <c r="F493" s="267"/>
    </row>
    <row r="494" spans="1:6" ht="12.75">
      <c r="A494" s="267"/>
      <c r="B494" s="267"/>
      <c r="F494" s="267"/>
    </row>
    <row r="495" spans="1:6" ht="12.75">
      <c r="A495" s="267"/>
      <c r="B495" s="267"/>
      <c r="F495" s="267"/>
    </row>
    <row r="496" spans="1:6" ht="12.75">
      <c r="A496" s="267"/>
      <c r="B496" s="267"/>
      <c r="F496" s="267"/>
    </row>
    <row r="497" spans="1:6" ht="12.75">
      <c r="A497" s="267"/>
      <c r="B497" s="267"/>
      <c r="F497" s="267"/>
    </row>
    <row r="498" spans="1:6" ht="12.75">
      <c r="A498" s="267"/>
      <c r="B498" s="267"/>
      <c r="F498" s="267"/>
    </row>
    <row r="499" spans="1:6" ht="12.75">
      <c r="A499" s="267"/>
      <c r="B499" s="267"/>
      <c r="F499" s="267"/>
    </row>
    <row r="500" spans="1:6" ht="12.75">
      <c r="A500" s="267"/>
      <c r="B500" s="267"/>
      <c r="F500" s="267"/>
    </row>
    <row r="501" spans="1:6" ht="12.75">
      <c r="A501" s="267"/>
      <c r="B501" s="267"/>
      <c r="F501" s="267"/>
    </row>
    <row r="502" spans="1:6" ht="12.75">
      <c r="A502" s="267"/>
      <c r="B502" s="267"/>
      <c r="F502" s="267"/>
    </row>
    <row r="503" spans="1:6" ht="12.75">
      <c r="A503" s="267"/>
      <c r="B503" s="267"/>
      <c r="F503" s="267"/>
    </row>
    <row r="504" spans="1:6" ht="12.75">
      <c r="A504" s="267"/>
      <c r="B504" s="267"/>
      <c r="F504" s="267"/>
    </row>
    <row r="505" spans="1:6" ht="12.75">
      <c r="A505" s="267"/>
      <c r="B505" s="267"/>
      <c r="F505" s="267"/>
    </row>
    <row r="506" spans="1:6" ht="12.75">
      <c r="A506" s="267"/>
      <c r="B506" s="267"/>
      <c r="F506" s="267"/>
    </row>
    <row r="507" spans="1:6" ht="12.75">
      <c r="A507" s="267"/>
      <c r="B507" s="267"/>
      <c r="F507" s="267"/>
    </row>
    <row r="508" spans="1:6" ht="12.75">
      <c r="A508" s="267"/>
      <c r="B508" s="267"/>
      <c r="F508" s="267"/>
    </row>
    <row r="509" spans="1:6" ht="12.75">
      <c r="A509" s="267"/>
      <c r="B509" s="267"/>
      <c r="F509" s="267"/>
    </row>
    <row r="510" spans="1:6" ht="12.75">
      <c r="A510" s="267"/>
      <c r="B510" s="267"/>
      <c r="F510" s="267"/>
    </row>
    <row r="511" spans="1:6" ht="12.75">
      <c r="A511" s="267"/>
      <c r="B511" s="267"/>
      <c r="F511" s="267"/>
    </row>
    <row r="512" spans="1:6" ht="12.75">
      <c r="A512" s="267"/>
      <c r="B512" s="267"/>
      <c r="F512" s="267"/>
    </row>
    <row r="513" spans="1:6" ht="12.75">
      <c r="A513" s="267"/>
      <c r="B513" s="267"/>
      <c r="F513" s="267"/>
    </row>
    <row r="514" spans="1:6" ht="12.75">
      <c r="A514" s="267"/>
      <c r="B514" s="267"/>
      <c r="F514" s="267"/>
    </row>
    <row r="515" spans="1:6" ht="12.75">
      <c r="A515" s="267"/>
      <c r="B515" s="267"/>
      <c r="F515" s="267"/>
    </row>
    <row r="516" spans="1:6" ht="12.75">
      <c r="A516" s="267"/>
      <c r="B516" s="267"/>
      <c r="F516" s="267"/>
    </row>
    <row r="517" spans="1:6" ht="12.75">
      <c r="A517" s="267"/>
      <c r="B517" s="267"/>
      <c r="F517" s="267"/>
    </row>
    <row r="518" spans="1:6" ht="12.75">
      <c r="A518" s="267"/>
      <c r="B518" s="267"/>
      <c r="F518" s="267"/>
    </row>
    <row r="519" spans="1:6" ht="12.75">
      <c r="A519" s="267"/>
      <c r="B519" s="267"/>
      <c r="F519" s="267"/>
    </row>
    <row r="520" spans="1:6" ht="12.75">
      <c r="A520" s="267"/>
      <c r="B520" s="267"/>
      <c r="F520" s="267"/>
    </row>
    <row r="521" spans="1:6" ht="12.75">
      <c r="A521" s="267"/>
      <c r="B521" s="267"/>
      <c r="F521" s="267"/>
    </row>
    <row r="522" spans="1:6" ht="12.75">
      <c r="A522" s="267"/>
      <c r="B522" s="267"/>
      <c r="F522" s="267"/>
    </row>
    <row r="523" spans="1:6" ht="12.75">
      <c r="A523" s="267"/>
      <c r="B523" s="267"/>
      <c r="F523" s="267"/>
    </row>
    <row r="524" spans="1:6" ht="12.75">
      <c r="A524" s="267"/>
      <c r="B524" s="267"/>
      <c r="F524" s="267"/>
    </row>
    <row r="525" spans="1:6" ht="12.75">
      <c r="A525" s="267"/>
      <c r="B525" s="267"/>
      <c r="F525" s="267"/>
    </row>
    <row r="526" spans="1:6" ht="12.75">
      <c r="A526" s="267"/>
      <c r="B526" s="267"/>
      <c r="F526" s="267"/>
    </row>
    <row r="527" spans="1:6" ht="12.75">
      <c r="A527" s="267"/>
      <c r="B527" s="267"/>
      <c r="F527" s="267"/>
    </row>
    <row r="528" spans="1:6" ht="12.75">
      <c r="A528" s="267"/>
      <c r="B528" s="267"/>
      <c r="F528" s="267"/>
    </row>
    <row r="529" spans="1:6" ht="12.75">
      <c r="A529" s="267"/>
      <c r="B529" s="267"/>
      <c r="F529" s="267"/>
    </row>
    <row r="530" spans="1:6" ht="12.75">
      <c r="A530" s="267"/>
      <c r="B530" s="267"/>
      <c r="F530" s="267"/>
    </row>
    <row r="531" spans="1:6" ht="12.75">
      <c r="A531" s="267"/>
      <c r="B531" s="267"/>
      <c r="F531" s="267"/>
    </row>
    <row r="532" spans="1:6" ht="12.75">
      <c r="A532" s="267"/>
      <c r="B532" s="267"/>
      <c r="F532" s="267"/>
    </row>
    <row r="533" spans="1:6" ht="12.75">
      <c r="A533" s="267"/>
      <c r="B533" s="267"/>
      <c r="F533" s="267"/>
    </row>
    <row r="534" spans="1:6" ht="12.75">
      <c r="A534" s="267"/>
      <c r="B534" s="267"/>
      <c r="F534" s="267"/>
    </row>
    <row r="535" spans="1:6" ht="12.75">
      <c r="A535" s="267"/>
      <c r="B535" s="267"/>
      <c r="F535" s="267"/>
    </row>
    <row r="536" spans="1:6" ht="12.75">
      <c r="A536" s="267"/>
      <c r="B536" s="267"/>
      <c r="F536" s="267"/>
    </row>
    <row r="537" spans="1:6" ht="12.75">
      <c r="A537" s="267"/>
      <c r="B537" s="267"/>
      <c r="F537" s="267"/>
    </row>
    <row r="538" spans="1:6" ht="12.75">
      <c r="A538" s="267"/>
      <c r="B538" s="267"/>
      <c r="F538" s="267"/>
    </row>
    <row r="539" spans="1:6" ht="12.75">
      <c r="A539" s="267"/>
      <c r="B539" s="267"/>
      <c r="F539" s="267"/>
    </row>
    <row r="540" spans="1:6" ht="12.75">
      <c r="A540" s="267"/>
      <c r="B540" s="267"/>
      <c r="F540" s="267"/>
    </row>
    <row r="541" spans="1:6" ht="12.75">
      <c r="A541" s="267"/>
      <c r="B541" s="267"/>
      <c r="F541" s="267"/>
    </row>
    <row r="542" spans="1:6" ht="12.75">
      <c r="A542" s="267"/>
      <c r="B542" s="267"/>
      <c r="F542" s="267"/>
    </row>
    <row r="543" spans="1:6" ht="12.75">
      <c r="A543" s="267"/>
      <c r="B543" s="267"/>
      <c r="F543" s="267"/>
    </row>
    <row r="544" spans="1:6" ht="12.75">
      <c r="A544" s="267"/>
      <c r="B544" s="267"/>
      <c r="F544" s="267"/>
    </row>
    <row r="545" spans="1:6" ht="12.75">
      <c r="A545" s="267"/>
      <c r="B545" s="267"/>
      <c r="F545" s="267"/>
    </row>
    <row r="546" spans="1:6" ht="12.75">
      <c r="A546" s="267"/>
      <c r="B546" s="267"/>
      <c r="F546" s="267"/>
    </row>
    <row r="547" spans="1:6" ht="12.75">
      <c r="A547" s="267"/>
      <c r="B547" s="267"/>
      <c r="F547" s="267"/>
    </row>
    <row r="548" spans="1:6" ht="12.75">
      <c r="A548" s="267"/>
      <c r="B548" s="267"/>
      <c r="F548" s="267"/>
    </row>
    <row r="549" spans="1:6" ht="12.75">
      <c r="A549" s="267"/>
      <c r="B549" s="267"/>
      <c r="F549" s="267"/>
    </row>
    <row r="550" spans="1:6" ht="12.75">
      <c r="A550" s="267"/>
      <c r="B550" s="267"/>
      <c r="F550" s="267"/>
    </row>
    <row r="551" spans="1:6" ht="12.75">
      <c r="A551" s="267"/>
      <c r="B551" s="267"/>
      <c r="F551" s="267"/>
    </row>
    <row r="552" spans="1:6" ht="12.75">
      <c r="A552" s="267"/>
      <c r="B552" s="267"/>
      <c r="F552" s="267"/>
    </row>
    <row r="553" spans="1:6" ht="12.75">
      <c r="A553" s="267"/>
      <c r="B553" s="267"/>
      <c r="F553" s="267"/>
    </row>
    <row r="554" spans="1:6" ht="12.75">
      <c r="A554" s="267"/>
      <c r="B554" s="267"/>
      <c r="F554" s="267"/>
    </row>
    <row r="555" spans="1:6" ht="12.75">
      <c r="A555" s="267"/>
      <c r="B555" s="267"/>
      <c r="F555" s="267"/>
    </row>
    <row r="556" spans="1:6" ht="12.75">
      <c r="A556" s="267"/>
      <c r="B556" s="267"/>
      <c r="F556" s="267"/>
    </row>
    <row r="557" spans="1:6" ht="12.75">
      <c r="A557" s="267"/>
      <c r="B557" s="267"/>
      <c r="F557" s="267"/>
    </row>
    <row r="558" spans="1:6" ht="12.75">
      <c r="A558" s="267"/>
      <c r="B558" s="267"/>
      <c r="F558" s="267"/>
    </row>
    <row r="559" spans="1:6" ht="12.75">
      <c r="A559" s="267"/>
      <c r="B559" s="267"/>
      <c r="F559" s="267"/>
    </row>
    <row r="560" spans="1:6" ht="12.75">
      <c r="A560" s="267"/>
      <c r="B560" s="267"/>
      <c r="F560" s="267"/>
    </row>
    <row r="561" spans="1:6" ht="12.75">
      <c r="A561" s="267"/>
      <c r="B561" s="267"/>
      <c r="F561" s="267"/>
    </row>
    <row r="562" spans="1:6" ht="12.75">
      <c r="A562" s="267"/>
      <c r="B562" s="267"/>
      <c r="F562" s="267"/>
    </row>
    <row r="563" spans="1:6" ht="12.75">
      <c r="A563" s="267"/>
      <c r="B563" s="267"/>
      <c r="F563" s="267"/>
    </row>
    <row r="564" spans="1:6" ht="12.75">
      <c r="A564" s="267"/>
      <c r="B564" s="267"/>
      <c r="F564" s="267"/>
    </row>
    <row r="565" spans="1:6" ht="12.75">
      <c r="A565" s="267"/>
      <c r="B565" s="267"/>
      <c r="F565" s="267"/>
    </row>
    <row r="566" spans="1:6" ht="12.75">
      <c r="A566" s="267"/>
      <c r="B566" s="267"/>
      <c r="F566" s="267"/>
    </row>
    <row r="567" spans="1:6" ht="12.75">
      <c r="A567" s="267"/>
      <c r="B567" s="267"/>
      <c r="F567" s="267"/>
    </row>
    <row r="568" spans="1:6" ht="12.75">
      <c r="A568" s="267"/>
      <c r="B568" s="267"/>
      <c r="F568" s="267"/>
    </row>
    <row r="569" spans="1:6" ht="12.75">
      <c r="A569" s="267"/>
      <c r="B569" s="267"/>
      <c r="F569" s="267"/>
    </row>
    <row r="570" spans="1:6" ht="12.75">
      <c r="A570" s="267"/>
      <c r="B570" s="267"/>
      <c r="F570" s="267"/>
    </row>
    <row r="571" spans="1:6" ht="12.75">
      <c r="A571" s="267"/>
      <c r="B571" s="267"/>
      <c r="F571" s="267"/>
    </row>
    <row r="572" spans="1:6" ht="12.75">
      <c r="A572" s="267"/>
      <c r="B572" s="267"/>
      <c r="F572" s="267"/>
    </row>
    <row r="573" spans="1:6" ht="12.75">
      <c r="A573" s="267"/>
      <c r="B573" s="267"/>
      <c r="F573" s="267"/>
    </row>
    <row r="574" spans="1:6" ht="12.75">
      <c r="A574" s="267"/>
      <c r="B574" s="267"/>
      <c r="F574" s="267"/>
    </row>
    <row r="575" spans="1:6" ht="12.75">
      <c r="A575" s="267"/>
      <c r="B575" s="267"/>
      <c r="F575" s="267"/>
    </row>
    <row r="576" spans="1:6" ht="12.75">
      <c r="A576" s="267"/>
      <c r="B576" s="267"/>
      <c r="F576" s="267"/>
    </row>
    <row r="577" spans="1:6" ht="12.75">
      <c r="A577" s="267"/>
      <c r="B577" s="267"/>
      <c r="F577" s="267"/>
    </row>
    <row r="578" spans="1:6" ht="12.75">
      <c r="A578" s="267"/>
      <c r="B578" s="267"/>
      <c r="F578" s="267"/>
    </row>
    <row r="579" spans="1:6" ht="12.75">
      <c r="A579" s="267"/>
      <c r="B579" s="267"/>
      <c r="F579" s="267"/>
    </row>
    <row r="580" spans="1:6" ht="12.75">
      <c r="A580" s="267"/>
      <c r="B580" s="267"/>
      <c r="F580" s="267"/>
    </row>
    <row r="581" spans="1:6" ht="12.75">
      <c r="A581" s="267"/>
      <c r="B581" s="267"/>
      <c r="F581" s="267"/>
    </row>
    <row r="582" spans="1:6" ht="12.75">
      <c r="A582" s="267"/>
      <c r="B582" s="267"/>
      <c r="F582" s="267"/>
    </row>
    <row r="583" spans="1:6" ht="12.75">
      <c r="A583" s="267"/>
      <c r="B583" s="267"/>
      <c r="F583" s="267"/>
    </row>
    <row r="584" spans="1:6" ht="12.75">
      <c r="A584" s="267"/>
      <c r="B584" s="267"/>
      <c r="F584" s="267"/>
    </row>
    <row r="585" spans="1:6" ht="12.75">
      <c r="A585" s="267"/>
      <c r="B585" s="267"/>
      <c r="F585" s="267"/>
    </row>
    <row r="586" spans="1:6" ht="12.75">
      <c r="A586" s="267"/>
      <c r="B586" s="267"/>
      <c r="F586" s="267"/>
    </row>
    <row r="587" spans="1:6" ht="12.75">
      <c r="A587" s="267"/>
      <c r="B587" s="267"/>
      <c r="F587" s="267"/>
    </row>
    <row r="588" spans="1:6" ht="12.75">
      <c r="A588" s="267"/>
      <c r="B588" s="267"/>
      <c r="F588" s="267"/>
    </row>
    <row r="589" spans="1:6" ht="12.75">
      <c r="A589" s="267"/>
      <c r="B589" s="267"/>
      <c r="F589" s="267"/>
    </row>
    <row r="590" spans="1:6" ht="12.75">
      <c r="A590" s="267"/>
      <c r="B590" s="267"/>
      <c r="F590" s="267"/>
    </row>
    <row r="591" spans="1:6" ht="12.75">
      <c r="A591" s="267"/>
      <c r="B591" s="267"/>
      <c r="F591" s="267"/>
    </row>
    <row r="592" spans="1:6" ht="12.75">
      <c r="A592" s="267"/>
      <c r="B592" s="267"/>
      <c r="F592" s="267"/>
    </row>
    <row r="593" spans="1:6" ht="12.75">
      <c r="A593" s="267"/>
      <c r="B593" s="267"/>
      <c r="F593" s="267"/>
    </row>
    <row r="594" spans="1:6" ht="12.75">
      <c r="A594" s="267"/>
      <c r="B594" s="267"/>
      <c r="F594" s="267"/>
    </row>
    <row r="595" spans="1:6" ht="12.75">
      <c r="A595" s="267"/>
      <c r="B595" s="267"/>
      <c r="F595" s="267"/>
    </row>
    <row r="596" spans="1:6" ht="12.75">
      <c r="A596" s="267"/>
      <c r="B596" s="267"/>
      <c r="F596" s="267"/>
    </row>
    <row r="597" spans="1:6" ht="12.75">
      <c r="A597" s="267"/>
      <c r="B597" s="267"/>
      <c r="F597" s="267"/>
    </row>
    <row r="598" spans="1:6" ht="12.75">
      <c r="A598" s="267"/>
      <c r="B598" s="267"/>
      <c r="F598" s="267"/>
    </row>
    <row r="599" spans="1:6" ht="12.75">
      <c r="A599" s="267"/>
      <c r="B599" s="267"/>
      <c r="F599" s="267"/>
    </row>
    <row r="600" spans="1:6" ht="12.75">
      <c r="A600" s="267"/>
      <c r="B600" s="267"/>
      <c r="F600" s="267"/>
    </row>
    <row r="601" spans="1:6" ht="12.75">
      <c r="A601" s="267"/>
      <c r="B601" s="267"/>
      <c r="F601" s="267"/>
    </row>
    <row r="602" spans="1:6" ht="12.75">
      <c r="A602" s="267"/>
      <c r="B602" s="267"/>
      <c r="F602" s="267"/>
    </row>
    <row r="603" spans="1:6" ht="12.75">
      <c r="A603" s="267"/>
      <c r="B603" s="267"/>
      <c r="F603" s="267"/>
    </row>
    <row r="604" spans="1:6" ht="12.75">
      <c r="A604" s="267"/>
      <c r="B604" s="267"/>
      <c r="F604" s="267"/>
    </row>
    <row r="605" spans="1:6" ht="12.75">
      <c r="A605" s="267"/>
      <c r="B605" s="267"/>
      <c r="F605" s="267"/>
    </row>
    <row r="606" spans="1:6" ht="12.75">
      <c r="A606" s="267"/>
      <c r="B606" s="267"/>
      <c r="F606" s="267"/>
    </row>
    <row r="607" spans="1:6" ht="12.75">
      <c r="A607" s="267"/>
      <c r="B607" s="267"/>
      <c r="F607" s="267"/>
    </row>
    <row r="608" spans="1:6" ht="12.75">
      <c r="A608" s="267"/>
      <c r="B608" s="267"/>
      <c r="F608" s="267"/>
    </row>
    <row r="609" spans="1:6" ht="12.75">
      <c r="A609" s="267"/>
      <c r="B609" s="267"/>
      <c r="F609" s="267"/>
    </row>
    <row r="610" spans="1:6" ht="12.75">
      <c r="A610" s="267"/>
      <c r="B610" s="267"/>
      <c r="F610" s="267"/>
    </row>
    <row r="611" spans="1:6" ht="12.75">
      <c r="A611" s="267"/>
      <c r="B611" s="267"/>
      <c r="F611" s="267"/>
    </row>
    <row r="612" spans="1:6" ht="12.75">
      <c r="A612" s="267"/>
      <c r="B612" s="267"/>
      <c r="F612" s="267"/>
    </row>
    <row r="613" spans="1:6" ht="12.75">
      <c r="A613" s="267"/>
      <c r="B613" s="267"/>
      <c r="F613" s="267"/>
    </row>
    <row r="614" spans="1:6" ht="12.75">
      <c r="A614" s="267"/>
      <c r="B614" s="267"/>
      <c r="F614" s="267"/>
    </row>
    <row r="615" spans="1:6" ht="12.75">
      <c r="A615" s="267"/>
      <c r="B615" s="267"/>
      <c r="F615" s="267"/>
    </row>
    <row r="616" spans="1:6" ht="12.75">
      <c r="A616" s="267"/>
      <c r="B616" s="267"/>
      <c r="F616" s="267"/>
    </row>
    <row r="617" spans="1:6" ht="12.75">
      <c r="A617" s="267"/>
      <c r="B617" s="267"/>
      <c r="F617" s="267"/>
    </row>
    <row r="618" spans="1:6" ht="12.75">
      <c r="A618" s="267"/>
      <c r="B618" s="267"/>
      <c r="F618" s="267"/>
    </row>
    <row r="619" spans="1:6" ht="12.75">
      <c r="A619" s="267"/>
      <c r="B619" s="267"/>
      <c r="F619" s="267"/>
    </row>
    <row r="620" spans="1:6" ht="12.75">
      <c r="A620" s="267"/>
      <c r="B620" s="267"/>
      <c r="F620" s="267"/>
    </row>
    <row r="621" spans="1:6" ht="12.75">
      <c r="A621" s="267"/>
      <c r="B621" s="267"/>
      <c r="F621" s="267"/>
    </row>
    <row r="622" spans="1:6" ht="12.75">
      <c r="A622" s="267"/>
      <c r="B622" s="267"/>
      <c r="F622" s="267"/>
    </row>
    <row r="623" spans="1:6" ht="12.75">
      <c r="A623" s="267"/>
      <c r="B623" s="267"/>
      <c r="F623" s="267"/>
    </row>
    <row r="624" spans="1:6" ht="12.75">
      <c r="A624" s="267"/>
      <c r="B624" s="267"/>
      <c r="F624" s="267"/>
    </row>
    <row r="625" spans="1:6" ht="12.75">
      <c r="A625" s="267"/>
      <c r="B625" s="267"/>
      <c r="F625" s="267"/>
    </row>
    <row r="626" spans="1:6" ht="12.75">
      <c r="A626" s="267"/>
      <c r="B626" s="267"/>
      <c r="F626" s="267"/>
    </row>
    <row r="627" spans="1:6" ht="12.75">
      <c r="A627" s="267"/>
      <c r="B627" s="267"/>
      <c r="F627" s="267"/>
    </row>
    <row r="628" spans="1:6" ht="12.75">
      <c r="A628" s="267"/>
      <c r="B628" s="267"/>
      <c r="F628" s="267"/>
    </row>
    <row r="629" spans="1:6" ht="12.75">
      <c r="A629" s="267"/>
      <c r="B629" s="267"/>
      <c r="F629" s="267"/>
    </row>
    <row r="630" spans="1:6" ht="12.75">
      <c r="A630" s="267"/>
      <c r="B630" s="267"/>
      <c r="F630" s="267"/>
    </row>
    <row r="631" spans="1:6" ht="12.75">
      <c r="A631" s="267"/>
      <c r="B631" s="267"/>
      <c r="F631" s="267"/>
    </row>
    <row r="632" spans="1:6" ht="12.75">
      <c r="A632" s="267"/>
      <c r="B632" s="267"/>
      <c r="F632" s="267"/>
    </row>
    <row r="633" spans="1:6" ht="12.75">
      <c r="A633" s="267"/>
      <c r="B633" s="267"/>
      <c r="F633" s="267"/>
    </row>
    <row r="634" spans="1:6" ht="12.75">
      <c r="A634" s="267"/>
      <c r="B634" s="267"/>
      <c r="F634" s="267"/>
    </row>
    <row r="635" spans="1:6" ht="12.75">
      <c r="A635" s="267"/>
      <c r="B635" s="267"/>
      <c r="F635" s="267"/>
    </row>
    <row r="636" spans="1:6" ht="12.75">
      <c r="A636" s="267"/>
      <c r="B636" s="267"/>
      <c r="F636" s="267"/>
    </row>
    <row r="637" spans="1:6" ht="12.75">
      <c r="A637" s="267"/>
      <c r="B637" s="267"/>
      <c r="F637" s="267"/>
    </row>
    <row r="638" spans="1:6" ht="12.75">
      <c r="A638" s="267"/>
      <c r="B638" s="267"/>
      <c r="F638" s="267"/>
    </row>
    <row r="639" spans="1:6" ht="12.75">
      <c r="A639" s="267"/>
      <c r="B639" s="267"/>
      <c r="F639" s="267"/>
    </row>
    <row r="640" spans="1:6" ht="12.75">
      <c r="A640" s="267"/>
      <c r="B640" s="267"/>
      <c r="F640" s="267"/>
    </row>
    <row r="641" spans="1:6" ht="12.75">
      <c r="A641" s="267"/>
      <c r="B641" s="267"/>
      <c r="F641" s="267"/>
    </row>
    <row r="642" spans="1:6" ht="12.75">
      <c r="A642" s="267"/>
      <c r="B642" s="267"/>
      <c r="F642" s="267"/>
    </row>
    <row r="643" spans="1:6" ht="12.75">
      <c r="A643" s="267"/>
      <c r="B643" s="267"/>
      <c r="F643" s="267"/>
    </row>
    <row r="644" spans="1:6" ht="12.75">
      <c r="A644" s="267"/>
      <c r="B644" s="267"/>
      <c r="F644" s="267"/>
    </row>
    <row r="645" spans="1:6" ht="12.75">
      <c r="A645" s="267"/>
      <c r="B645" s="267"/>
      <c r="F645" s="267"/>
    </row>
    <row r="646" spans="1:6" ht="12.75">
      <c r="A646" s="267"/>
      <c r="B646" s="267"/>
      <c r="F646" s="267"/>
    </row>
    <row r="647" spans="1:6" ht="12.75">
      <c r="A647" s="267"/>
      <c r="B647" s="267"/>
      <c r="F647" s="267"/>
    </row>
    <row r="648" spans="1:6" ht="12.75">
      <c r="A648" s="267"/>
      <c r="B648" s="267"/>
      <c r="F648" s="267"/>
    </row>
    <row r="649" spans="1:6" ht="12.75">
      <c r="A649" s="267"/>
      <c r="B649" s="267"/>
      <c r="F649" s="267"/>
    </row>
    <row r="650" spans="1:6" ht="12.75">
      <c r="A650" s="267"/>
      <c r="B650" s="267"/>
      <c r="F650" s="267"/>
    </row>
    <row r="651" spans="1:6" ht="12.75">
      <c r="A651" s="267"/>
      <c r="B651" s="267"/>
      <c r="F651" s="267"/>
    </row>
    <row r="652" spans="1:6" ht="12.75">
      <c r="A652" s="267"/>
      <c r="B652" s="267"/>
      <c r="F652" s="267"/>
    </row>
    <row r="653" spans="1:6" ht="12.75">
      <c r="A653" s="267"/>
      <c r="B653" s="267"/>
      <c r="F653" s="267"/>
    </row>
    <row r="654" spans="1:6" ht="12.75">
      <c r="A654" s="267"/>
      <c r="B654" s="267"/>
      <c r="F654" s="267"/>
    </row>
    <row r="655" spans="1:6" ht="12.75">
      <c r="A655" s="267"/>
      <c r="B655" s="267"/>
      <c r="F655" s="267"/>
    </row>
    <row r="656" spans="1:6" ht="12.75">
      <c r="A656" s="267"/>
      <c r="B656" s="267"/>
      <c r="F656" s="267"/>
    </row>
    <row r="657" spans="1:6" ht="12.75">
      <c r="A657" s="267"/>
      <c r="B657" s="267"/>
      <c r="F657" s="267"/>
    </row>
    <row r="658" spans="1:6" ht="12.75">
      <c r="A658" s="267"/>
      <c r="B658" s="267"/>
      <c r="F658" s="267"/>
    </row>
    <row r="659" spans="1:6" ht="12.75">
      <c r="A659" s="267"/>
      <c r="B659" s="267"/>
      <c r="F659" s="267"/>
    </row>
    <row r="660" spans="1:6" ht="12.75">
      <c r="A660" s="267"/>
      <c r="B660" s="267"/>
      <c r="F660" s="267"/>
    </row>
    <row r="661" spans="1:6" ht="12.75">
      <c r="A661" s="267"/>
      <c r="B661" s="267"/>
      <c r="F661" s="267"/>
    </row>
    <row r="662" spans="1:6" ht="12.75">
      <c r="A662" s="267"/>
      <c r="B662" s="267"/>
      <c r="F662" s="267"/>
    </row>
    <row r="663" spans="1:6" ht="12.75">
      <c r="A663" s="267"/>
      <c r="B663" s="267"/>
      <c r="F663" s="267"/>
    </row>
    <row r="664" spans="1:6" ht="12.75">
      <c r="A664" s="267"/>
      <c r="B664" s="267"/>
      <c r="F664" s="267"/>
    </row>
    <row r="665" spans="1:6" ht="12.75">
      <c r="A665" s="267"/>
      <c r="B665" s="267"/>
      <c r="F665" s="267"/>
    </row>
    <row r="666" spans="1:6" ht="12.75">
      <c r="A666" s="267"/>
      <c r="B666" s="267"/>
      <c r="F666" s="267"/>
    </row>
    <row r="667" spans="1:6" ht="12.75">
      <c r="A667" s="267"/>
      <c r="B667" s="267"/>
      <c r="F667" s="267"/>
    </row>
    <row r="668" spans="1:6" ht="12.75">
      <c r="A668" s="267"/>
      <c r="B668" s="267"/>
      <c r="F668" s="267"/>
    </row>
    <row r="669" spans="1:6" ht="12.75">
      <c r="A669" s="267"/>
      <c r="B669" s="267"/>
      <c r="F669" s="267"/>
    </row>
    <row r="670" spans="1:6" ht="12.75">
      <c r="A670" s="267"/>
      <c r="B670" s="267"/>
      <c r="F670" s="267"/>
    </row>
    <row r="671" spans="1:6" ht="12.75">
      <c r="A671" s="267"/>
      <c r="B671" s="267"/>
      <c r="F671" s="267"/>
    </row>
    <row r="672" spans="1:6" ht="12.75">
      <c r="A672" s="267"/>
      <c r="B672" s="267"/>
      <c r="F672" s="267"/>
    </row>
    <row r="673" spans="1:6" ht="12.75">
      <c r="A673" s="267"/>
      <c r="B673" s="267"/>
      <c r="F673" s="267"/>
    </row>
    <row r="674" spans="1:6" ht="12.75">
      <c r="A674" s="267"/>
      <c r="B674" s="267"/>
      <c r="F674" s="267"/>
    </row>
    <row r="675" spans="1:6" ht="12.75">
      <c r="A675" s="267"/>
      <c r="B675" s="267"/>
      <c r="F675" s="267"/>
    </row>
    <row r="676" spans="1:6" ht="12.75">
      <c r="A676" s="267"/>
      <c r="B676" s="267"/>
      <c r="F676" s="267"/>
    </row>
    <row r="677" spans="1:6" ht="12.75">
      <c r="A677" s="267"/>
      <c r="B677" s="267"/>
      <c r="F677" s="267"/>
    </row>
    <row r="678" spans="1:6" ht="12.75">
      <c r="A678" s="267"/>
      <c r="B678" s="267"/>
      <c r="F678" s="267"/>
    </row>
    <row r="679" spans="1:6" ht="12.75">
      <c r="A679" s="267"/>
      <c r="B679" s="267"/>
      <c r="F679" s="267"/>
    </row>
    <row r="680" spans="1:6" ht="12.75">
      <c r="A680" s="267"/>
      <c r="B680" s="267"/>
      <c r="F680" s="267"/>
    </row>
    <row r="681" spans="1:6" ht="12.75">
      <c r="A681" s="267"/>
      <c r="B681" s="267"/>
      <c r="F681" s="267"/>
    </row>
    <row r="682" spans="1:6" ht="12.75">
      <c r="A682" s="267"/>
      <c r="B682" s="267"/>
      <c r="F682" s="267"/>
    </row>
    <row r="683" spans="1:6" ht="12.75">
      <c r="A683" s="267"/>
      <c r="B683" s="267"/>
      <c r="F683" s="267"/>
    </row>
    <row r="684" spans="1:6" ht="12.75">
      <c r="A684" s="267"/>
      <c r="B684" s="267"/>
      <c r="F684" s="267"/>
    </row>
    <row r="685" spans="1:6" ht="12.75">
      <c r="A685" s="267"/>
      <c r="B685" s="267"/>
      <c r="F685" s="267"/>
    </row>
    <row r="686" spans="1:6" ht="12.75">
      <c r="A686" s="267"/>
      <c r="B686" s="267"/>
      <c r="F686" s="267"/>
    </row>
    <row r="687" spans="1:6" ht="12.75">
      <c r="A687" s="267"/>
      <c r="B687" s="267"/>
      <c r="F687" s="267"/>
    </row>
    <row r="688" spans="1:6" ht="12.75">
      <c r="A688" s="267"/>
      <c r="B688" s="267"/>
      <c r="F688" s="267"/>
    </row>
    <row r="689" spans="1:6" ht="12.75">
      <c r="A689" s="267"/>
      <c r="B689" s="267"/>
      <c r="F689" s="267"/>
    </row>
    <row r="690" spans="1:6" ht="12.75">
      <c r="A690" s="267"/>
      <c r="B690" s="267"/>
      <c r="F690" s="267"/>
    </row>
    <row r="691" spans="1:6" ht="12.75">
      <c r="A691" s="267"/>
      <c r="B691" s="267"/>
      <c r="F691" s="267"/>
    </row>
    <row r="692" spans="1:6" ht="12.75">
      <c r="A692" s="267"/>
      <c r="B692" s="267"/>
      <c r="F692" s="267"/>
    </row>
    <row r="693" spans="1:6" ht="12.75">
      <c r="A693" s="267"/>
      <c r="B693" s="267"/>
      <c r="F693" s="267"/>
    </row>
    <row r="694" spans="1:6" ht="12.75">
      <c r="A694" s="267"/>
      <c r="B694" s="267"/>
      <c r="F694" s="267"/>
    </row>
    <row r="695" spans="1:6" ht="12.75">
      <c r="A695" s="267"/>
      <c r="B695" s="267"/>
      <c r="F695" s="267"/>
    </row>
    <row r="696" spans="1:6" ht="12.75">
      <c r="A696" s="267"/>
      <c r="B696" s="267"/>
      <c r="F696" s="267"/>
    </row>
    <row r="697" spans="1:6" ht="12.75">
      <c r="A697" s="267"/>
      <c r="B697" s="267"/>
      <c r="F697" s="267"/>
    </row>
    <row r="698" spans="1:6" ht="12.75">
      <c r="A698" s="267"/>
      <c r="B698" s="267"/>
      <c r="F698" s="267"/>
    </row>
    <row r="699" spans="1:6" ht="12.75">
      <c r="A699" s="267"/>
      <c r="B699" s="267"/>
      <c r="F699" s="267"/>
    </row>
    <row r="700" spans="1:6" ht="12.75">
      <c r="A700" s="267"/>
      <c r="B700" s="267"/>
      <c r="F700" s="267"/>
    </row>
    <row r="701" spans="1:6" ht="12.75">
      <c r="A701" s="267"/>
      <c r="B701" s="267"/>
      <c r="F701" s="267"/>
    </row>
    <row r="702" spans="1:6" ht="12.75">
      <c r="A702" s="267"/>
      <c r="B702" s="267"/>
      <c r="F702" s="267"/>
    </row>
    <row r="703" spans="1:6" ht="12.75">
      <c r="A703" s="267"/>
      <c r="B703" s="267"/>
      <c r="F703" s="267"/>
    </row>
    <row r="704" spans="1:6" ht="12.75">
      <c r="A704" s="267"/>
      <c r="B704" s="267"/>
      <c r="F704" s="267"/>
    </row>
    <row r="705" spans="1:6" ht="12.75">
      <c r="A705" s="267"/>
      <c r="B705" s="267"/>
      <c r="F705" s="267"/>
    </row>
    <row r="706" spans="1:6" ht="12.75">
      <c r="A706" s="267"/>
      <c r="B706" s="267"/>
      <c r="F706" s="267"/>
    </row>
    <row r="707" spans="1:6" ht="12.75">
      <c r="A707" s="267"/>
      <c r="B707" s="267"/>
      <c r="F707" s="267"/>
    </row>
    <row r="708" spans="1:6" ht="12.75">
      <c r="A708" s="267"/>
      <c r="B708" s="267"/>
      <c r="F708" s="267"/>
    </row>
    <row r="709" spans="1:6" ht="12.75">
      <c r="A709" s="267"/>
      <c r="B709" s="267"/>
      <c r="F709" s="267"/>
    </row>
    <row r="710" spans="1:6" ht="12.75">
      <c r="A710" s="267"/>
      <c r="B710" s="267"/>
      <c r="F710" s="267"/>
    </row>
    <row r="711" spans="1:6" ht="12.75">
      <c r="A711" s="267"/>
      <c r="B711" s="267"/>
      <c r="F711" s="267"/>
    </row>
    <row r="712" spans="1:6" ht="12.75">
      <c r="A712" s="267"/>
      <c r="B712" s="267"/>
      <c r="F712" s="267"/>
    </row>
    <row r="713" spans="1:6" ht="12.75">
      <c r="A713" s="267"/>
      <c r="B713" s="267"/>
      <c r="F713" s="267"/>
    </row>
    <row r="714" spans="1:6" ht="12.75">
      <c r="A714" s="267"/>
      <c r="B714" s="267"/>
      <c r="F714" s="267"/>
    </row>
    <row r="715" spans="1:6" ht="12.75">
      <c r="A715" s="267"/>
      <c r="B715" s="267"/>
      <c r="F715" s="267"/>
    </row>
    <row r="716" spans="1:6" ht="12.75">
      <c r="A716" s="267"/>
      <c r="B716" s="267"/>
      <c r="F716" s="267"/>
    </row>
    <row r="717" spans="1:6" ht="12.75">
      <c r="A717" s="267"/>
      <c r="B717" s="267"/>
      <c r="F717" s="267"/>
    </row>
    <row r="718" spans="1:6" ht="12.75">
      <c r="A718" s="267"/>
      <c r="B718" s="267"/>
      <c r="F718" s="267"/>
    </row>
    <row r="719" spans="1:6" ht="12.75">
      <c r="A719" s="267"/>
      <c r="B719" s="267"/>
      <c r="F719" s="267"/>
    </row>
    <row r="720" spans="1:6" ht="12.75">
      <c r="A720" s="267"/>
      <c r="B720" s="267"/>
      <c r="F720" s="267"/>
    </row>
    <row r="721" spans="1:6" ht="12.75">
      <c r="A721" s="267"/>
      <c r="B721" s="267"/>
      <c r="F721" s="267"/>
    </row>
    <row r="722" spans="1:6" ht="12.75">
      <c r="A722" s="267"/>
      <c r="B722" s="267"/>
      <c r="F722" s="267"/>
    </row>
    <row r="723" spans="1:6" ht="12.75">
      <c r="A723" s="267"/>
      <c r="B723" s="267"/>
      <c r="F723" s="267"/>
    </row>
    <row r="724" spans="1:6" ht="12.75">
      <c r="A724" s="267"/>
      <c r="B724" s="267"/>
      <c r="F724" s="267"/>
    </row>
    <row r="725" spans="1:6" ht="12.75">
      <c r="A725" s="267"/>
      <c r="B725" s="267"/>
      <c r="F725" s="267"/>
    </row>
    <row r="726" spans="1:6" ht="12.75">
      <c r="A726" s="267"/>
      <c r="B726" s="267"/>
      <c r="F726" s="267"/>
    </row>
    <row r="727" spans="1:6" ht="12.75">
      <c r="A727" s="267"/>
      <c r="B727" s="267"/>
      <c r="F727" s="267"/>
    </row>
    <row r="728" spans="1:6" ht="12.75">
      <c r="A728" s="267"/>
      <c r="B728" s="267"/>
      <c r="F728" s="267"/>
    </row>
    <row r="729" spans="1:6" ht="12.75">
      <c r="A729" s="267"/>
      <c r="B729" s="267"/>
      <c r="F729" s="267"/>
    </row>
    <row r="730" spans="1:6" ht="12.75">
      <c r="A730" s="267"/>
      <c r="B730" s="267"/>
      <c r="F730" s="267"/>
    </row>
    <row r="731" spans="1:6" ht="12.75">
      <c r="A731" s="267"/>
      <c r="B731" s="267"/>
      <c r="F731" s="267"/>
    </row>
    <row r="732" spans="1:6" ht="12.75">
      <c r="A732" s="267"/>
      <c r="B732" s="267"/>
      <c r="F732" s="267"/>
    </row>
    <row r="733" spans="1:6" ht="12.75">
      <c r="A733" s="267"/>
      <c r="B733" s="267"/>
      <c r="F733" s="267"/>
    </row>
    <row r="734" spans="1:6" ht="12.75">
      <c r="A734" s="267"/>
      <c r="B734" s="267"/>
      <c r="F734" s="267"/>
    </row>
    <row r="735" spans="1:6" ht="12.75">
      <c r="A735" s="267"/>
      <c r="B735" s="267"/>
      <c r="F735" s="267"/>
    </row>
    <row r="736" spans="1:6" ht="12.75">
      <c r="A736" s="267"/>
      <c r="B736" s="267"/>
      <c r="F736" s="267"/>
    </row>
    <row r="737" spans="1:6" ht="12.75">
      <c r="A737" s="267"/>
      <c r="B737" s="267"/>
      <c r="F737" s="267"/>
    </row>
    <row r="738" spans="1:6" ht="12.75">
      <c r="A738" s="267"/>
      <c r="B738" s="267"/>
      <c r="F738" s="267"/>
    </row>
    <row r="739" spans="1:6" ht="12.75">
      <c r="A739" s="267"/>
      <c r="B739" s="267"/>
      <c r="F739" s="267"/>
    </row>
    <row r="740" spans="1:6" ht="12.75">
      <c r="A740" s="267"/>
      <c r="B740" s="267"/>
      <c r="F740" s="267"/>
    </row>
    <row r="741" spans="1:6" ht="12.75">
      <c r="A741" s="267"/>
      <c r="B741" s="267"/>
      <c r="F741" s="267"/>
    </row>
    <row r="742" spans="1:6" ht="12.75">
      <c r="A742" s="267"/>
      <c r="B742" s="267"/>
      <c r="F742" s="267"/>
    </row>
    <row r="743" spans="1:6" ht="12.75">
      <c r="A743" s="267"/>
      <c r="B743" s="267"/>
      <c r="F743" s="267"/>
    </row>
    <row r="744" spans="1:6" ht="12.75">
      <c r="A744" s="267"/>
      <c r="B744" s="267"/>
      <c r="F744" s="267"/>
    </row>
    <row r="745" spans="1:6" ht="12.75">
      <c r="A745" s="267"/>
      <c r="B745" s="267"/>
      <c r="F745" s="267"/>
    </row>
    <row r="746" spans="1:6" ht="12.75">
      <c r="A746" s="267"/>
      <c r="B746" s="267"/>
      <c r="F746" s="267"/>
    </row>
    <row r="747" spans="1:6" ht="12.75">
      <c r="A747" s="267"/>
      <c r="B747" s="267"/>
      <c r="F747" s="267"/>
    </row>
    <row r="748" spans="1:6" ht="12.75">
      <c r="A748" s="267"/>
      <c r="B748" s="267"/>
      <c r="F748" s="267"/>
    </row>
    <row r="749" spans="1:6" ht="12.75">
      <c r="A749" s="267"/>
      <c r="B749" s="267"/>
      <c r="F749" s="267"/>
    </row>
    <row r="750" spans="1:6" ht="12.75">
      <c r="A750" s="267"/>
      <c r="B750" s="267"/>
      <c r="F750" s="267"/>
    </row>
    <row r="751" spans="1:6" ht="12.75">
      <c r="A751" s="267"/>
      <c r="B751" s="267"/>
      <c r="F751" s="267"/>
    </row>
    <row r="752" spans="1:6" ht="12.75">
      <c r="A752" s="267"/>
      <c r="B752" s="267"/>
      <c r="F752" s="267"/>
    </row>
    <row r="753" spans="1:6" ht="12.75">
      <c r="A753" s="267"/>
      <c r="B753" s="267"/>
      <c r="F753" s="267"/>
    </row>
    <row r="754" spans="1:6" ht="12.75">
      <c r="A754" s="267"/>
      <c r="B754" s="267"/>
      <c r="F754" s="267"/>
    </row>
    <row r="755" spans="1:6" ht="12.75">
      <c r="A755" s="267"/>
      <c r="B755" s="267"/>
      <c r="F755" s="267"/>
    </row>
    <row r="756" spans="1:6" ht="12.75">
      <c r="A756" s="267"/>
      <c r="B756" s="267"/>
      <c r="F756" s="267"/>
    </row>
    <row r="757" spans="1:6" ht="12.75">
      <c r="A757" s="267"/>
      <c r="B757" s="267"/>
      <c r="F757" s="267"/>
    </row>
    <row r="758" spans="1:6" ht="12.75">
      <c r="A758" s="267"/>
      <c r="B758" s="267"/>
      <c r="F758" s="267"/>
    </row>
    <row r="759" spans="1:6" ht="12.75">
      <c r="A759" s="267"/>
      <c r="B759" s="267"/>
      <c r="F759" s="267"/>
    </row>
    <row r="760" spans="1:6" ht="12.75">
      <c r="A760" s="267"/>
      <c r="B760" s="267"/>
      <c r="F760" s="267"/>
    </row>
    <row r="761" spans="1:6" ht="12.75">
      <c r="A761" s="267"/>
      <c r="B761" s="267"/>
      <c r="F761" s="267"/>
    </row>
    <row r="762" spans="1:6" ht="12.75">
      <c r="A762" s="267"/>
      <c r="B762" s="267"/>
      <c r="F762" s="267"/>
    </row>
    <row r="763" spans="1:6" ht="12.75">
      <c r="A763" s="267"/>
      <c r="B763" s="267"/>
      <c r="F763" s="267"/>
    </row>
    <row r="764" spans="1:6" ht="12.75">
      <c r="A764" s="267"/>
      <c r="B764" s="267"/>
      <c r="F764" s="267"/>
    </row>
    <row r="765" spans="1:6" ht="12.75">
      <c r="A765" s="267"/>
      <c r="B765" s="267"/>
      <c r="F765" s="267"/>
    </row>
    <row r="766" spans="1:6" ht="12.75">
      <c r="A766" s="267"/>
      <c r="B766" s="267"/>
      <c r="F766" s="267"/>
    </row>
    <row r="767" spans="1:6" ht="12.75">
      <c r="A767" s="267"/>
      <c r="B767" s="267"/>
      <c r="F767" s="267"/>
    </row>
    <row r="768" spans="1:6" ht="12.75">
      <c r="A768" s="267"/>
      <c r="B768" s="267"/>
      <c r="F768" s="267"/>
    </row>
    <row r="769" spans="1:6" ht="12.75">
      <c r="A769" s="267"/>
      <c r="B769" s="267"/>
      <c r="F769" s="267"/>
    </row>
    <row r="770" spans="1:6" ht="12.75">
      <c r="A770" s="267"/>
      <c r="B770" s="267"/>
      <c r="F770" s="267"/>
    </row>
    <row r="771" spans="1:6" ht="12.75">
      <c r="A771" s="267"/>
      <c r="B771" s="267"/>
      <c r="F771" s="267"/>
    </row>
    <row r="772" spans="1:6" ht="12.75">
      <c r="A772" s="267"/>
      <c r="B772" s="267"/>
      <c r="F772" s="267"/>
    </row>
    <row r="773" spans="1:6" ht="12.75">
      <c r="A773" s="267"/>
      <c r="B773" s="267"/>
      <c r="F773" s="267"/>
    </row>
    <row r="774" spans="1:6" ht="12.75">
      <c r="A774" s="267"/>
      <c r="B774" s="267"/>
      <c r="F774" s="267"/>
    </row>
    <row r="775" spans="1:6" ht="12.75">
      <c r="A775" s="267"/>
      <c r="B775" s="267"/>
      <c r="F775" s="267"/>
    </row>
    <row r="776" spans="1:6" ht="12.75">
      <c r="A776" s="267"/>
      <c r="B776" s="267"/>
      <c r="F776" s="267"/>
    </row>
    <row r="777" spans="1:6" ht="12.75">
      <c r="A777" s="267"/>
      <c r="B777" s="267"/>
      <c r="F777" s="267"/>
    </row>
    <row r="778" spans="1:6" ht="12.75">
      <c r="A778" s="267"/>
      <c r="B778" s="267"/>
      <c r="F778" s="267"/>
    </row>
    <row r="779" spans="1:6" ht="12.75">
      <c r="A779" s="267"/>
      <c r="B779" s="267"/>
      <c r="F779" s="267"/>
    </row>
    <row r="780" spans="1:6" ht="12.75">
      <c r="A780" s="267"/>
      <c r="B780" s="267"/>
      <c r="F780" s="267"/>
    </row>
    <row r="781" spans="1:6" ht="12.75">
      <c r="A781" s="267"/>
      <c r="B781" s="267"/>
      <c r="F781" s="267"/>
    </row>
    <row r="782" spans="1:6" ht="12.75">
      <c r="A782" s="267"/>
      <c r="B782" s="267"/>
      <c r="F782" s="267"/>
    </row>
    <row r="783" spans="1:6" ht="12.75">
      <c r="A783" s="267"/>
      <c r="B783" s="267"/>
      <c r="F783" s="267"/>
    </row>
    <row r="784" spans="1:6" ht="12.75">
      <c r="A784" s="267"/>
      <c r="B784" s="267"/>
      <c r="F784" s="267"/>
    </row>
    <row r="785" spans="1:6" ht="12.75">
      <c r="A785" s="267"/>
      <c r="B785" s="267"/>
      <c r="F785" s="267"/>
    </row>
    <row r="786" spans="1:6" ht="12.75">
      <c r="A786" s="267"/>
      <c r="B786" s="267"/>
      <c r="F786" s="267"/>
    </row>
    <row r="787" spans="1:6" ht="12.75">
      <c r="A787" s="267"/>
      <c r="B787" s="267"/>
      <c r="F787" s="267"/>
    </row>
    <row r="788" spans="1:6" ht="12.75">
      <c r="A788" s="267"/>
      <c r="B788" s="267"/>
      <c r="F788" s="267"/>
    </row>
    <row r="789" spans="1:6" ht="12.75">
      <c r="A789" s="267"/>
      <c r="B789" s="267"/>
      <c r="F789" s="267"/>
    </row>
    <row r="790" spans="1:6" ht="12.75">
      <c r="A790" s="267"/>
      <c r="B790" s="267"/>
      <c r="F790" s="267"/>
    </row>
    <row r="791" spans="1:6" ht="12.75">
      <c r="A791" s="267"/>
      <c r="B791" s="267"/>
      <c r="F791" s="267"/>
    </row>
    <row r="792" spans="1:6" ht="12.75">
      <c r="A792" s="267"/>
      <c r="B792" s="267"/>
      <c r="F792" s="267"/>
    </row>
    <row r="793" spans="1:6" ht="12.75">
      <c r="A793" s="267"/>
      <c r="B793" s="267"/>
      <c r="F793" s="267"/>
    </row>
    <row r="794" spans="1:6" ht="12.75">
      <c r="A794" s="267"/>
      <c r="B794" s="267"/>
      <c r="F794" s="267"/>
    </row>
    <row r="795" spans="1:6" ht="12.75">
      <c r="A795" s="267"/>
      <c r="B795" s="267"/>
      <c r="F795" s="267"/>
    </row>
    <row r="796" spans="1:6" ht="12.75">
      <c r="A796" s="267"/>
      <c r="B796" s="267"/>
      <c r="F796" s="267"/>
    </row>
    <row r="797" spans="1:6" ht="12.75">
      <c r="A797" s="267"/>
      <c r="B797" s="267"/>
      <c r="F797" s="267"/>
    </row>
    <row r="798" spans="1:6" ht="12.75">
      <c r="A798" s="267"/>
      <c r="B798" s="267"/>
      <c r="F798" s="267"/>
    </row>
    <row r="799" spans="1:6" ht="12.75">
      <c r="A799" s="267"/>
      <c r="B799" s="267"/>
      <c r="F799" s="267"/>
    </row>
    <row r="800" spans="1:6" ht="12.75">
      <c r="A800" s="267"/>
      <c r="B800" s="267"/>
      <c r="F800" s="267"/>
    </row>
    <row r="801" spans="1:6" ht="12.75">
      <c r="A801" s="267"/>
      <c r="B801" s="267"/>
      <c r="F801" s="267"/>
    </row>
    <row r="802" spans="1:6" ht="12.75">
      <c r="A802" s="267"/>
      <c r="B802" s="267"/>
      <c r="F802" s="267"/>
    </row>
    <row r="803" spans="1:6" ht="12.75">
      <c r="A803" s="267"/>
      <c r="B803" s="267"/>
      <c r="F803" s="267"/>
    </row>
    <row r="804" spans="1:6" ht="12.75">
      <c r="A804" s="267"/>
      <c r="B804" s="267"/>
      <c r="F804" s="267"/>
    </row>
    <row r="805" spans="1:6" ht="12.75">
      <c r="A805" s="267"/>
      <c r="B805" s="267"/>
      <c r="F805" s="267"/>
    </row>
    <row r="806" spans="1:6" ht="12.75">
      <c r="A806" s="267"/>
      <c r="B806" s="267"/>
      <c r="F806" s="267"/>
    </row>
    <row r="807" spans="1:6" ht="12.75">
      <c r="A807" s="267"/>
      <c r="B807" s="267"/>
      <c r="F807" s="267"/>
    </row>
    <row r="808" spans="1:6" ht="12.75">
      <c r="A808" s="267"/>
      <c r="B808" s="267"/>
      <c r="F808" s="267"/>
    </row>
    <row r="809" spans="1:6" ht="12.75">
      <c r="A809" s="267"/>
      <c r="B809" s="267"/>
      <c r="F809" s="267"/>
    </row>
    <row r="810" spans="1:6" ht="12.75">
      <c r="A810" s="267"/>
      <c r="B810" s="267"/>
      <c r="F810" s="267"/>
    </row>
    <row r="811" spans="1:6" ht="12.75">
      <c r="A811" s="267"/>
      <c r="B811" s="267"/>
      <c r="F811" s="267"/>
    </row>
    <row r="812" spans="1:6" ht="12.75">
      <c r="A812" s="267"/>
      <c r="B812" s="267"/>
      <c r="F812" s="267"/>
    </row>
    <row r="813" spans="1:6" ht="12.75">
      <c r="A813" s="267"/>
      <c r="B813" s="267"/>
      <c r="F813" s="267"/>
    </row>
    <row r="814" spans="1:6" ht="12.75">
      <c r="A814" s="267"/>
      <c r="B814" s="267"/>
      <c r="F814" s="267"/>
    </row>
    <row r="815" spans="1:6" ht="12.75">
      <c r="A815" s="267"/>
      <c r="B815" s="267"/>
      <c r="F815" s="267"/>
    </row>
    <row r="816" spans="1:6" ht="12.75">
      <c r="A816" s="267"/>
      <c r="B816" s="267"/>
      <c r="F816" s="267"/>
    </row>
    <row r="817" spans="1:6" ht="12.75">
      <c r="A817" s="267"/>
      <c r="B817" s="267"/>
      <c r="F817" s="267"/>
    </row>
    <row r="818" spans="1:6" ht="12.75">
      <c r="A818" s="267"/>
      <c r="B818" s="267"/>
      <c r="F818" s="267"/>
    </row>
    <row r="819" spans="1:6" ht="12.75">
      <c r="A819" s="267"/>
      <c r="B819" s="267"/>
      <c r="F819" s="267"/>
    </row>
    <row r="820" spans="1:6" ht="12.75">
      <c r="A820" s="267"/>
      <c r="B820" s="267"/>
      <c r="F820" s="267"/>
    </row>
    <row r="821" spans="1:6" ht="12.75">
      <c r="A821" s="267"/>
      <c r="B821" s="267"/>
      <c r="F821" s="267"/>
    </row>
    <row r="822" spans="1:6" ht="12.75">
      <c r="A822" s="267"/>
      <c r="B822" s="267"/>
      <c r="F822" s="267"/>
    </row>
    <row r="823" spans="1:6" ht="12.75">
      <c r="A823" s="267"/>
      <c r="B823" s="267"/>
      <c r="F823" s="267"/>
    </row>
    <row r="824" spans="1:6" ht="12.75">
      <c r="A824" s="267"/>
      <c r="B824" s="267"/>
      <c r="F824" s="267"/>
    </row>
    <row r="825" spans="1:6" ht="12.75">
      <c r="A825" s="267"/>
      <c r="B825" s="267"/>
      <c r="F825" s="267"/>
    </row>
    <row r="826" spans="1:6" ht="12.75">
      <c r="A826" s="267"/>
      <c r="B826" s="267"/>
      <c r="F826" s="267"/>
    </row>
    <row r="827" spans="1:6" ht="12.75">
      <c r="A827" s="267"/>
      <c r="B827" s="267"/>
      <c r="F827" s="267"/>
    </row>
    <row r="828" spans="1:6" ht="12.75">
      <c r="A828" s="267"/>
      <c r="B828" s="267"/>
      <c r="F828" s="267"/>
    </row>
    <row r="829" spans="1:6" ht="12.75">
      <c r="A829" s="267"/>
      <c r="B829" s="267"/>
      <c r="F829" s="267"/>
    </row>
    <row r="830" spans="1:6" ht="12.75">
      <c r="A830" s="267"/>
      <c r="B830" s="267"/>
      <c r="F830" s="267"/>
    </row>
    <row r="831" spans="1:6" ht="12.75">
      <c r="A831" s="267"/>
      <c r="B831" s="267"/>
      <c r="F831" s="267"/>
    </row>
    <row r="832" spans="1:6" ht="12.75">
      <c r="A832" s="267"/>
      <c r="B832" s="267"/>
      <c r="F832" s="267"/>
    </row>
    <row r="833" spans="1:6" ht="12.75">
      <c r="A833" s="267"/>
      <c r="B833" s="267"/>
      <c r="F833" s="267"/>
    </row>
    <row r="834" spans="1:6" ht="12.75">
      <c r="A834" s="267"/>
      <c r="B834" s="267"/>
      <c r="F834" s="267"/>
    </row>
    <row r="835" spans="1:6" ht="12.75">
      <c r="A835" s="267"/>
      <c r="B835" s="267"/>
      <c r="F835" s="267"/>
    </row>
    <row r="836" spans="1:6" ht="12.75">
      <c r="A836" s="267"/>
      <c r="B836" s="267"/>
      <c r="F836" s="267"/>
    </row>
    <row r="837" spans="1:6" ht="12.75">
      <c r="A837" s="267"/>
      <c r="B837" s="267"/>
      <c r="F837" s="267"/>
    </row>
    <row r="838" spans="1:6" ht="12.75">
      <c r="A838" s="267"/>
      <c r="B838" s="267"/>
      <c r="F838" s="267"/>
    </row>
    <row r="839" spans="1:6" ht="12.75">
      <c r="A839" s="267"/>
      <c r="B839" s="267"/>
      <c r="F839" s="267"/>
    </row>
    <row r="840" spans="1:6" ht="12.75">
      <c r="A840" s="267"/>
      <c r="B840" s="267"/>
      <c r="F840" s="267"/>
    </row>
    <row r="841" spans="1:6" ht="12.75">
      <c r="A841" s="267"/>
      <c r="B841" s="267"/>
      <c r="F841" s="267"/>
    </row>
    <row r="842" spans="1:6" ht="12.75">
      <c r="A842" s="267"/>
      <c r="B842" s="267"/>
      <c r="F842" s="267"/>
    </row>
    <row r="843" spans="1:6" ht="12.75">
      <c r="A843" s="267"/>
      <c r="B843" s="267"/>
      <c r="F843" s="267"/>
    </row>
    <row r="844" spans="1:6" ht="12.75">
      <c r="A844" s="267"/>
      <c r="B844" s="267"/>
      <c r="F844" s="267"/>
    </row>
    <row r="845" spans="1:6" ht="12.75">
      <c r="A845" s="267"/>
      <c r="B845" s="267"/>
      <c r="F845" s="267"/>
    </row>
    <row r="846" spans="1:6" ht="12.75">
      <c r="A846" s="267"/>
      <c r="B846" s="267"/>
      <c r="F846" s="267"/>
    </row>
    <row r="847" spans="1:6" ht="12.75">
      <c r="A847" s="267"/>
      <c r="B847" s="267"/>
      <c r="F847" s="267"/>
    </row>
    <row r="848" spans="1:6" ht="12.75">
      <c r="A848" s="267"/>
      <c r="B848" s="267"/>
      <c r="F848" s="267"/>
    </row>
    <row r="849" spans="1:6" ht="12.75">
      <c r="A849" s="267"/>
      <c r="B849" s="267"/>
      <c r="F849" s="267"/>
    </row>
    <row r="850" spans="1:6" ht="12.75">
      <c r="A850" s="267"/>
      <c r="B850" s="267"/>
      <c r="F850" s="267"/>
    </row>
    <row r="851" spans="1:6" ht="12.75">
      <c r="A851" s="267"/>
      <c r="B851" s="267"/>
      <c r="F851" s="267"/>
    </row>
    <row r="852" spans="1:6" ht="12.75">
      <c r="A852" s="267"/>
      <c r="B852" s="267"/>
      <c r="F852" s="267"/>
    </row>
    <row r="853" spans="1:6" ht="12.75">
      <c r="A853" s="267"/>
      <c r="B853" s="267"/>
      <c r="F853" s="267"/>
    </row>
    <row r="854" spans="1:6" ht="12.75">
      <c r="A854" s="267"/>
      <c r="B854" s="267"/>
      <c r="F854" s="267"/>
    </row>
    <row r="855" spans="1:6" ht="12.75">
      <c r="A855" s="267"/>
      <c r="B855" s="267"/>
      <c r="F855" s="267"/>
    </row>
    <row r="856" spans="1:6" ht="12.75">
      <c r="A856" s="267"/>
      <c r="B856" s="267"/>
      <c r="F856" s="267"/>
    </row>
    <row r="857" spans="1:6" ht="12.75">
      <c r="A857" s="267"/>
      <c r="B857" s="267"/>
      <c r="F857" s="267"/>
    </row>
    <row r="858" spans="1:6" ht="12.75">
      <c r="A858" s="267"/>
      <c r="B858" s="267"/>
      <c r="F858" s="267"/>
    </row>
    <row r="859" spans="1:6" ht="12.75">
      <c r="A859" s="267"/>
      <c r="B859" s="267"/>
      <c r="F859" s="267"/>
    </row>
    <row r="860" spans="1:6" ht="12.75">
      <c r="A860" s="267"/>
      <c r="B860" s="267"/>
      <c r="F860" s="267"/>
    </row>
    <row r="861" spans="1:6" ht="12.75">
      <c r="A861" s="267"/>
      <c r="B861" s="267"/>
      <c r="F861" s="267"/>
    </row>
    <row r="862" spans="1:6" ht="12.75">
      <c r="A862" s="267"/>
      <c r="B862" s="267"/>
      <c r="F862" s="267"/>
    </row>
    <row r="863" spans="1:6" ht="12.75">
      <c r="A863" s="267"/>
      <c r="B863" s="267"/>
      <c r="F863" s="267"/>
    </row>
    <row r="864" spans="1:6" ht="12.75">
      <c r="A864" s="267"/>
      <c r="B864" s="267"/>
      <c r="F864" s="267"/>
    </row>
    <row r="865" spans="1:6" ht="12.75">
      <c r="A865" s="267"/>
      <c r="B865" s="267"/>
      <c r="F865" s="267"/>
    </row>
    <row r="866" spans="1:6" ht="12.75">
      <c r="A866" s="267"/>
      <c r="B866" s="267"/>
      <c r="F866" s="267"/>
    </row>
    <row r="867" spans="1:6" ht="12.75">
      <c r="A867" s="267"/>
      <c r="B867" s="267"/>
      <c r="F867" s="267"/>
    </row>
    <row r="868" spans="1:6" ht="12.75">
      <c r="A868" s="267"/>
      <c r="B868" s="267"/>
      <c r="F868" s="267"/>
    </row>
    <row r="869" spans="1:6" ht="12.75">
      <c r="A869" s="267"/>
      <c r="B869" s="267"/>
      <c r="F869" s="267"/>
    </row>
    <row r="870" spans="1:6" ht="12.75">
      <c r="A870" s="267"/>
      <c r="B870" s="267"/>
      <c r="F870" s="267"/>
    </row>
    <row r="871" spans="1:6" ht="12.75">
      <c r="A871" s="267"/>
      <c r="B871" s="267"/>
      <c r="F871" s="267"/>
    </row>
    <row r="872" spans="1:6" ht="12.75">
      <c r="A872" s="267"/>
      <c r="B872" s="267"/>
      <c r="F872" s="267"/>
    </row>
    <row r="873" spans="1:6" ht="12.75">
      <c r="A873" s="267"/>
      <c r="B873" s="267"/>
      <c r="F873" s="267"/>
    </row>
    <row r="874" spans="1:6" ht="12.75">
      <c r="A874" s="267"/>
      <c r="B874" s="267"/>
      <c r="F874" s="267"/>
    </row>
    <row r="875" spans="1:6" ht="12.75">
      <c r="A875" s="267"/>
      <c r="B875" s="267"/>
      <c r="F875" s="267"/>
    </row>
    <row r="876" spans="1:6" ht="12.75">
      <c r="A876" s="267"/>
      <c r="B876" s="267"/>
      <c r="F876" s="267"/>
    </row>
    <row r="877" spans="1:6" ht="12.75">
      <c r="A877" s="267"/>
      <c r="B877" s="267"/>
      <c r="F877" s="267"/>
    </row>
    <row r="878" spans="1:6" ht="12.75">
      <c r="A878" s="267"/>
      <c r="B878" s="267"/>
      <c r="F878" s="267"/>
    </row>
    <row r="879" spans="1:6" ht="12.75">
      <c r="A879" s="267"/>
      <c r="B879" s="267"/>
      <c r="F879" s="267"/>
    </row>
    <row r="880" spans="1:6" ht="12.75">
      <c r="A880" s="267"/>
      <c r="B880" s="267"/>
      <c r="F880" s="267"/>
    </row>
    <row r="881" spans="1:6" ht="12.75">
      <c r="A881" s="267"/>
      <c r="B881" s="267"/>
      <c r="F881" s="267"/>
    </row>
    <row r="882" spans="1:6" ht="12.75">
      <c r="A882" s="267"/>
      <c r="B882" s="267"/>
      <c r="F882" s="267"/>
    </row>
    <row r="883" spans="1:6" ht="12.75">
      <c r="A883" s="267"/>
      <c r="B883" s="267"/>
      <c r="F883" s="267"/>
    </row>
    <row r="884" spans="1:6" ht="12.75">
      <c r="A884" s="267"/>
      <c r="B884" s="267"/>
      <c r="F884" s="267"/>
    </row>
    <row r="885" spans="1:6" ht="12.75">
      <c r="A885" s="267"/>
      <c r="B885" s="267"/>
      <c r="F885" s="267"/>
    </row>
    <row r="886" spans="1:6" ht="12.75">
      <c r="A886" s="267"/>
      <c r="B886" s="267"/>
      <c r="F886" s="267"/>
    </row>
    <row r="887" spans="1:6" ht="12.75">
      <c r="A887" s="267"/>
      <c r="B887" s="267"/>
      <c r="F887" s="267"/>
    </row>
    <row r="888" spans="1:6" ht="12.75">
      <c r="A888" s="267"/>
      <c r="B888" s="267"/>
      <c r="F888" s="267"/>
    </row>
    <row r="889" spans="1:6" ht="12.75">
      <c r="A889" s="267"/>
      <c r="B889" s="267"/>
      <c r="F889" s="267"/>
    </row>
    <row r="890" spans="1:6" ht="12.75">
      <c r="A890" s="267"/>
      <c r="B890" s="267"/>
      <c r="F890" s="267"/>
    </row>
    <row r="891" spans="1:6" ht="12.75">
      <c r="A891" s="267"/>
      <c r="B891" s="267"/>
      <c r="F891" s="267"/>
    </row>
    <row r="892" spans="1:6" ht="12.75">
      <c r="A892" s="267"/>
      <c r="B892" s="267"/>
      <c r="F892" s="267"/>
    </row>
    <row r="893" spans="1:6" ht="12.75">
      <c r="A893" s="267"/>
      <c r="B893" s="267"/>
      <c r="F893" s="267"/>
    </row>
    <row r="894" spans="1:6" ht="12.75">
      <c r="A894" s="267"/>
      <c r="B894" s="267"/>
      <c r="F894" s="267"/>
    </row>
    <row r="895" spans="1:6" ht="12.75">
      <c r="A895" s="267"/>
      <c r="B895" s="267"/>
      <c r="F895" s="267"/>
    </row>
    <row r="896" spans="1:6" ht="12.75">
      <c r="A896" s="267"/>
      <c r="B896" s="267"/>
      <c r="F896" s="267"/>
    </row>
    <row r="897" spans="1:6" ht="12.75">
      <c r="A897" s="267"/>
      <c r="B897" s="267"/>
      <c r="F897" s="267"/>
    </row>
    <row r="898" spans="1:6" ht="12.75">
      <c r="A898" s="267"/>
      <c r="B898" s="267"/>
      <c r="F898" s="267"/>
    </row>
    <row r="899" spans="1:6" ht="12.75">
      <c r="A899" s="267"/>
      <c r="B899" s="267"/>
      <c r="F899" s="267"/>
    </row>
    <row r="900" spans="1:6" ht="12.75">
      <c r="A900" s="267"/>
      <c r="B900" s="267"/>
      <c r="F900" s="267"/>
    </row>
    <row r="901" spans="1:6" ht="12.75">
      <c r="A901" s="267"/>
      <c r="B901" s="267"/>
      <c r="F901" s="267"/>
    </row>
    <row r="902" spans="1:6" ht="12.75">
      <c r="A902" s="267"/>
      <c r="B902" s="267"/>
      <c r="F902" s="267"/>
    </row>
    <row r="903" spans="1:6" ht="12.75">
      <c r="A903" s="267"/>
      <c r="B903" s="267"/>
      <c r="F903" s="267"/>
    </row>
    <row r="904" spans="1:6" ht="12.75">
      <c r="A904" s="267"/>
      <c r="B904" s="267"/>
      <c r="F904" s="267"/>
    </row>
    <row r="905" spans="1:6" ht="12.75">
      <c r="A905" s="267"/>
      <c r="B905" s="267"/>
      <c r="F905" s="267"/>
    </row>
    <row r="906" spans="1:6" ht="12.75">
      <c r="A906" s="267"/>
      <c r="B906" s="267"/>
      <c r="F906" s="267"/>
    </row>
    <row r="907" spans="1:6" ht="12.75">
      <c r="A907" s="267"/>
      <c r="B907" s="267"/>
      <c r="F907" s="267"/>
    </row>
    <row r="908" spans="1:6" ht="12.75">
      <c r="A908" s="267"/>
      <c r="B908" s="267"/>
      <c r="F908" s="267"/>
    </row>
    <row r="909" spans="1:6" ht="12.75">
      <c r="A909" s="267"/>
      <c r="B909" s="267"/>
      <c r="F909" s="267"/>
    </row>
    <row r="910" spans="1:6" ht="12.75">
      <c r="A910" s="267"/>
      <c r="B910" s="267"/>
      <c r="F910" s="267"/>
    </row>
    <row r="911" spans="1:6" ht="12.75">
      <c r="A911" s="267"/>
      <c r="B911" s="267"/>
      <c r="F911" s="267"/>
    </row>
    <row r="912" spans="1:6" ht="12.75">
      <c r="A912" s="267"/>
      <c r="B912" s="267"/>
      <c r="F912" s="267"/>
    </row>
    <row r="913" spans="1:6" ht="12.75">
      <c r="A913" s="267"/>
      <c r="B913" s="267"/>
      <c r="F913" s="267"/>
    </row>
    <row r="914" spans="1:6" ht="12.75">
      <c r="A914" s="267"/>
      <c r="B914" s="267"/>
      <c r="F914" s="267"/>
    </row>
    <row r="915" spans="1:6" ht="12.75">
      <c r="A915" s="267"/>
      <c r="B915" s="267"/>
      <c r="F915" s="267"/>
    </row>
    <row r="916" spans="1:6" ht="12.75">
      <c r="A916" s="267"/>
      <c r="B916" s="267"/>
      <c r="F916" s="267"/>
    </row>
    <row r="917" spans="1:6" ht="12.75">
      <c r="A917" s="267"/>
      <c r="B917" s="267"/>
      <c r="F917" s="267"/>
    </row>
    <row r="918" spans="1:6" ht="12.75">
      <c r="A918" s="267"/>
      <c r="B918" s="267"/>
      <c r="F918" s="267"/>
    </row>
    <row r="919" spans="1:6" ht="12.75">
      <c r="A919" s="267"/>
      <c r="B919" s="267"/>
      <c r="F919" s="267"/>
    </row>
    <row r="920" spans="1:6" ht="12.75">
      <c r="A920" s="267"/>
      <c r="B920" s="267"/>
      <c r="F920" s="267"/>
    </row>
    <row r="921" spans="1:6" ht="12.75">
      <c r="A921" s="267"/>
      <c r="B921" s="267"/>
      <c r="F921" s="267"/>
    </row>
    <row r="922" spans="1:6" ht="12.75">
      <c r="A922" s="267"/>
      <c r="B922" s="267"/>
      <c r="F922" s="267"/>
    </row>
    <row r="923" spans="1:6" ht="12.75">
      <c r="A923" s="267"/>
      <c r="B923" s="267"/>
      <c r="F923" s="267"/>
    </row>
    <row r="924" spans="1:6" ht="12.75">
      <c r="A924" s="267"/>
      <c r="B924" s="267"/>
      <c r="F924" s="267"/>
    </row>
    <row r="925" spans="1:6" ht="12.75">
      <c r="A925" s="267"/>
      <c r="B925" s="267"/>
      <c r="F925" s="267"/>
    </row>
    <row r="926" spans="1:6" ht="12.75">
      <c r="A926" s="267"/>
      <c r="B926" s="267"/>
      <c r="F926" s="267"/>
    </row>
    <row r="927" spans="1:6" ht="12.75">
      <c r="A927" s="267"/>
      <c r="B927" s="267"/>
      <c r="F927" s="267"/>
    </row>
    <row r="928" spans="1:6" ht="12.75">
      <c r="A928" s="267"/>
      <c r="B928" s="267"/>
      <c r="F928" s="267"/>
    </row>
    <row r="929" spans="1:6" ht="12.75">
      <c r="A929" s="267"/>
      <c r="B929" s="267"/>
      <c r="F929" s="267"/>
    </row>
    <row r="930" spans="1:6" ht="12.75">
      <c r="A930" s="267"/>
      <c r="B930" s="267"/>
      <c r="F930" s="267"/>
    </row>
    <row r="931" spans="1:6" ht="12.75">
      <c r="A931" s="267"/>
      <c r="B931" s="267"/>
      <c r="F931" s="267"/>
    </row>
    <row r="932" spans="1:6" ht="12.75">
      <c r="A932" s="267"/>
      <c r="B932" s="267"/>
      <c r="F932" s="267"/>
    </row>
    <row r="933" spans="1:6" ht="12.75">
      <c r="A933" s="267"/>
      <c r="B933" s="267"/>
      <c r="F933" s="267"/>
    </row>
    <row r="934" spans="1:6" ht="12.75">
      <c r="A934" s="267"/>
      <c r="B934" s="267"/>
      <c r="F934" s="267"/>
    </row>
    <row r="935" spans="1:6" ht="12.75">
      <c r="A935" s="267"/>
      <c r="B935" s="267"/>
      <c r="F935" s="267"/>
    </row>
    <row r="936" spans="1:6" ht="12.75">
      <c r="A936" s="267"/>
      <c r="B936" s="267"/>
      <c r="F936" s="267"/>
    </row>
    <row r="937" spans="1:6" ht="12.75">
      <c r="A937" s="267"/>
      <c r="B937" s="267"/>
      <c r="F937" s="267"/>
    </row>
    <row r="938" spans="1:6" ht="12.75">
      <c r="A938" s="267"/>
      <c r="B938" s="267"/>
      <c r="F938" s="267"/>
    </row>
    <row r="939" spans="1:6" ht="12.75">
      <c r="A939" s="267"/>
      <c r="B939" s="267"/>
      <c r="F939" s="267"/>
    </row>
    <row r="940" spans="1:6" ht="12.75">
      <c r="A940" s="267"/>
      <c r="B940" s="267"/>
      <c r="F940" s="267"/>
    </row>
    <row r="941" spans="1:6" ht="12.75">
      <c r="A941" s="267"/>
      <c r="B941" s="267"/>
      <c r="F941" s="267"/>
    </row>
    <row r="942" spans="1:6" ht="12.75">
      <c r="A942" s="267"/>
      <c r="B942" s="267"/>
      <c r="F942" s="267"/>
    </row>
    <row r="943" spans="1:6" ht="12.75">
      <c r="A943" s="267"/>
      <c r="B943" s="267"/>
      <c r="F943" s="267"/>
    </row>
    <row r="944" spans="1:6" ht="12.75">
      <c r="A944" s="267"/>
      <c r="B944" s="267"/>
      <c r="F944" s="267"/>
    </row>
    <row r="945" spans="1:6" ht="12.75">
      <c r="A945" s="267"/>
      <c r="B945" s="267"/>
      <c r="F945" s="267"/>
    </row>
    <row r="946" spans="1:6" ht="12.75">
      <c r="A946" s="267"/>
      <c r="B946" s="267"/>
      <c r="F946" s="267"/>
    </row>
    <row r="947" spans="1:6" ht="12.75">
      <c r="A947" s="267"/>
      <c r="B947" s="267"/>
      <c r="F947" s="267"/>
    </row>
    <row r="948" spans="1:6" ht="12.75">
      <c r="A948" s="267"/>
      <c r="B948" s="267"/>
      <c r="F948" s="267"/>
    </row>
    <row r="949" spans="1:6" ht="12.75">
      <c r="A949" s="267"/>
      <c r="B949" s="267"/>
      <c r="F949" s="267"/>
    </row>
    <row r="950" spans="1:6" ht="12.75">
      <c r="A950" s="267"/>
      <c r="B950" s="267"/>
      <c r="F950" s="267"/>
    </row>
    <row r="951" spans="1:6" ht="12.75">
      <c r="A951" s="267"/>
      <c r="B951" s="267"/>
      <c r="F951" s="267"/>
    </row>
    <row r="952" spans="1:6" ht="12.75">
      <c r="A952" s="267"/>
      <c r="B952" s="267"/>
      <c r="F952" s="267"/>
    </row>
    <row r="953" spans="1:6" ht="12.75">
      <c r="A953" s="267"/>
      <c r="B953" s="267"/>
      <c r="F953" s="267"/>
    </row>
    <row r="954" spans="1:6" ht="12.75">
      <c r="A954" s="267"/>
      <c r="B954" s="267"/>
      <c r="F954" s="267"/>
    </row>
    <row r="955" spans="1:6" ht="12.75">
      <c r="A955" s="267"/>
      <c r="B955" s="267"/>
      <c r="F955" s="267"/>
    </row>
    <row r="956" spans="1:6" ht="12.75">
      <c r="A956" s="267"/>
      <c r="B956" s="267"/>
      <c r="F956" s="267"/>
    </row>
    <row r="957" spans="1:6" ht="12.75">
      <c r="A957" s="267"/>
      <c r="B957" s="267"/>
      <c r="F957" s="267"/>
    </row>
    <row r="958" spans="1:6" ht="12.75">
      <c r="A958" s="267"/>
      <c r="B958" s="267"/>
      <c r="F958" s="267"/>
    </row>
    <row r="959" spans="1:6" ht="12.75">
      <c r="A959" s="267"/>
      <c r="B959" s="267"/>
      <c r="F959" s="267"/>
    </row>
    <row r="960" spans="1:6" ht="12.75">
      <c r="A960" s="267"/>
      <c r="B960" s="267"/>
      <c r="F960" s="267"/>
    </row>
    <row r="961" spans="1:6" ht="12.75">
      <c r="A961" s="267"/>
      <c r="B961" s="267"/>
      <c r="F961" s="267"/>
    </row>
    <row r="962" spans="1:6" ht="12.75">
      <c r="A962" s="267"/>
      <c r="B962" s="267"/>
      <c r="F962" s="267"/>
    </row>
    <row r="963" spans="1:6" ht="12.75">
      <c r="A963" s="267"/>
      <c r="B963" s="267"/>
      <c r="F963" s="267"/>
    </row>
    <row r="964" spans="1:6" ht="12.75">
      <c r="A964" s="267"/>
      <c r="B964" s="267"/>
      <c r="F964" s="267"/>
    </row>
    <row r="965" spans="1:6" ht="12.75">
      <c r="A965" s="267"/>
      <c r="B965" s="267"/>
      <c r="F965" s="267"/>
    </row>
    <row r="966" spans="1:6" ht="12.75">
      <c r="A966" s="267"/>
      <c r="B966" s="267"/>
      <c r="F966" s="267"/>
    </row>
    <row r="967" spans="1:6" ht="12.75">
      <c r="A967" s="267"/>
      <c r="B967" s="267"/>
      <c r="F967" s="267"/>
    </row>
    <row r="968" spans="1:6" ht="12.75">
      <c r="A968" s="267"/>
      <c r="B968" s="267"/>
      <c r="F968" s="267"/>
    </row>
    <row r="969" spans="1:6" ht="12.75">
      <c r="A969" s="267"/>
      <c r="B969" s="267"/>
      <c r="F969" s="267"/>
    </row>
    <row r="970" spans="1:6" ht="12.75">
      <c r="A970" s="267"/>
      <c r="B970" s="267"/>
      <c r="F970" s="267"/>
    </row>
    <row r="971" spans="1:6" ht="12.75">
      <c r="A971" s="267"/>
      <c r="B971" s="267"/>
      <c r="F971" s="267"/>
    </row>
    <row r="972" spans="1:6" ht="12.75">
      <c r="A972" s="267"/>
      <c r="B972" s="267"/>
      <c r="F972" s="267"/>
    </row>
    <row r="973" spans="1:6" ht="12.75">
      <c r="A973" s="267"/>
      <c r="B973" s="267"/>
      <c r="F973" s="267"/>
    </row>
    <row r="974" spans="1:6" ht="12.75">
      <c r="A974" s="267"/>
      <c r="B974" s="267"/>
      <c r="F974" s="267"/>
    </row>
    <row r="975" spans="1:6" ht="12.75">
      <c r="A975" s="267"/>
      <c r="B975" s="267"/>
      <c r="F975" s="267"/>
    </row>
    <row r="976" spans="1:6" ht="12.75">
      <c r="A976" s="267"/>
      <c r="B976" s="267"/>
      <c r="F976" s="267"/>
    </row>
    <row r="977" spans="1:6" ht="12.75">
      <c r="A977" s="267"/>
      <c r="B977" s="267"/>
      <c r="F977" s="267"/>
    </row>
    <row r="978" spans="1:6" ht="12.75">
      <c r="A978" s="267"/>
      <c r="B978" s="267"/>
      <c r="F978" s="267"/>
    </row>
    <row r="979" spans="1:6" ht="12.75">
      <c r="A979" s="267"/>
      <c r="B979" s="267"/>
      <c r="F979" s="267"/>
    </row>
    <row r="980" spans="1:6" ht="12.75">
      <c r="A980" s="267"/>
      <c r="B980" s="267"/>
      <c r="F980" s="267"/>
    </row>
    <row r="981" spans="1:6" ht="12.75">
      <c r="A981" s="267"/>
      <c r="B981" s="267"/>
      <c r="F981" s="267"/>
    </row>
    <row r="982" spans="1:6" ht="12.75">
      <c r="A982" s="267"/>
      <c r="B982" s="267"/>
      <c r="F982" s="267"/>
    </row>
    <row r="983" spans="1:6" ht="12.75">
      <c r="A983" s="267"/>
      <c r="B983" s="267"/>
      <c r="F983" s="267"/>
    </row>
    <row r="984" spans="1:6" ht="12.75">
      <c r="A984" s="267"/>
      <c r="B984" s="267"/>
      <c r="F984" s="267"/>
    </row>
    <row r="985" spans="1:6" ht="12.75">
      <c r="A985" s="267"/>
      <c r="B985" s="267"/>
      <c r="F985" s="267"/>
    </row>
    <row r="986" spans="1:6" ht="12.75">
      <c r="A986" s="267"/>
      <c r="B986" s="267"/>
      <c r="F986" s="267"/>
    </row>
    <row r="987" spans="1:6" ht="12.75">
      <c r="A987" s="267"/>
      <c r="B987" s="267"/>
      <c r="F987" s="267"/>
    </row>
    <row r="988" spans="1:6" ht="12.75">
      <c r="A988" s="267"/>
      <c r="B988" s="267"/>
      <c r="F988" s="267"/>
    </row>
    <row r="989" spans="1:6" ht="12.75">
      <c r="A989" s="267"/>
      <c r="B989" s="267"/>
      <c r="F989" s="267"/>
    </row>
    <row r="990" spans="1:6" ht="12.75">
      <c r="A990" s="267"/>
      <c r="B990" s="267"/>
      <c r="F990" s="267"/>
    </row>
    <row r="991" spans="1:6" ht="12.75">
      <c r="A991" s="267"/>
      <c r="B991" s="267"/>
      <c r="F991" s="267"/>
    </row>
    <row r="992" spans="1:6" ht="12.75">
      <c r="A992" s="267"/>
      <c r="B992" s="267"/>
      <c r="F992" s="267"/>
    </row>
    <row r="993" spans="1:6" ht="12.75">
      <c r="A993" s="267"/>
      <c r="B993" s="267"/>
      <c r="F993" s="267"/>
    </row>
    <row r="994" spans="1:6" ht="12.75">
      <c r="A994" s="267"/>
      <c r="B994" s="267"/>
      <c r="F994" s="267"/>
    </row>
    <row r="995" spans="1:6" ht="12.75">
      <c r="A995" s="267"/>
      <c r="B995" s="267"/>
      <c r="F995" s="267"/>
    </row>
    <row r="996" spans="1:6" ht="12.75">
      <c r="A996" s="267"/>
      <c r="B996" s="267"/>
      <c r="F996" s="267"/>
    </row>
    <row r="997" spans="1:6" ht="12.75">
      <c r="A997" s="267"/>
      <c r="B997" s="267"/>
      <c r="F997" s="267"/>
    </row>
    <row r="998" spans="1:6" ht="12.75">
      <c r="A998" s="267"/>
      <c r="B998" s="267"/>
      <c r="F998" s="267"/>
    </row>
    <row r="999" spans="1:6" ht="12.75">
      <c r="A999" s="267"/>
      <c r="B999" s="267"/>
      <c r="F999" s="267"/>
    </row>
    <row r="1000" spans="1:6" ht="12.75">
      <c r="A1000" s="267"/>
      <c r="B1000" s="267"/>
      <c r="F1000" s="267"/>
    </row>
    <row r="1001" spans="1:6" ht="12.75">
      <c r="A1001" s="267"/>
      <c r="B1001" s="267"/>
      <c r="F1001" s="267"/>
    </row>
  </sheetData>
  <mergeCells count="10">
    <mergeCell ref="B42:F42"/>
    <mergeCell ref="B43:F43"/>
    <mergeCell ref="B58:F58"/>
    <mergeCell ref="B1:F1"/>
    <mergeCell ref="B3:F3"/>
    <mergeCell ref="B8:F8"/>
    <mergeCell ref="B16:F16"/>
    <mergeCell ref="B21:F21"/>
    <mergeCell ref="B34:F34"/>
    <mergeCell ref="B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outlinePr summaryBelow="0" summaryRight="0"/>
    <pageSetUpPr fitToPage="1"/>
  </sheetPr>
  <dimension ref="A1:AP1015"/>
  <sheetViews>
    <sheetView workbookViewId="0"/>
  </sheetViews>
  <sheetFormatPr defaultColWidth="14.42578125" defaultRowHeight="15" customHeight="1"/>
  <cols>
    <col min="1" max="1" width="8.85546875" customWidth="1"/>
    <col min="2" max="2" width="7.5703125" customWidth="1"/>
    <col min="3" max="3" width="10.140625" customWidth="1"/>
    <col min="4" max="10" width="7.5703125" customWidth="1"/>
    <col min="11" max="11" width="9.140625" customWidth="1"/>
    <col min="12" max="12" width="13.140625" customWidth="1"/>
    <col min="13" max="13" width="10.85546875" customWidth="1"/>
    <col min="14" max="15" width="7.5703125" customWidth="1"/>
    <col min="16" max="16" width="10.140625" customWidth="1"/>
    <col min="17" max="19" width="7.5703125" customWidth="1"/>
    <col min="20" max="20" width="19.140625" customWidth="1"/>
    <col min="21" max="21" width="11" customWidth="1"/>
    <col min="22" max="22" width="9.140625" customWidth="1"/>
    <col min="23" max="23" width="7.5703125" customWidth="1"/>
    <col min="24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54" t="s">
        <v>436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85"/>
      <c r="Y1" s="8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55" t="s">
        <v>437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7"/>
      <c r="J3" s="356" t="s">
        <v>438</v>
      </c>
      <c r="K3" s="337"/>
      <c r="L3" s="337"/>
      <c r="M3" s="337"/>
      <c r="N3" s="337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57" t="s">
        <v>2</v>
      </c>
      <c r="C4" s="358"/>
      <c r="D4" s="361" t="s">
        <v>3</v>
      </c>
      <c r="E4" s="362"/>
      <c r="F4" s="357" t="s">
        <v>4</v>
      </c>
      <c r="G4" s="341"/>
      <c r="H4" s="357" t="s">
        <v>5</v>
      </c>
      <c r="I4" s="358"/>
      <c r="J4" s="357" t="s">
        <v>6</v>
      </c>
      <c r="K4" s="358"/>
      <c r="L4" s="361" t="s">
        <v>7</v>
      </c>
      <c r="M4" s="362"/>
      <c r="N4" s="361" t="s">
        <v>8</v>
      </c>
      <c r="O4" s="362"/>
      <c r="P4" s="361" t="s">
        <v>9</v>
      </c>
      <c r="Q4" s="335"/>
      <c r="R4" s="361" t="s">
        <v>10</v>
      </c>
      <c r="S4" s="335"/>
      <c r="T4" s="361" t="s">
        <v>11</v>
      </c>
      <c r="U4" s="362"/>
      <c r="V4" s="357" t="s">
        <v>12</v>
      </c>
      <c r="W4" s="358"/>
      <c r="X4" s="412"/>
      <c r="Y4" s="352"/>
      <c r="Z4" s="353"/>
      <c r="AA4" s="352"/>
      <c r="AB4" s="353"/>
      <c r="AC4" s="352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80" t="s">
        <v>13</v>
      </c>
      <c r="B5" s="35"/>
      <c r="C5" s="21"/>
      <c r="H5" s="462" t="s">
        <v>439</v>
      </c>
      <c r="I5" s="334"/>
      <c r="J5" s="335"/>
      <c r="K5" s="13"/>
      <c r="L5" s="463" t="s">
        <v>440</v>
      </c>
      <c r="M5" s="334"/>
      <c r="N5" s="335"/>
      <c r="O5" s="473" t="s">
        <v>441</v>
      </c>
      <c r="P5" s="334"/>
      <c r="Q5" s="335"/>
      <c r="R5" s="473" t="s">
        <v>442</v>
      </c>
      <c r="S5" s="334"/>
      <c r="T5" s="335"/>
      <c r="U5" s="12"/>
      <c r="V5" s="14"/>
      <c r="W5" s="15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343"/>
      <c r="B6" s="37"/>
      <c r="C6" s="29"/>
      <c r="D6" s="24"/>
      <c r="H6" s="336"/>
      <c r="I6" s="337"/>
      <c r="J6" s="338"/>
      <c r="K6" s="17"/>
      <c r="L6" s="336"/>
      <c r="M6" s="337"/>
      <c r="N6" s="338"/>
      <c r="O6" s="336"/>
      <c r="P6" s="337"/>
      <c r="Q6" s="338"/>
      <c r="R6" s="336"/>
      <c r="S6" s="337"/>
      <c r="T6" s="338"/>
      <c r="U6" s="16"/>
      <c r="V6" s="18"/>
      <c r="W6" s="19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43"/>
      <c r="B7" s="272"/>
      <c r="C7" s="159"/>
      <c r="D7" s="159"/>
      <c r="J7" s="159"/>
      <c r="K7" s="50"/>
      <c r="L7" s="273"/>
      <c r="R7" s="20"/>
      <c r="S7" s="20"/>
      <c r="T7" s="20"/>
      <c r="U7" s="20"/>
      <c r="V7" s="81"/>
      <c r="W7" s="8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332"/>
      <c r="B8" s="37"/>
      <c r="C8" s="29"/>
      <c r="D8" s="29"/>
      <c r="J8" s="159"/>
      <c r="K8" s="17"/>
      <c r="L8" s="273"/>
      <c r="R8" s="16"/>
      <c r="S8" s="16"/>
      <c r="T8" s="16"/>
      <c r="U8" s="16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72" t="s">
        <v>14</v>
      </c>
      <c r="E9" s="471" t="s">
        <v>443</v>
      </c>
      <c r="F9" s="334"/>
      <c r="G9" s="335"/>
      <c r="H9" s="472" t="s">
        <v>444</v>
      </c>
      <c r="I9" s="352"/>
      <c r="J9" s="377"/>
      <c r="K9" s="15"/>
      <c r="L9" s="467" t="s">
        <v>445</v>
      </c>
      <c r="M9" s="335"/>
      <c r="N9" s="468" t="s">
        <v>446</v>
      </c>
      <c r="O9" s="334"/>
      <c r="P9" s="334"/>
      <c r="Q9" s="334"/>
      <c r="R9" s="334"/>
      <c r="S9" s="334"/>
      <c r="T9" s="334"/>
      <c r="U9" s="335"/>
      <c r="V9" s="50"/>
      <c r="W9" s="2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332"/>
      <c r="E10" s="336"/>
      <c r="F10" s="337"/>
      <c r="G10" s="338"/>
      <c r="H10" s="336"/>
      <c r="I10" s="337"/>
      <c r="J10" s="338"/>
      <c r="K10" s="19"/>
      <c r="L10" s="336"/>
      <c r="M10" s="338"/>
      <c r="N10" s="336"/>
      <c r="O10" s="337"/>
      <c r="P10" s="337"/>
      <c r="Q10" s="337"/>
      <c r="R10" s="337"/>
      <c r="S10" s="337"/>
      <c r="T10" s="337"/>
      <c r="U10" s="338"/>
      <c r="V10" s="17"/>
      <c r="W10" s="2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42" t="s">
        <v>16</v>
      </c>
      <c r="B11" s="30"/>
      <c r="C11" s="14"/>
      <c r="D11" s="14"/>
      <c r="E11" s="14"/>
      <c r="F11" s="14"/>
      <c r="G11" s="14"/>
      <c r="H11" s="81"/>
      <c r="I11" s="81"/>
      <c r="J11" s="81"/>
      <c r="K11" s="14"/>
      <c r="L11" s="273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32"/>
      <c r="B12" s="31"/>
      <c r="C12" s="18"/>
      <c r="D12" s="18"/>
      <c r="E12" s="18"/>
      <c r="F12" s="18"/>
      <c r="G12" s="18"/>
      <c r="H12" s="18"/>
      <c r="I12" s="18"/>
      <c r="J12" s="18"/>
      <c r="K12" s="18"/>
      <c r="L12" s="273"/>
      <c r="V12" s="81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344" t="s">
        <v>17</v>
      </c>
      <c r="B13" s="274"/>
      <c r="C13" s="12"/>
      <c r="H13" s="462" t="s">
        <v>447</v>
      </c>
      <c r="I13" s="334"/>
      <c r="J13" s="335"/>
      <c r="K13" s="14"/>
      <c r="L13" s="463" t="s">
        <v>448</v>
      </c>
      <c r="M13" s="334"/>
      <c r="N13" s="335"/>
      <c r="O13" s="90"/>
      <c r="P13" s="90"/>
      <c r="Q13" s="90"/>
      <c r="R13" s="21"/>
      <c r="S13" s="21"/>
      <c r="T13" s="21"/>
      <c r="U13" s="21"/>
      <c r="V13" s="32"/>
      <c r="W13" s="3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343"/>
      <c r="B14" s="275"/>
      <c r="C14" s="20"/>
      <c r="H14" s="336"/>
      <c r="I14" s="337"/>
      <c r="J14" s="338"/>
      <c r="K14" s="18"/>
      <c r="L14" s="336"/>
      <c r="M14" s="337"/>
      <c r="N14" s="338"/>
      <c r="O14" s="24"/>
      <c r="P14" s="24"/>
      <c r="Q14" s="24"/>
      <c r="R14" s="29"/>
      <c r="S14" s="29"/>
      <c r="T14" s="29"/>
      <c r="U14" s="29"/>
      <c r="V14" s="23"/>
      <c r="W14" s="3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343"/>
      <c r="B15" s="275"/>
      <c r="C15" s="20"/>
      <c r="D15" s="159"/>
      <c r="H15" s="81"/>
      <c r="I15" s="81"/>
      <c r="J15" s="81"/>
      <c r="K15" s="81"/>
      <c r="L15" s="273"/>
      <c r="R15" s="159"/>
      <c r="S15" s="159"/>
      <c r="T15" s="159"/>
      <c r="U15" s="159"/>
      <c r="V15" s="26"/>
      <c r="W15" s="161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332"/>
      <c r="B16" s="276"/>
      <c r="C16" s="16"/>
      <c r="D16" s="29"/>
      <c r="H16" s="18"/>
      <c r="I16" s="18"/>
      <c r="J16" s="18"/>
      <c r="K16" s="18"/>
      <c r="L16" s="273"/>
      <c r="R16" s="29"/>
      <c r="S16" s="29"/>
      <c r="T16" s="29"/>
      <c r="U16" s="29"/>
      <c r="V16" s="23"/>
      <c r="W16" s="3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464" t="s">
        <v>18</v>
      </c>
      <c r="B17" s="277"/>
      <c r="E17" s="348" t="s">
        <v>449</v>
      </c>
      <c r="F17" s="334"/>
      <c r="G17" s="335"/>
      <c r="H17" s="466" t="s">
        <v>450</v>
      </c>
      <c r="I17" s="334"/>
      <c r="J17" s="335"/>
      <c r="K17" s="11"/>
      <c r="L17" s="467" t="s">
        <v>451</v>
      </c>
      <c r="M17" s="335"/>
      <c r="N17" s="468" t="s">
        <v>452</v>
      </c>
      <c r="O17" s="334"/>
      <c r="P17" s="334"/>
      <c r="Q17" s="334"/>
      <c r="R17" s="334"/>
      <c r="S17" s="334"/>
      <c r="T17" s="334"/>
      <c r="U17" s="335"/>
      <c r="V17" s="32"/>
      <c r="W17" s="33"/>
      <c r="X17" s="98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465"/>
      <c r="B18" s="92"/>
      <c r="C18" s="24"/>
      <c r="E18" s="336"/>
      <c r="F18" s="337"/>
      <c r="G18" s="338"/>
      <c r="H18" s="336"/>
      <c r="I18" s="337"/>
      <c r="J18" s="338"/>
      <c r="K18" s="16"/>
      <c r="L18" s="336"/>
      <c r="M18" s="338"/>
      <c r="N18" s="336"/>
      <c r="O18" s="337"/>
      <c r="P18" s="337"/>
      <c r="Q18" s="337"/>
      <c r="R18" s="337"/>
      <c r="S18" s="337"/>
      <c r="T18" s="337"/>
      <c r="U18" s="338"/>
      <c r="V18" s="23"/>
      <c r="W18" s="34"/>
      <c r="X18" s="98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465"/>
      <c r="B19" s="37"/>
      <c r="C19" s="29"/>
      <c r="D19" s="84"/>
      <c r="E19" s="24"/>
      <c r="F19" s="24"/>
      <c r="G19" s="24"/>
      <c r="H19" s="24"/>
      <c r="I19" s="24"/>
      <c r="J19" s="24"/>
      <c r="K19" s="16"/>
      <c r="L19" s="278"/>
      <c r="M19" s="29"/>
      <c r="N19" s="29"/>
      <c r="O19" s="28"/>
      <c r="P19" s="28"/>
      <c r="Q19" s="29"/>
      <c r="R19" s="29"/>
      <c r="S19" s="29"/>
      <c r="T19" s="17"/>
      <c r="U19" s="23"/>
      <c r="V19" s="23"/>
      <c r="W19" s="34"/>
      <c r="X19" s="98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336"/>
      <c r="B20" s="37"/>
      <c r="C20" s="29"/>
      <c r="D20" s="84"/>
      <c r="H20" s="24"/>
      <c r="I20" s="24"/>
      <c r="J20" s="24"/>
      <c r="K20" s="16"/>
      <c r="L20" s="278"/>
      <c r="M20" s="29"/>
      <c r="N20" s="29"/>
      <c r="O20" s="28"/>
      <c r="P20" s="28"/>
      <c r="Q20" s="29"/>
      <c r="R20" s="29"/>
      <c r="S20" s="29"/>
      <c r="T20" s="17"/>
      <c r="U20" s="23"/>
      <c r="V20" s="23"/>
      <c r="W20" s="34"/>
      <c r="X20" s="98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38" t="s">
        <v>19</v>
      </c>
      <c r="B21" s="39"/>
      <c r="C21" s="40"/>
      <c r="D21" s="40"/>
      <c r="E21" s="40"/>
      <c r="F21" s="40"/>
      <c r="G21" s="40"/>
      <c r="H21" s="40"/>
      <c r="I21" s="40"/>
      <c r="J21" s="40"/>
      <c r="K21" s="7"/>
      <c r="L21" s="279"/>
      <c r="M21" s="7"/>
      <c r="N21" s="7"/>
      <c r="O21" s="7"/>
      <c r="P21" s="7"/>
      <c r="Q21" s="7"/>
      <c r="R21" s="7"/>
      <c r="S21" s="7"/>
      <c r="T21" s="7"/>
      <c r="U21" s="7"/>
      <c r="V21" s="40"/>
      <c r="W21" s="4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38" t="s">
        <v>20</v>
      </c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28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281"/>
      <c r="M23" s="42"/>
      <c r="P23" s="87" t="s">
        <v>453</v>
      </c>
      <c r="Q23" s="469" t="s">
        <v>22</v>
      </c>
      <c r="R23" s="352"/>
      <c r="S23" s="87" t="s">
        <v>454</v>
      </c>
      <c r="T23" s="42" t="s">
        <v>455</v>
      </c>
      <c r="U23" s="1"/>
      <c r="V23" s="282" t="s">
        <v>23</v>
      </c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" customHeight="1">
      <c r="A24" s="283"/>
      <c r="B24" s="470" t="s">
        <v>31</v>
      </c>
      <c r="C24" s="352"/>
      <c r="D24" s="352"/>
      <c r="E24" s="352"/>
      <c r="F24" s="352"/>
      <c r="G24" s="352"/>
      <c r="H24" s="352"/>
      <c r="I24" s="352"/>
      <c r="J24" s="352"/>
      <c r="K24" s="284" t="s">
        <v>32</v>
      </c>
      <c r="L24" s="285" t="s">
        <v>456</v>
      </c>
      <c r="M24" s="286" t="s">
        <v>34</v>
      </c>
      <c r="N24" s="470" t="s">
        <v>457</v>
      </c>
      <c r="O24" s="352"/>
      <c r="Q24" s="55" t="s">
        <v>458</v>
      </c>
      <c r="R24" s="55" t="s">
        <v>459</v>
      </c>
      <c r="S24" s="283"/>
      <c r="T24" s="283"/>
      <c r="U24" s="283"/>
      <c r="V24" s="282"/>
      <c r="W24" s="282"/>
      <c r="X24" s="470" t="s">
        <v>35</v>
      </c>
      <c r="Y24" s="352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</row>
    <row r="25" spans="1:42" ht="19.5" customHeight="1">
      <c r="A25" s="44"/>
      <c r="B25" s="288">
        <v>1</v>
      </c>
      <c r="C25" s="289">
        <v>958322</v>
      </c>
      <c r="D25" s="479" t="s">
        <v>332</v>
      </c>
      <c r="E25" s="352"/>
      <c r="F25" s="352"/>
      <c r="G25" s="352"/>
      <c r="H25" s="352"/>
      <c r="I25" s="352"/>
      <c r="J25" s="352"/>
      <c r="K25" s="290">
        <v>3</v>
      </c>
      <c r="L25" s="291" t="s">
        <v>460</v>
      </c>
      <c r="M25" s="68" t="s">
        <v>461</v>
      </c>
      <c r="R25" s="55"/>
      <c r="S25" s="55"/>
      <c r="T25" s="55"/>
      <c r="U25" s="55"/>
      <c r="V25" s="47"/>
      <c r="W25" s="47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0"/>
      <c r="B26" s="292">
        <v>2</v>
      </c>
      <c r="C26" s="293">
        <v>958421</v>
      </c>
      <c r="D26" s="480" t="s">
        <v>336</v>
      </c>
      <c r="E26" s="352"/>
      <c r="F26" s="352"/>
      <c r="G26" s="352"/>
      <c r="H26" s="352"/>
      <c r="I26" s="352"/>
      <c r="J26" s="352"/>
      <c r="K26" s="294">
        <v>3</v>
      </c>
      <c r="L26" s="295" t="s">
        <v>78</v>
      </c>
      <c r="M26" s="296">
        <v>112</v>
      </c>
      <c r="N26" s="55"/>
      <c r="O26" s="55"/>
      <c r="P26" s="55"/>
      <c r="Q26" s="55"/>
      <c r="R26" s="55"/>
      <c r="S26" s="55"/>
      <c r="T26" s="47"/>
      <c r="U26" s="47"/>
      <c r="V26" s="47"/>
      <c r="W26" s="47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50"/>
      <c r="B27" s="297">
        <v>3</v>
      </c>
      <c r="C27" s="298">
        <v>958453</v>
      </c>
      <c r="D27" s="481" t="s">
        <v>462</v>
      </c>
      <c r="E27" s="352"/>
      <c r="F27" s="352"/>
      <c r="G27" s="352"/>
      <c r="H27" s="352"/>
      <c r="I27" s="352"/>
      <c r="J27" s="352"/>
      <c r="K27" s="299">
        <v>3</v>
      </c>
      <c r="L27" s="291" t="s">
        <v>104</v>
      </c>
      <c r="M27" s="296">
        <v>114</v>
      </c>
      <c r="N27" s="300" t="s">
        <v>463</v>
      </c>
      <c r="O27" s="300"/>
      <c r="P27" s="300" t="s">
        <v>464</v>
      </c>
      <c r="Q27" s="300"/>
      <c r="R27" s="300"/>
      <c r="S27" s="300"/>
      <c r="T27" s="301" t="s">
        <v>465</v>
      </c>
      <c r="U27" s="300"/>
      <c r="V27" s="300"/>
      <c r="W27" s="300"/>
      <c r="X27" s="300"/>
      <c r="Y27" s="30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0" t="s">
        <v>113</v>
      </c>
      <c r="B28" s="50"/>
      <c r="C28" s="302" t="s">
        <v>112</v>
      </c>
      <c r="D28" s="449"/>
      <c r="E28" s="352"/>
      <c r="F28" s="352"/>
      <c r="G28" s="352"/>
      <c r="H28" s="352"/>
      <c r="I28" s="352"/>
      <c r="J28" s="352"/>
      <c r="K28" s="20">
        <v>6</v>
      </c>
      <c r="L28" s="303"/>
      <c r="M28" s="55"/>
      <c r="N28" s="55"/>
      <c r="O28" s="55"/>
      <c r="P28" s="55"/>
      <c r="Q28" s="55"/>
      <c r="R28" s="55"/>
      <c r="S28" s="55"/>
      <c r="T28" s="47"/>
      <c r="U28" s="47"/>
      <c r="V28" s="47"/>
      <c r="W28" s="47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0"/>
      <c r="C29" s="45">
        <v>951301</v>
      </c>
      <c r="D29" s="474" t="s">
        <v>370</v>
      </c>
      <c r="E29" s="352"/>
      <c r="F29" s="352"/>
      <c r="G29" s="352"/>
      <c r="H29" s="352"/>
      <c r="I29" s="352"/>
      <c r="J29" s="352"/>
      <c r="L29" s="273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44"/>
      <c r="B30" s="44"/>
      <c r="C30" s="45">
        <v>951412</v>
      </c>
      <c r="D30" s="474" t="s">
        <v>374</v>
      </c>
      <c r="E30" s="352"/>
      <c r="F30" s="352"/>
      <c r="G30" s="352"/>
      <c r="H30" s="352"/>
      <c r="I30" s="352"/>
      <c r="J30" s="352"/>
      <c r="K30" s="44"/>
      <c r="L30" s="250"/>
      <c r="M30" s="47"/>
      <c r="N30" s="47"/>
      <c r="O30" s="47"/>
      <c r="P30" s="47"/>
      <c r="Q30" s="55"/>
      <c r="R30" s="55"/>
      <c r="S30" s="55"/>
      <c r="T30" s="47"/>
      <c r="U30" s="47"/>
      <c r="V30" s="47"/>
      <c r="W30" s="47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44"/>
      <c r="B31" s="304">
        <v>4</v>
      </c>
      <c r="C31" s="305">
        <v>958372</v>
      </c>
      <c r="D31" s="475" t="s">
        <v>466</v>
      </c>
      <c r="E31" s="352"/>
      <c r="F31" s="352"/>
      <c r="G31" s="352"/>
      <c r="H31" s="352"/>
      <c r="I31" s="352"/>
      <c r="J31" s="352"/>
      <c r="K31" s="44"/>
      <c r="L31" s="295" t="s">
        <v>467</v>
      </c>
      <c r="M31" s="295">
        <v>114</v>
      </c>
      <c r="N31" s="47" t="s">
        <v>468</v>
      </c>
      <c r="O31" s="47"/>
      <c r="P31" s="47"/>
      <c r="Q31" s="55"/>
      <c r="R31" s="55"/>
      <c r="S31" s="55"/>
      <c r="T31" s="47" t="s">
        <v>469</v>
      </c>
      <c r="U31" s="47" t="s">
        <v>470</v>
      </c>
      <c r="V31" s="47"/>
      <c r="W31" s="47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44"/>
      <c r="B32" s="306">
        <v>5</v>
      </c>
      <c r="C32" s="307">
        <v>958482</v>
      </c>
      <c r="D32" s="476" t="s">
        <v>471</v>
      </c>
      <c r="E32" s="352"/>
      <c r="F32" s="352"/>
      <c r="G32" s="352"/>
      <c r="H32" s="352"/>
      <c r="I32" s="352"/>
      <c r="J32" s="352"/>
      <c r="K32" s="44"/>
      <c r="L32" s="291" t="s">
        <v>460</v>
      </c>
      <c r="M32" s="295" t="s">
        <v>461</v>
      </c>
      <c r="N32" s="47" t="s">
        <v>468</v>
      </c>
      <c r="O32" s="47"/>
      <c r="P32" s="47"/>
      <c r="Q32" s="55"/>
      <c r="R32" s="55"/>
      <c r="S32" s="55"/>
      <c r="T32" s="47" t="s">
        <v>469</v>
      </c>
      <c r="U32" s="47" t="s">
        <v>470</v>
      </c>
      <c r="V32" s="47"/>
      <c r="W32" s="47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44"/>
      <c r="B33" s="306">
        <v>6</v>
      </c>
      <c r="C33" s="307">
        <v>958482</v>
      </c>
      <c r="D33" s="476" t="s">
        <v>472</v>
      </c>
      <c r="E33" s="352"/>
      <c r="F33" s="352"/>
      <c r="G33" s="352"/>
      <c r="H33" s="352"/>
      <c r="I33" s="352"/>
      <c r="J33" s="352"/>
      <c r="K33" s="44"/>
      <c r="L33" s="291" t="s">
        <v>473</v>
      </c>
      <c r="M33" s="295"/>
      <c r="N33" s="47"/>
      <c r="O33" s="47"/>
      <c r="P33" s="47"/>
      <c r="Q33" s="55"/>
      <c r="R33" s="55"/>
      <c r="S33" s="55"/>
      <c r="T33" s="47"/>
      <c r="U33" s="47"/>
      <c r="V33" s="47"/>
      <c r="W33" s="47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44"/>
      <c r="B34" s="308">
        <v>7</v>
      </c>
      <c r="C34" s="309" t="s">
        <v>352</v>
      </c>
      <c r="D34" s="477" t="s">
        <v>474</v>
      </c>
      <c r="E34" s="352"/>
      <c r="F34" s="352"/>
      <c r="G34" s="352"/>
      <c r="H34" s="352"/>
      <c r="I34" s="352"/>
      <c r="J34" s="352"/>
      <c r="K34" s="44"/>
      <c r="L34" s="295" t="s">
        <v>78</v>
      </c>
      <c r="M34" s="295" t="s">
        <v>475</v>
      </c>
      <c r="N34" s="47" t="s">
        <v>468</v>
      </c>
      <c r="O34" s="47"/>
      <c r="P34" s="47"/>
      <c r="Q34" s="55"/>
      <c r="R34" s="55"/>
      <c r="S34" s="55"/>
      <c r="T34" s="47" t="s">
        <v>469</v>
      </c>
      <c r="U34" s="47" t="s">
        <v>470</v>
      </c>
      <c r="V34" s="47"/>
      <c r="W34" s="47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44"/>
      <c r="B35" s="310">
        <v>8</v>
      </c>
      <c r="C35" s="311">
        <v>958333</v>
      </c>
      <c r="D35" s="478" t="s">
        <v>476</v>
      </c>
      <c r="E35" s="352"/>
      <c r="F35" s="352"/>
      <c r="G35" s="352"/>
      <c r="H35" s="352"/>
      <c r="I35" s="352"/>
      <c r="J35" s="352"/>
      <c r="K35" s="44"/>
      <c r="L35" s="250" t="s">
        <v>477</v>
      </c>
      <c r="M35" s="47"/>
      <c r="N35" s="47"/>
      <c r="O35" s="47"/>
      <c r="P35" s="47"/>
      <c r="Q35" s="55"/>
      <c r="R35" s="55"/>
      <c r="S35" s="55"/>
      <c r="T35" s="47"/>
      <c r="U35" s="47"/>
      <c r="V35" s="47" t="s">
        <v>478</v>
      </c>
      <c r="W35" s="47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44"/>
      <c r="B36" s="310">
        <v>9</v>
      </c>
      <c r="C36" s="311">
        <v>958451</v>
      </c>
      <c r="D36" s="478" t="s">
        <v>479</v>
      </c>
      <c r="E36" s="352"/>
      <c r="F36" s="352"/>
      <c r="G36" s="352"/>
      <c r="H36" s="352"/>
      <c r="I36" s="352"/>
      <c r="J36" s="352"/>
      <c r="K36" s="44"/>
      <c r="L36" s="250" t="s">
        <v>480</v>
      </c>
      <c r="M36" s="47"/>
      <c r="N36" s="47"/>
      <c r="O36" s="47"/>
      <c r="P36" s="47"/>
      <c r="Q36" s="55"/>
      <c r="R36" s="55"/>
      <c r="S36" s="55"/>
      <c r="T36" s="47"/>
      <c r="U36" s="47"/>
      <c r="V36" s="47"/>
      <c r="W36" s="47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44"/>
      <c r="B37" s="50"/>
      <c r="C37" s="131"/>
      <c r="D37" s="20"/>
      <c r="E37" s="20"/>
      <c r="F37" s="20"/>
      <c r="G37" s="20"/>
      <c r="H37" s="20"/>
      <c r="I37" s="20"/>
      <c r="J37" s="20"/>
      <c r="K37" s="20"/>
      <c r="L37" s="250"/>
      <c r="M37" s="47"/>
      <c r="N37" s="47"/>
      <c r="O37" s="47"/>
      <c r="P37" s="47"/>
      <c r="Q37" s="55"/>
      <c r="R37" s="55"/>
      <c r="S37" s="55"/>
      <c r="T37" s="47"/>
      <c r="U37" s="47"/>
      <c r="V37" s="47"/>
      <c r="W37" s="47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44"/>
      <c r="B38" s="50" t="s">
        <v>481</v>
      </c>
      <c r="C38" s="131" t="s">
        <v>482</v>
      </c>
      <c r="D38" s="449" t="s">
        <v>483</v>
      </c>
      <c r="E38" s="352"/>
      <c r="F38" s="352"/>
      <c r="G38" s="352"/>
      <c r="H38" s="352"/>
      <c r="I38" s="352"/>
      <c r="J38" s="352"/>
      <c r="K38" s="20">
        <v>3</v>
      </c>
      <c r="L38" s="250"/>
      <c r="M38" s="47"/>
      <c r="N38" s="47"/>
      <c r="O38" s="47"/>
      <c r="P38" s="47"/>
      <c r="Q38" s="55"/>
      <c r="R38" s="55"/>
      <c r="S38" s="55"/>
      <c r="T38" s="47"/>
      <c r="U38" s="47"/>
      <c r="V38" s="47"/>
      <c r="W38" s="47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44"/>
      <c r="B39" s="50"/>
      <c r="C39" s="75" t="s">
        <v>54</v>
      </c>
      <c r="D39" s="404"/>
      <c r="E39" s="352"/>
      <c r="F39" s="352"/>
      <c r="G39" s="352"/>
      <c r="H39" s="352"/>
      <c r="I39" s="352"/>
      <c r="J39" s="352"/>
      <c r="K39" s="77">
        <f>SUM(K25:K38)</f>
        <v>18</v>
      </c>
      <c r="L39" s="303"/>
      <c r="M39" s="47"/>
      <c r="N39" s="47"/>
      <c r="O39" s="47"/>
      <c r="P39" s="47"/>
      <c r="Q39" s="55"/>
      <c r="R39" s="55"/>
      <c r="S39" s="55"/>
      <c r="T39" s="47"/>
      <c r="U39" s="47"/>
      <c r="V39" s="47"/>
      <c r="W39" s="47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44"/>
      <c r="L40" s="303"/>
      <c r="M40" s="47"/>
      <c r="N40" s="47"/>
      <c r="O40" s="47"/>
      <c r="P40" s="47"/>
      <c r="Q40" s="55"/>
      <c r="R40" s="55"/>
      <c r="S40" s="55"/>
      <c r="T40" s="47"/>
      <c r="U40" s="47"/>
      <c r="V40" s="47"/>
      <c r="W40" s="47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8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250"/>
      <c r="M41" s="47"/>
      <c r="N41" s="47"/>
      <c r="O41" s="47"/>
      <c r="P41" s="47"/>
      <c r="Q41" s="55"/>
      <c r="R41" s="55"/>
      <c r="S41" s="55"/>
      <c r="T41" s="47"/>
      <c r="U41" s="47"/>
      <c r="V41" s="47"/>
      <c r="W41" s="47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8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250"/>
      <c r="M42" s="47"/>
      <c r="N42" s="47"/>
      <c r="O42" s="47"/>
      <c r="P42" s="47"/>
      <c r="Q42" s="55"/>
      <c r="R42" s="55"/>
      <c r="S42" s="55"/>
      <c r="T42" s="47"/>
      <c r="U42" s="47"/>
      <c r="V42" s="47"/>
      <c r="W42" s="47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8.75" customHeight="1">
      <c r="A43" s="50"/>
      <c r="L43" s="273"/>
      <c r="M43" s="55"/>
      <c r="N43" s="55"/>
      <c r="O43" s="55"/>
      <c r="P43" s="55"/>
      <c r="Q43" s="55"/>
      <c r="R43" s="55"/>
      <c r="S43" s="47"/>
      <c r="T43" s="47"/>
      <c r="U43" s="47"/>
      <c r="V43" s="47"/>
      <c r="W43" s="47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8.75" customHeight="1">
      <c r="A44" s="50"/>
      <c r="L44" s="273"/>
      <c r="M44" s="55"/>
      <c r="N44" s="55"/>
      <c r="O44" s="55"/>
      <c r="P44" s="55"/>
      <c r="Q44" s="55"/>
      <c r="R44" s="55"/>
      <c r="S44" s="55"/>
      <c r="T44" s="47"/>
      <c r="U44" s="47"/>
      <c r="V44" s="47"/>
      <c r="W44" s="47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5.75" customHeight="1">
      <c r="A45" s="50"/>
      <c r="B45" s="50"/>
      <c r="C45" s="392" t="s">
        <v>119</v>
      </c>
      <c r="D45" s="352"/>
      <c r="E45" s="352"/>
      <c r="F45" s="352"/>
      <c r="G45" s="352"/>
      <c r="H45" s="142"/>
      <c r="I45" s="142"/>
      <c r="J45" s="50"/>
      <c r="K45" s="50"/>
      <c r="L45" s="250"/>
      <c r="M45" s="47"/>
      <c r="N45" s="47"/>
      <c r="O45" s="47"/>
      <c r="P45" s="47"/>
      <c r="Q45" s="55"/>
      <c r="R45" s="55"/>
      <c r="S45" s="55"/>
      <c r="T45" s="47"/>
      <c r="U45" s="47"/>
      <c r="V45" s="47"/>
      <c r="W45" s="47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8.75" customHeight="1">
      <c r="A46" s="50"/>
      <c r="B46" s="50"/>
      <c r="C46" s="20"/>
      <c r="D46" s="20"/>
      <c r="E46" s="20"/>
      <c r="F46" s="20"/>
      <c r="G46" s="20"/>
      <c r="H46" s="20"/>
      <c r="I46" s="142"/>
      <c r="J46" s="50"/>
      <c r="K46" s="50"/>
      <c r="L46" s="250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8.75" customHeight="1">
      <c r="A47" s="10"/>
      <c r="B47" s="10"/>
      <c r="C47" s="156"/>
      <c r="D47" s="156" t="s">
        <v>484</v>
      </c>
      <c r="E47" s="156"/>
      <c r="F47" s="156"/>
      <c r="G47" s="156"/>
      <c r="H47" s="156"/>
      <c r="I47" s="156"/>
      <c r="J47" s="10"/>
      <c r="K47" s="10"/>
      <c r="L47" s="273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8.75" customHeight="1">
      <c r="A48" s="5"/>
      <c r="B48" s="5"/>
      <c r="C48" s="79"/>
      <c r="D48" s="79"/>
      <c r="E48" s="79"/>
      <c r="F48" s="79"/>
      <c r="G48" s="79"/>
      <c r="H48" s="79"/>
      <c r="I48" s="5"/>
      <c r="J48" s="10"/>
      <c r="K48" s="10"/>
      <c r="L48" s="273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8.75" customHeight="1">
      <c r="A49" s="10"/>
      <c r="B49" s="5"/>
      <c r="C49" s="5"/>
      <c r="D49" s="5"/>
      <c r="E49" s="5"/>
      <c r="F49" s="5"/>
      <c r="G49" s="5"/>
      <c r="H49" s="5"/>
      <c r="I49" s="5"/>
      <c r="J49" s="10"/>
      <c r="K49" s="10"/>
      <c r="L49" s="1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0"/>
      <c r="K50" s="10"/>
      <c r="L50" s="15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0"/>
      <c r="K51" s="10"/>
      <c r="L51" s="1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0"/>
      <c r="K52" s="10"/>
      <c r="L52" s="15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5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5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56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5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5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5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56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5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5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5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5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5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5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5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5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5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5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5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5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5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5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10"/>
      <c r="K75" s="10"/>
      <c r="L75" s="15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10"/>
      <c r="K76" s="10"/>
      <c r="L76" s="15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10"/>
      <c r="K77" s="10"/>
      <c r="L77" s="15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10"/>
      <c r="K78" s="10"/>
      <c r="L78" s="15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10"/>
      <c r="K79" s="10"/>
      <c r="L79" s="15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10"/>
      <c r="K80" s="10"/>
      <c r="L80" s="15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10"/>
      <c r="K81" s="10"/>
      <c r="L81" s="15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10"/>
      <c r="K82" s="10"/>
      <c r="L82" s="15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10"/>
      <c r="K83" s="10"/>
      <c r="L83" s="15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10"/>
      <c r="K84" s="10"/>
      <c r="L84" s="15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10"/>
      <c r="K85" s="10"/>
      <c r="L85" s="15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10"/>
      <c r="K86" s="10"/>
      <c r="L86" s="15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10"/>
      <c r="K87" s="10"/>
      <c r="L87" s="15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10"/>
      <c r="K88" s="10"/>
      <c r="L88" s="156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10"/>
      <c r="K89" s="10"/>
      <c r="L89" s="156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10"/>
      <c r="K90" s="10"/>
      <c r="L90" s="156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10"/>
      <c r="K91" s="10"/>
      <c r="L91" s="15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10"/>
      <c r="K92" s="10"/>
      <c r="L92" s="15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312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312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312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312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312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312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312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312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312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312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312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312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312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312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312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312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312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312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312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312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312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312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312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312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312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312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312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312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312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312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312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312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312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312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312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312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312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312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312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312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312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312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312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312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312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312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312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312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312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312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312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312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312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312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312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312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312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312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312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312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312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312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312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312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312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312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312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312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312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312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312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312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312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312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312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312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312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312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312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312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312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312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312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312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312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312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312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312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312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312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312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312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312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312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312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312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312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312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312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312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312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312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312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312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312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312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312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312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312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312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312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312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312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312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312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312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312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312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312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312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312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312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312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312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312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312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312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312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312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312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312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312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312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312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312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312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312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312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312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312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312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312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312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312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312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312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312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312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spans="1:42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312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 spans="1: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312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 spans="1:42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312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</row>
    <row r="244" spans="1:42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312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</row>
    <row r="245" spans="1:42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312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</row>
    <row r="246" spans="1:42" ht="15.75" customHeight="1">
      <c r="L246" s="273"/>
    </row>
    <row r="247" spans="1:42" ht="15.75" customHeight="1">
      <c r="L247" s="273"/>
    </row>
    <row r="248" spans="1:42" ht="15.75" customHeight="1">
      <c r="L248" s="273"/>
    </row>
    <row r="249" spans="1:42" ht="15.75" customHeight="1">
      <c r="L249" s="273"/>
    </row>
    <row r="250" spans="1:42" ht="15.75" customHeight="1">
      <c r="L250" s="273"/>
    </row>
    <row r="251" spans="1:42" ht="15.75" customHeight="1">
      <c r="L251" s="273"/>
    </row>
    <row r="252" spans="1:42" ht="15.75" customHeight="1">
      <c r="L252" s="273"/>
    </row>
    <row r="253" spans="1:42" ht="15.75" customHeight="1">
      <c r="L253" s="273"/>
    </row>
    <row r="254" spans="1:42" ht="15.75" customHeight="1">
      <c r="L254" s="273"/>
    </row>
    <row r="255" spans="1:42" ht="15.75" customHeight="1">
      <c r="L255" s="273"/>
    </row>
    <row r="256" spans="1:42" ht="15.75" customHeight="1">
      <c r="L256" s="273"/>
    </row>
    <row r="257" spans="12:12" ht="15.75" customHeight="1">
      <c r="L257" s="273"/>
    </row>
    <row r="258" spans="12:12" ht="15.75" customHeight="1">
      <c r="L258" s="273"/>
    </row>
    <row r="259" spans="12:12" ht="15.75" customHeight="1">
      <c r="L259" s="273"/>
    </row>
    <row r="260" spans="12:12" ht="15.75" customHeight="1">
      <c r="L260" s="273"/>
    </row>
    <row r="261" spans="12:12" ht="15.75" customHeight="1">
      <c r="L261" s="273"/>
    </row>
    <row r="262" spans="12:12" ht="15.75" customHeight="1">
      <c r="L262" s="273"/>
    </row>
    <row r="263" spans="12:12" ht="15.75" customHeight="1">
      <c r="L263" s="273"/>
    </row>
    <row r="264" spans="12:12" ht="15.75" customHeight="1">
      <c r="L264" s="273"/>
    </row>
    <row r="265" spans="12:12" ht="15.75" customHeight="1">
      <c r="L265" s="273"/>
    </row>
    <row r="266" spans="12:12" ht="15.75" customHeight="1">
      <c r="L266" s="273"/>
    </row>
    <row r="267" spans="12:12" ht="15.75" customHeight="1">
      <c r="L267" s="273"/>
    </row>
    <row r="268" spans="12:12" ht="15.75" customHeight="1">
      <c r="L268" s="273"/>
    </row>
    <row r="269" spans="12:12" ht="15.75" customHeight="1">
      <c r="L269" s="273"/>
    </row>
    <row r="270" spans="12:12" ht="15.75" customHeight="1">
      <c r="L270" s="273"/>
    </row>
    <row r="271" spans="12:12" ht="15.75" customHeight="1">
      <c r="L271" s="273"/>
    </row>
    <row r="272" spans="12:12" ht="15.75" customHeight="1">
      <c r="L272" s="273"/>
    </row>
    <row r="273" spans="12:12" ht="15.75" customHeight="1">
      <c r="L273" s="273"/>
    </row>
    <row r="274" spans="12:12" ht="15.75" customHeight="1">
      <c r="L274" s="273"/>
    </row>
    <row r="275" spans="12:12" ht="15.75" customHeight="1">
      <c r="L275" s="273"/>
    </row>
    <row r="276" spans="12:12" ht="15.75" customHeight="1">
      <c r="L276" s="273"/>
    </row>
    <row r="277" spans="12:12" ht="15.75" customHeight="1">
      <c r="L277" s="273"/>
    </row>
    <row r="278" spans="12:12" ht="15.75" customHeight="1">
      <c r="L278" s="273"/>
    </row>
    <row r="279" spans="12:12" ht="15.75" customHeight="1">
      <c r="L279" s="273"/>
    </row>
    <row r="280" spans="12:12" ht="15.75" customHeight="1">
      <c r="L280" s="273"/>
    </row>
    <row r="281" spans="12:12" ht="15.75" customHeight="1">
      <c r="L281" s="273"/>
    </row>
    <row r="282" spans="12:12" ht="15.75" customHeight="1">
      <c r="L282" s="273"/>
    </row>
    <row r="283" spans="12:12" ht="15.75" customHeight="1">
      <c r="L283" s="273"/>
    </row>
    <row r="284" spans="12:12" ht="15.75" customHeight="1">
      <c r="L284" s="273"/>
    </row>
    <row r="285" spans="12:12" ht="15.75" customHeight="1">
      <c r="L285" s="273"/>
    </row>
    <row r="286" spans="12:12" ht="15.75" customHeight="1">
      <c r="L286" s="273"/>
    </row>
    <row r="287" spans="12:12" ht="15.75" customHeight="1">
      <c r="L287" s="273"/>
    </row>
    <row r="288" spans="12:12" ht="15.75" customHeight="1">
      <c r="L288" s="273"/>
    </row>
    <row r="289" spans="12:12" ht="15.75" customHeight="1">
      <c r="L289" s="273"/>
    </row>
    <row r="290" spans="12:12" ht="15.75" customHeight="1">
      <c r="L290" s="273"/>
    </row>
    <row r="291" spans="12:12" ht="15.75" customHeight="1">
      <c r="L291" s="273"/>
    </row>
    <row r="292" spans="12:12" ht="15.75" customHeight="1">
      <c r="L292" s="273"/>
    </row>
    <row r="293" spans="12:12" ht="15.75" customHeight="1">
      <c r="L293" s="273"/>
    </row>
    <row r="294" spans="12:12" ht="15.75" customHeight="1">
      <c r="L294" s="273"/>
    </row>
    <row r="295" spans="12:12" ht="15.75" customHeight="1">
      <c r="L295" s="273"/>
    </row>
    <row r="296" spans="12:12" ht="15.75" customHeight="1">
      <c r="L296" s="273"/>
    </row>
    <row r="297" spans="12:12" ht="15.75" customHeight="1">
      <c r="L297" s="273"/>
    </row>
    <row r="298" spans="12:12" ht="15.75" customHeight="1">
      <c r="L298" s="273"/>
    </row>
    <row r="299" spans="12:12" ht="15.75" customHeight="1">
      <c r="L299" s="273"/>
    </row>
    <row r="300" spans="12:12" ht="15.75" customHeight="1">
      <c r="L300" s="273"/>
    </row>
    <row r="301" spans="12:12" ht="15.75" customHeight="1">
      <c r="L301" s="273"/>
    </row>
    <row r="302" spans="12:12" ht="15.75" customHeight="1">
      <c r="L302" s="273"/>
    </row>
    <row r="303" spans="12:12" ht="15.75" customHeight="1">
      <c r="L303" s="273"/>
    </row>
    <row r="304" spans="12:12" ht="15.75" customHeight="1">
      <c r="L304" s="273"/>
    </row>
    <row r="305" spans="12:12" ht="15.75" customHeight="1">
      <c r="L305" s="273"/>
    </row>
    <row r="306" spans="12:12" ht="15.75" customHeight="1">
      <c r="L306" s="273"/>
    </row>
    <row r="307" spans="12:12" ht="15.75" customHeight="1">
      <c r="L307" s="273"/>
    </row>
    <row r="308" spans="12:12" ht="15.75" customHeight="1">
      <c r="L308" s="273"/>
    </row>
    <row r="309" spans="12:12" ht="15.75" customHeight="1">
      <c r="L309" s="273"/>
    </row>
    <row r="310" spans="12:12" ht="15.75" customHeight="1">
      <c r="L310" s="273"/>
    </row>
    <row r="311" spans="12:12" ht="15.75" customHeight="1">
      <c r="L311" s="273"/>
    </row>
    <row r="312" spans="12:12" ht="15.75" customHeight="1">
      <c r="L312" s="273"/>
    </row>
    <row r="313" spans="12:12" ht="15.75" customHeight="1">
      <c r="L313" s="273"/>
    </row>
    <row r="314" spans="12:12" ht="15.75" customHeight="1">
      <c r="L314" s="273"/>
    </row>
    <row r="315" spans="12:12" ht="15.75" customHeight="1">
      <c r="L315" s="273"/>
    </row>
    <row r="316" spans="12:12" ht="15.75" customHeight="1">
      <c r="L316" s="273"/>
    </row>
    <row r="317" spans="12:12" ht="15.75" customHeight="1">
      <c r="L317" s="273"/>
    </row>
    <row r="318" spans="12:12" ht="15.75" customHeight="1">
      <c r="L318" s="273"/>
    </row>
    <row r="319" spans="12:12" ht="15.75" customHeight="1">
      <c r="L319" s="273"/>
    </row>
    <row r="320" spans="12:12" ht="15.75" customHeight="1">
      <c r="L320" s="273"/>
    </row>
    <row r="321" spans="12:12" ht="15.75" customHeight="1">
      <c r="L321" s="273"/>
    </row>
    <row r="322" spans="12:12" ht="15.75" customHeight="1">
      <c r="L322" s="273"/>
    </row>
    <row r="323" spans="12:12" ht="15.75" customHeight="1">
      <c r="L323" s="273"/>
    </row>
    <row r="324" spans="12:12" ht="15.75" customHeight="1">
      <c r="L324" s="273"/>
    </row>
    <row r="325" spans="12:12" ht="15.75" customHeight="1">
      <c r="L325" s="273"/>
    </row>
    <row r="326" spans="12:12" ht="15.75" customHeight="1">
      <c r="L326" s="273"/>
    </row>
    <row r="327" spans="12:12" ht="15.75" customHeight="1">
      <c r="L327" s="273"/>
    </row>
    <row r="328" spans="12:12" ht="15.75" customHeight="1">
      <c r="L328" s="273"/>
    </row>
    <row r="329" spans="12:12" ht="15.75" customHeight="1">
      <c r="L329" s="273"/>
    </row>
    <row r="330" spans="12:12" ht="15.75" customHeight="1">
      <c r="L330" s="273"/>
    </row>
    <row r="331" spans="12:12" ht="15.75" customHeight="1">
      <c r="L331" s="273"/>
    </row>
    <row r="332" spans="12:12" ht="15.75" customHeight="1">
      <c r="L332" s="273"/>
    </row>
    <row r="333" spans="12:12" ht="15.75" customHeight="1">
      <c r="L333" s="273"/>
    </row>
    <row r="334" spans="12:12" ht="15.75" customHeight="1">
      <c r="L334" s="273"/>
    </row>
    <row r="335" spans="12:12" ht="15.75" customHeight="1">
      <c r="L335" s="273"/>
    </row>
    <row r="336" spans="12:12" ht="15.75" customHeight="1">
      <c r="L336" s="273"/>
    </row>
    <row r="337" spans="12:12" ht="15.75" customHeight="1">
      <c r="L337" s="273"/>
    </row>
    <row r="338" spans="12:12" ht="15.75" customHeight="1">
      <c r="L338" s="273"/>
    </row>
    <row r="339" spans="12:12" ht="15.75" customHeight="1">
      <c r="L339" s="273"/>
    </row>
    <row r="340" spans="12:12" ht="15.75" customHeight="1">
      <c r="L340" s="273"/>
    </row>
    <row r="341" spans="12:12" ht="15.75" customHeight="1">
      <c r="L341" s="273"/>
    </row>
    <row r="342" spans="12:12" ht="15.75" customHeight="1">
      <c r="L342" s="273"/>
    </row>
    <row r="343" spans="12:12" ht="15.75" customHeight="1">
      <c r="L343" s="273"/>
    </row>
    <row r="344" spans="12:12" ht="15.75" customHeight="1">
      <c r="L344" s="273"/>
    </row>
    <row r="345" spans="12:12" ht="15.75" customHeight="1">
      <c r="L345" s="273"/>
    </row>
    <row r="346" spans="12:12" ht="15.75" customHeight="1">
      <c r="L346" s="273"/>
    </row>
    <row r="347" spans="12:12" ht="15.75" customHeight="1">
      <c r="L347" s="273"/>
    </row>
    <row r="348" spans="12:12" ht="15.75" customHeight="1">
      <c r="L348" s="273"/>
    </row>
    <row r="349" spans="12:12" ht="15.75" customHeight="1">
      <c r="L349" s="273"/>
    </row>
    <row r="350" spans="12:12" ht="15.75" customHeight="1">
      <c r="L350" s="273"/>
    </row>
    <row r="351" spans="12:12" ht="15.75" customHeight="1">
      <c r="L351" s="273"/>
    </row>
    <row r="352" spans="12:12" ht="15.75" customHeight="1">
      <c r="L352" s="273"/>
    </row>
    <row r="353" spans="12:12" ht="15.75" customHeight="1">
      <c r="L353" s="273"/>
    </row>
    <row r="354" spans="12:12" ht="15.75" customHeight="1">
      <c r="L354" s="273"/>
    </row>
    <row r="355" spans="12:12" ht="15.75" customHeight="1">
      <c r="L355" s="273"/>
    </row>
    <row r="356" spans="12:12" ht="15.75" customHeight="1">
      <c r="L356" s="273"/>
    </row>
    <row r="357" spans="12:12" ht="15.75" customHeight="1">
      <c r="L357" s="273"/>
    </row>
    <row r="358" spans="12:12" ht="15.75" customHeight="1">
      <c r="L358" s="273"/>
    </row>
    <row r="359" spans="12:12" ht="15.75" customHeight="1">
      <c r="L359" s="273"/>
    </row>
    <row r="360" spans="12:12" ht="15.75" customHeight="1">
      <c r="L360" s="273"/>
    </row>
    <row r="361" spans="12:12" ht="15.75" customHeight="1">
      <c r="L361" s="273"/>
    </row>
    <row r="362" spans="12:12" ht="15.75" customHeight="1">
      <c r="L362" s="273"/>
    </row>
    <row r="363" spans="12:12" ht="15.75" customHeight="1">
      <c r="L363" s="273"/>
    </row>
    <row r="364" spans="12:12" ht="15.75" customHeight="1">
      <c r="L364" s="273"/>
    </row>
    <row r="365" spans="12:12" ht="15.75" customHeight="1">
      <c r="L365" s="273"/>
    </row>
    <row r="366" spans="12:12" ht="15.75" customHeight="1">
      <c r="L366" s="273"/>
    </row>
    <row r="367" spans="12:12" ht="15.75" customHeight="1">
      <c r="L367" s="273"/>
    </row>
    <row r="368" spans="12:12" ht="15.75" customHeight="1">
      <c r="L368" s="273"/>
    </row>
    <row r="369" spans="12:12" ht="15.75" customHeight="1">
      <c r="L369" s="273"/>
    </row>
    <row r="370" spans="12:12" ht="15.75" customHeight="1">
      <c r="L370" s="273"/>
    </row>
    <row r="371" spans="12:12" ht="15.75" customHeight="1">
      <c r="L371" s="273"/>
    </row>
    <row r="372" spans="12:12" ht="15.75" customHeight="1">
      <c r="L372" s="273"/>
    </row>
    <row r="373" spans="12:12" ht="15.75" customHeight="1">
      <c r="L373" s="273"/>
    </row>
    <row r="374" spans="12:12" ht="15.75" customHeight="1">
      <c r="L374" s="273"/>
    </row>
    <row r="375" spans="12:12" ht="15.75" customHeight="1">
      <c r="L375" s="273"/>
    </row>
    <row r="376" spans="12:12" ht="15.75" customHeight="1">
      <c r="L376" s="273"/>
    </row>
    <row r="377" spans="12:12" ht="15.75" customHeight="1">
      <c r="L377" s="273"/>
    </row>
    <row r="378" spans="12:12" ht="15.75" customHeight="1">
      <c r="L378" s="273"/>
    </row>
    <row r="379" spans="12:12" ht="15.75" customHeight="1">
      <c r="L379" s="273"/>
    </row>
    <row r="380" spans="12:12" ht="15.75" customHeight="1">
      <c r="L380" s="273"/>
    </row>
    <row r="381" spans="12:12" ht="15.75" customHeight="1">
      <c r="L381" s="273"/>
    </row>
    <row r="382" spans="12:12" ht="15.75" customHeight="1">
      <c r="L382" s="273"/>
    </row>
    <row r="383" spans="12:12" ht="15.75" customHeight="1">
      <c r="L383" s="273"/>
    </row>
    <row r="384" spans="12:12" ht="15.75" customHeight="1">
      <c r="L384" s="273"/>
    </row>
    <row r="385" spans="12:12" ht="15.75" customHeight="1">
      <c r="L385" s="273"/>
    </row>
    <row r="386" spans="12:12" ht="15.75" customHeight="1">
      <c r="L386" s="273"/>
    </row>
    <row r="387" spans="12:12" ht="15.75" customHeight="1">
      <c r="L387" s="273"/>
    </row>
    <row r="388" spans="12:12" ht="15.75" customHeight="1">
      <c r="L388" s="273"/>
    </row>
    <row r="389" spans="12:12" ht="15.75" customHeight="1">
      <c r="L389" s="273"/>
    </row>
    <row r="390" spans="12:12" ht="15.75" customHeight="1">
      <c r="L390" s="273"/>
    </row>
    <row r="391" spans="12:12" ht="15.75" customHeight="1">
      <c r="L391" s="273"/>
    </row>
    <row r="392" spans="12:12" ht="15.75" customHeight="1">
      <c r="L392" s="273"/>
    </row>
    <row r="393" spans="12:12" ht="15.75" customHeight="1">
      <c r="L393" s="273"/>
    </row>
    <row r="394" spans="12:12" ht="15.75" customHeight="1">
      <c r="L394" s="273"/>
    </row>
    <row r="395" spans="12:12" ht="15.75" customHeight="1">
      <c r="L395" s="273"/>
    </row>
    <row r="396" spans="12:12" ht="15.75" customHeight="1">
      <c r="L396" s="273"/>
    </row>
    <row r="397" spans="12:12" ht="15.75" customHeight="1">
      <c r="L397" s="273"/>
    </row>
    <row r="398" spans="12:12" ht="15.75" customHeight="1">
      <c r="L398" s="273"/>
    </row>
    <row r="399" spans="12:12" ht="15.75" customHeight="1">
      <c r="L399" s="273"/>
    </row>
    <row r="400" spans="12:12" ht="15.75" customHeight="1">
      <c r="L400" s="273"/>
    </row>
    <row r="401" spans="12:12" ht="15.75" customHeight="1">
      <c r="L401" s="273"/>
    </row>
    <row r="402" spans="12:12" ht="15.75" customHeight="1">
      <c r="L402" s="273"/>
    </row>
    <row r="403" spans="12:12" ht="15.75" customHeight="1">
      <c r="L403" s="273"/>
    </row>
    <row r="404" spans="12:12" ht="15.75" customHeight="1">
      <c r="L404" s="273"/>
    </row>
    <row r="405" spans="12:12" ht="15.75" customHeight="1">
      <c r="L405" s="273"/>
    </row>
    <row r="406" spans="12:12" ht="15.75" customHeight="1">
      <c r="L406" s="273"/>
    </row>
    <row r="407" spans="12:12" ht="15.75" customHeight="1">
      <c r="L407" s="273"/>
    </row>
    <row r="408" spans="12:12" ht="15.75" customHeight="1">
      <c r="L408" s="273"/>
    </row>
    <row r="409" spans="12:12" ht="15.75" customHeight="1">
      <c r="L409" s="273"/>
    </row>
    <row r="410" spans="12:12" ht="15.75" customHeight="1">
      <c r="L410" s="273"/>
    </row>
    <row r="411" spans="12:12" ht="15.75" customHeight="1">
      <c r="L411" s="273"/>
    </row>
    <row r="412" spans="12:12" ht="15.75" customHeight="1">
      <c r="L412" s="273"/>
    </row>
    <row r="413" spans="12:12" ht="15.75" customHeight="1">
      <c r="L413" s="273"/>
    </row>
    <row r="414" spans="12:12" ht="15.75" customHeight="1">
      <c r="L414" s="273"/>
    </row>
    <row r="415" spans="12:12" ht="15.75" customHeight="1">
      <c r="L415" s="273"/>
    </row>
    <row r="416" spans="12:12" ht="15.75" customHeight="1">
      <c r="L416" s="273"/>
    </row>
    <row r="417" spans="12:12" ht="15.75" customHeight="1">
      <c r="L417" s="273"/>
    </row>
    <row r="418" spans="12:12" ht="15.75" customHeight="1">
      <c r="L418" s="273"/>
    </row>
    <row r="419" spans="12:12" ht="15.75" customHeight="1">
      <c r="L419" s="273"/>
    </row>
    <row r="420" spans="12:12" ht="15.75" customHeight="1">
      <c r="L420" s="273"/>
    </row>
    <row r="421" spans="12:12" ht="15.75" customHeight="1">
      <c r="L421" s="273"/>
    </row>
    <row r="422" spans="12:12" ht="15.75" customHeight="1">
      <c r="L422" s="273"/>
    </row>
    <row r="423" spans="12:12" ht="15.75" customHeight="1">
      <c r="L423" s="273"/>
    </row>
    <row r="424" spans="12:12" ht="15.75" customHeight="1">
      <c r="L424" s="273"/>
    </row>
    <row r="425" spans="12:12" ht="15.75" customHeight="1">
      <c r="L425" s="273"/>
    </row>
    <row r="426" spans="12:12" ht="15.75" customHeight="1">
      <c r="L426" s="273"/>
    </row>
    <row r="427" spans="12:12" ht="15.75" customHeight="1">
      <c r="L427" s="273"/>
    </row>
    <row r="428" spans="12:12" ht="15.75" customHeight="1">
      <c r="L428" s="273"/>
    </row>
    <row r="429" spans="12:12" ht="15.75" customHeight="1">
      <c r="L429" s="273"/>
    </row>
    <row r="430" spans="12:12" ht="15.75" customHeight="1">
      <c r="L430" s="273"/>
    </row>
    <row r="431" spans="12:12" ht="15.75" customHeight="1">
      <c r="L431" s="273"/>
    </row>
    <row r="432" spans="12:12" ht="15.75" customHeight="1">
      <c r="L432" s="273"/>
    </row>
    <row r="433" spans="12:12" ht="15.75" customHeight="1">
      <c r="L433" s="273"/>
    </row>
    <row r="434" spans="12:12" ht="15.75" customHeight="1">
      <c r="L434" s="273"/>
    </row>
    <row r="435" spans="12:12" ht="15.75" customHeight="1">
      <c r="L435" s="273"/>
    </row>
    <row r="436" spans="12:12" ht="15.75" customHeight="1">
      <c r="L436" s="273"/>
    </row>
    <row r="437" spans="12:12" ht="15.75" customHeight="1">
      <c r="L437" s="273"/>
    </row>
    <row r="438" spans="12:12" ht="15.75" customHeight="1">
      <c r="L438" s="273"/>
    </row>
    <row r="439" spans="12:12" ht="15.75" customHeight="1">
      <c r="L439" s="273"/>
    </row>
    <row r="440" spans="12:12" ht="15.75" customHeight="1">
      <c r="L440" s="273"/>
    </row>
    <row r="441" spans="12:12" ht="15.75" customHeight="1">
      <c r="L441" s="273"/>
    </row>
    <row r="442" spans="12:12" ht="15.75" customHeight="1">
      <c r="L442" s="273"/>
    </row>
    <row r="443" spans="12:12" ht="15.75" customHeight="1">
      <c r="L443" s="273"/>
    </row>
    <row r="444" spans="12:12" ht="15.75" customHeight="1">
      <c r="L444" s="273"/>
    </row>
    <row r="445" spans="12:12" ht="15.75" customHeight="1">
      <c r="L445" s="273"/>
    </row>
    <row r="446" spans="12:12" ht="15.75" customHeight="1">
      <c r="L446" s="273"/>
    </row>
    <row r="447" spans="12:12" ht="15.75" customHeight="1">
      <c r="L447" s="273"/>
    </row>
    <row r="448" spans="12:12" ht="15.75" customHeight="1">
      <c r="L448" s="273"/>
    </row>
    <row r="449" spans="12:12" ht="15.75" customHeight="1">
      <c r="L449" s="273"/>
    </row>
    <row r="450" spans="12:12" ht="15.75" customHeight="1">
      <c r="L450" s="273"/>
    </row>
    <row r="451" spans="12:12" ht="15.75" customHeight="1">
      <c r="L451" s="273"/>
    </row>
    <row r="452" spans="12:12" ht="15.75" customHeight="1">
      <c r="L452" s="273"/>
    </row>
    <row r="453" spans="12:12" ht="15.75" customHeight="1">
      <c r="L453" s="273"/>
    </row>
    <row r="454" spans="12:12" ht="15.75" customHeight="1">
      <c r="L454" s="273"/>
    </row>
    <row r="455" spans="12:12" ht="15.75" customHeight="1">
      <c r="L455" s="273"/>
    </row>
    <row r="456" spans="12:12" ht="15.75" customHeight="1">
      <c r="L456" s="273"/>
    </row>
    <row r="457" spans="12:12" ht="15.75" customHeight="1">
      <c r="L457" s="273"/>
    </row>
    <row r="458" spans="12:12" ht="15.75" customHeight="1">
      <c r="L458" s="273"/>
    </row>
    <row r="459" spans="12:12" ht="15.75" customHeight="1">
      <c r="L459" s="273"/>
    </row>
    <row r="460" spans="12:12" ht="15.75" customHeight="1">
      <c r="L460" s="273"/>
    </row>
    <row r="461" spans="12:12" ht="15.75" customHeight="1">
      <c r="L461" s="273"/>
    </row>
    <row r="462" spans="12:12" ht="15.75" customHeight="1">
      <c r="L462" s="273"/>
    </row>
    <row r="463" spans="12:12" ht="15.75" customHeight="1">
      <c r="L463" s="273"/>
    </row>
    <row r="464" spans="12:12" ht="15.75" customHeight="1">
      <c r="L464" s="273"/>
    </row>
    <row r="465" spans="12:12" ht="15.75" customHeight="1">
      <c r="L465" s="273"/>
    </row>
    <row r="466" spans="12:12" ht="15.75" customHeight="1">
      <c r="L466" s="273"/>
    </row>
    <row r="467" spans="12:12" ht="15.75" customHeight="1">
      <c r="L467" s="273"/>
    </row>
    <row r="468" spans="12:12" ht="15.75" customHeight="1">
      <c r="L468" s="273"/>
    </row>
    <row r="469" spans="12:12" ht="15.75" customHeight="1">
      <c r="L469" s="273"/>
    </row>
    <row r="470" spans="12:12" ht="15.75" customHeight="1">
      <c r="L470" s="273"/>
    </row>
    <row r="471" spans="12:12" ht="15.75" customHeight="1">
      <c r="L471" s="273"/>
    </row>
    <row r="472" spans="12:12" ht="15.75" customHeight="1">
      <c r="L472" s="273"/>
    </row>
    <row r="473" spans="12:12" ht="15.75" customHeight="1">
      <c r="L473" s="273"/>
    </row>
    <row r="474" spans="12:12" ht="15.75" customHeight="1">
      <c r="L474" s="273"/>
    </row>
    <row r="475" spans="12:12" ht="15.75" customHeight="1">
      <c r="L475" s="273"/>
    </row>
    <row r="476" spans="12:12" ht="15.75" customHeight="1">
      <c r="L476" s="273"/>
    </row>
    <row r="477" spans="12:12" ht="15.75" customHeight="1">
      <c r="L477" s="273"/>
    </row>
    <row r="478" spans="12:12" ht="15.75" customHeight="1">
      <c r="L478" s="273"/>
    </row>
    <row r="479" spans="12:12" ht="15.75" customHeight="1">
      <c r="L479" s="273"/>
    </row>
    <row r="480" spans="12:12" ht="15.75" customHeight="1">
      <c r="L480" s="273"/>
    </row>
    <row r="481" spans="12:12" ht="15.75" customHeight="1">
      <c r="L481" s="273"/>
    </row>
    <row r="482" spans="12:12" ht="15.75" customHeight="1">
      <c r="L482" s="273"/>
    </row>
    <row r="483" spans="12:12" ht="15.75" customHeight="1">
      <c r="L483" s="273"/>
    </row>
    <row r="484" spans="12:12" ht="15.75" customHeight="1">
      <c r="L484" s="273"/>
    </row>
    <row r="485" spans="12:12" ht="15.75" customHeight="1">
      <c r="L485" s="273"/>
    </row>
    <row r="486" spans="12:12" ht="15.75" customHeight="1">
      <c r="L486" s="273"/>
    </row>
    <row r="487" spans="12:12" ht="15.75" customHeight="1">
      <c r="L487" s="273"/>
    </row>
    <row r="488" spans="12:12" ht="15.75" customHeight="1">
      <c r="L488" s="273"/>
    </row>
    <row r="489" spans="12:12" ht="15.75" customHeight="1">
      <c r="L489" s="273"/>
    </row>
    <row r="490" spans="12:12" ht="15.75" customHeight="1">
      <c r="L490" s="273"/>
    </row>
    <row r="491" spans="12:12" ht="15.75" customHeight="1">
      <c r="L491" s="273"/>
    </row>
    <row r="492" spans="12:12" ht="15.75" customHeight="1">
      <c r="L492" s="273"/>
    </row>
    <row r="493" spans="12:12" ht="15.75" customHeight="1">
      <c r="L493" s="273"/>
    </row>
    <row r="494" spans="12:12" ht="15.75" customHeight="1">
      <c r="L494" s="273"/>
    </row>
    <row r="495" spans="12:12" ht="15.75" customHeight="1">
      <c r="L495" s="273"/>
    </row>
    <row r="496" spans="12:12" ht="15.75" customHeight="1">
      <c r="L496" s="273"/>
    </row>
    <row r="497" spans="12:12" ht="15.75" customHeight="1">
      <c r="L497" s="273"/>
    </row>
    <row r="498" spans="12:12" ht="15.75" customHeight="1">
      <c r="L498" s="273"/>
    </row>
    <row r="499" spans="12:12" ht="15.75" customHeight="1">
      <c r="L499" s="273"/>
    </row>
    <row r="500" spans="12:12" ht="15.75" customHeight="1">
      <c r="L500" s="273"/>
    </row>
    <row r="501" spans="12:12" ht="15.75" customHeight="1">
      <c r="L501" s="273"/>
    </row>
    <row r="502" spans="12:12" ht="15.75" customHeight="1">
      <c r="L502" s="273"/>
    </row>
    <row r="503" spans="12:12" ht="15.75" customHeight="1">
      <c r="L503" s="273"/>
    </row>
    <row r="504" spans="12:12" ht="15.75" customHeight="1">
      <c r="L504" s="273"/>
    </row>
    <row r="505" spans="12:12" ht="15.75" customHeight="1">
      <c r="L505" s="273"/>
    </row>
    <row r="506" spans="12:12" ht="15.75" customHeight="1">
      <c r="L506" s="273"/>
    </row>
    <row r="507" spans="12:12" ht="15.75" customHeight="1">
      <c r="L507" s="273"/>
    </row>
    <row r="508" spans="12:12" ht="15.75" customHeight="1">
      <c r="L508" s="273"/>
    </row>
    <row r="509" spans="12:12" ht="15.75" customHeight="1">
      <c r="L509" s="273"/>
    </row>
    <row r="510" spans="12:12" ht="15.75" customHeight="1">
      <c r="L510" s="273"/>
    </row>
    <row r="511" spans="12:12" ht="15.75" customHeight="1">
      <c r="L511" s="273"/>
    </row>
    <row r="512" spans="12:12" ht="15.75" customHeight="1">
      <c r="L512" s="273"/>
    </row>
    <row r="513" spans="12:12" ht="15.75" customHeight="1">
      <c r="L513" s="273"/>
    </row>
    <row r="514" spans="12:12" ht="15.75" customHeight="1">
      <c r="L514" s="273"/>
    </row>
    <row r="515" spans="12:12" ht="15.75" customHeight="1">
      <c r="L515" s="273"/>
    </row>
    <row r="516" spans="12:12" ht="15.75" customHeight="1">
      <c r="L516" s="273"/>
    </row>
    <row r="517" spans="12:12" ht="15.75" customHeight="1">
      <c r="L517" s="273"/>
    </row>
    <row r="518" spans="12:12" ht="15.75" customHeight="1">
      <c r="L518" s="273"/>
    </row>
    <row r="519" spans="12:12" ht="15.75" customHeight="1">
      <c r="L519" s="273"/>
    </row>
    <row r="520" spans="12:12" ht="15.75" customHeight="1">
      <c r="L520" s="273"/>
    </row>
    <row r="521" spans="12:12" ht="15.75" customHeight="1">
      <c r="L521" s="273"/>
    </row>
    <row r="522" spans="12:12" ht="15.75" customHeight="1">
      <c r="L522" s="273"/>
    </row>
    <row r="523" spans="12:12" ht="15.75" customHeight="1">
      <c r="L523" s="273"/>
    </row>
    <row r="524" spans="12:12" ht="15.75" customHeight="1">
      <c r="L524" s="273"/>
    </row>
    <row r="525" spans="12:12" ht="15.75" customHeight="1">
      <c r="L525" s="273"/>
    </row>
    <row r="526" spans="12:12" ht="15.75" customHeight="1">
      <c r="L526" s="273"/>
    </row>
    <row r="527" spans="12:12" ht="15.75" customHeight="1">
      <c r="L527" s="273"/>
    </row>
    <row r="528" spans="12:12" ht="15.75" customHeight="1">
      <c r="L528" s="273"/>
    </row>
    <row r="529" spans="12:12" ht="15.75" customHeight="1">
      <c r="L529" s="273"/>
    </row>
    <row r="530" spans="12:12" ht="15.75" customHeight="1">
      <c r="L530" s="273"/>
    </row>
    <row r="531" spans="12:12" ht="15.75" customHeight="1">
      <c r="L531" s="273"/>
    </row>
    <row r="532" spans="12:12" ht="15.75" customHeight="1">
      <c r="L532" s="273"/>
    </row>
    <row r="533" spans="12:12" ht="15.75" customHeight="1">
      <c r="L533" s="273"/>
    </row>
    <row r="534" spans="12:12" ht="15.75" customHeight="1">
      <c r="L534" s="273"/>
    </row>
    <row r="535" spans="12:12" ht="15.75" customHeight="1">
      <c r="L535" s="273"/>
    </row>
    <row r="536" spans="12:12" ht="15.75" customHeight="1">
      <c r="L536" s="273"/>
    </row>
    <row r="537" spans="12:12" ht="15.75" customHeight="1">
      <c r="L537" s="273"/>
    </row>
    <row r="538" spans="12:12" ht="15.75" customHeight="1">
      <c r="L538" s="273"/>
    </row>
    <row r="539" spans="12:12" ht="15.75" customHeight="1">
      <c r="L539" s="273"/>
    </row>
    <row r="540" spans="12:12" ht="15.75" customHeight="1">
      <c r="L540" s="273"/>
    </row>
    <row r="541" spans="12:12" ht="15.75" customHeight="1">
      <c r="L541" s="273"/>
    </row>
    <row r="542" spans="12:12" ht="15.75" customHeight="1">
      <c r="L542" s="273"/>
    </row>
    <row r="543" spans="12:12" ht="15.75" customHeight="1">
      <c r="L543" s="273"/>
    </row>
    <row r="544" spans="12:12" ht="15.75" customHeight="1">
      <c r="L544" s="273"/>
    </row>
    <row r="545" spans="12:12" ht="15.75" customHeight="1">
      <c r="L545" s="273"/>
    </row>
    <row r="546" spans="12:12" ht="15.75" customHeight="1">
      <c r="L546" s="273"/>
    </row>
    <row r="547" spans="12:12" ht="15.75" customHeight="1">
      <c r="L547" s="273"/>
    </row>
    <row r="548" spans="12:12" ht="15.75" customHeight="1">
      <c r="L548" s="273"/>
    </row>
    <row r="549" spans="12:12" ht="15.75" customHeight="1">
      <c r="L549" s="273"/>
    </row>
    <row r="550" spans="12:12" ht="15.75" customHeight="1">
      <c r="L550" s="273"/>
    </row>
    <row r="551" spans="12:12" ht="15.75" customHeight="1">
      <c r="L551" s="273"/>
    </row>
    <row r="552" spans="12:12" ht="15.75" customHeight="1">
      <c r="L552" s="273"/>
    </row>
    <row r="553" spans="12:12" ht="15.75" customHeight="1">
      <c r="L553" s="273"/>
    </row>
    <row r="554" spans="12:12" ht="15.75" customHeight="1">
      <c r="L554" s="273"/>
    </row>
    <row r="555" spans="12:12" ht="15.75" customHeight="1">
      <c r="L555" s="273"/>
    </row>
    <row r="556" spans="12:12" ht="15.75" customHeight="1">
      <c r="L556" s="273"/>
    </row>
    <row r="557" spans="12:12" ht="15.75" customHeight="1">
      <c r="L557" s="273"/>
    </row>
    <row r="558" spans="12:12" ht="15.75" customHeight="1">
      <c r="L558" s="273"/>
    </row>
    <row r="559" spans="12:12" ht="15.75" customHeight="1">
      <c r="L559" s="273"/>
    </row>
    <row r="560" spans="12:12" ht="15.75" customHeight="1">
      <c r="L560" s="273"/>
    </row>
    <row r="561" spans="12:12" ht="15.75" customHeight="1">
      <c r="L561" s="273"/>
    </row>
    <row r="562" spans="12:12" ht="15.75" customHeight="1">
      <c r="L562" s="273"/>
    </row>
    <row r="563" spans="12:12" ht="15.75" customHeight="1">
      <c r="L563" s="273"/>
    </row>
    <row r="564" spans="12:12" ht="15.75" customHeight="1">
      <c r="L564" s="273"/>
    </row>
    <row r="565" spans="12:12" ht="15.75" customHeight="1">
      <c r="L565" s="273"/>
    </row>
    <row r="566" spans="12:12" ht="15.75" customHeight="1">
      <c r="L566" s="273"/>
    </row>
    <row r="567" spans="12:12" ht="15.75" customHeight="1">
      <c r="L567" s="273"/>
    </row>
    <row r="568" spans="12:12" ht="15.75" customHeight="1">
      <c r="L568" s="273"/>
    </row>
    <row r="569" spans="12:12" ht="15.75" customHeight="1">
      <c r="L569" s="273"/>
    </row>
    <row r="570" spans="12:12" ht="15.75" customHeight="1">
      <c r="L570" s="273"/>
    </row>
    <row r="571" spans="12:12" ht="15.75" customHeight="1">
      <c r="L571" s="273"/>
    </row>
    <row r="572" spans="12:12" ht="15.75" customHeight="1">
      <c r="L572" s="273"/>
    </row>
    <row r="573" spans="12:12" ht="15.75" customHeight="1">
      <c r="L573" s="273"/>
    </row>
    <row r="574" spans="12:12" ht="15.75" customHeight="1">
      <c r="L574" s="273"/>
    </row>
    <row r="575" spans="12:12" ht="15.75" customHeight="1">
      <c r="L575" s="273"/>
    </row>
    <row r="576" spans="12:12" ht="15.75" customHeight="1">
      <c r="L576" s="273"/>
    </row>
    <row r="577" spans="12:12" ht="15.75" customHeight="1">
      <c r="L577" s="273"/>
    </row>
    <row r="578" spans="12:12" ht="15.75" customHeight="1">
      <c r="L578" s="273"/>
    </row>
    <row r="579" spans="12:12" ht="15.75" customHeight="1">
      <c r="L579" s="273"/>
    </row>
    <row r="580" spans="12:12" ht="15.75" customHeight="1">
      <c r="L580" s="273"/>
    </row>
    <row r="581" spans="12:12" ht="15.75" customHeight="1">
      <c r="L581" s="273"/>
    </row>
    <row r="582" spans="12:12" ht="15.75" customHeight="1">
      <c r="L582" s="273"/>
    </row>
    <row r="583" spans="12:12" ht="15.75" customHeight="1">
      <c r="L583" s="273"/>
    </row>
    <row r="584" spans="12:12" ht="15.75" customHeight="1">
      <c r="L584" s="273"/>
    </row>
    <row r="585" spans="12:12" ht="15.75" customHeight="1">
      <c r="L585" s="273"/>
    </row>
    <row r="586" spans="12:12" ht="15.75" customHeight="1">
      <c r="L586" s="273"/>
    </row>
    <row r="587" spans="12:12" ht="15.75" customHeight="1">
      <c r="L587" s="273"/>
    </row>
    <row r="588" spans="12:12" ht="15.75" customHeight="1">
      <c r="L588" s="273"/>
    </row>
    <row r="589" spans="12:12" ht="15.75" customHeight="1">
      <c r="L589" s="273"/>
    </row>
    <row r="590" spans="12:12" ht="15.75" customHeight="1">
      <c r="L590" s="273"/>
    </row>
    <row r="591" spans="12:12" ht="15.75" customHeight="1">
      <c r="L591" s="273"/>
    </row>
    <row r="592" spans="12:12" ht="15.75" customHeight="1">
      <c r="L592" s="273"/>
    </row>
    <row r="593" spans="12:12" ht="15.75" customHeight="1">
      <c r="L593" s="273"/>
    </row>
    <row r="594" spans="12:12" ht="15.75" customHeight="1">
      <c r="L594" s="273"/>
    </row>
    <row r="595" spans="12:12" ht="15.75" customHeight="1">
      <c r="L595" s="273"/>
    </row>
    <row r="596" spans="12:12" ht="15.75" customHeight="1">
      <c r="L596" s="273"/>
    </row>
    <row r="597" spans="12:12" ht="15.75" customHeight="1">
      <c r="L597" s="273"/>
    </row>
    <row r="598" spans="12:12" ht="15.75" customHeight="1">
      <c r="L598" s="273"/>
    </row>
    <row r="599" spans="12:12" ht="15.75" customHeight="1">
      <c r="L599" s="273"/>
    </row>
    <row r="600" spans="12:12" ht="15.75" customHeight="1">
      <c r="L600" s="273"/>
    </row>
    <row r="601" spans="12:12" ht="15.75" customHeight="1">
      <c r="L601" s="273"/>
    </row>
    <row r="602" spans="12:12" ht="15.75" customHeight="1">
      <c r="L602" s="273"/>
    </row>
    <row r="603" spans="12:12" ht="15.75" customHeight="1">
      <c r="L603" s="273"/>
    </row>
    <row r="604" spans="12:12" ht="15.75" customHeight="1">
      <c r="L604" s="273"/>
    </row>
    <row r="605" spans="12:12" ht="15.75" customHeight="1">
      <c r="L605" s="273"/>
    </row>
    <row r="606" spans="12:12" ht="15.75" customHeight="1">
      <c r="L606" s="273"/>
    </row>
    <row r="607" spans="12:12" ht="15.75" customHeight="1">
      <c r="L607" s="273"/>
    </row>
    <row r="608" spans="12:12" ht="15.75" customHeight="1">
      <c r="L608" s="273"/>
    </row>
    <row r="609" spans="12:12" ht="15.75" customHeight="1">
      <c r="L609" s="273"/>
    </row>
    <row r="610" spans="12:12" ht="15.75" customHeight="1">
      <c r="L610" s="273"/>
    </row>
    <row r="611" spans="12:12" ht="15.75" customHeight="1">
      <c r="L611" s="273"/>
    </row>
    <row r="612" spans="12:12" ht="15.75" customHeight="1">
      <c r="L612" s="273"/>
    </row>
    <row r="613" spans="12:12" ht="15.75" customHeight="1">
      <c r="L613" s="273"/>
    </row>
    <row r="614" spans="12:12" ht="15.75" customHeight="1">
      <c r="L614" s="273"/>
    </row>
    <row r="615" spans="12:12" ht="15.75" customHeight="1">
      <c r="L615" s="273"/>
    </row>
    <row r="616" spans="12:12" ht="15.75" customHeight="1">
      <c r="L616" s="273"/>
    </row>
    <row r="617" spans="12:12" ht="15.75" customHeight="1">
      <c r="L617" s="273"/>
    </row>
    <row r="618" spans="12:12" ht="15.75" customHeight="1">
      <c r="L618" s="273"/>
    </row>
    <row r="619" spans="12:12" ht="15.75" customHeight="1">
      <c r="L619" s="273"/>
    </row>
    <row r="620" spans="12:12" ht="15.75" customHeight="1">
      <c r="L620" s="273"/>
    </row>
    <row r="621" spans="12:12" ht="15.75" customHeight="1">
      <c r="L621" s="273"/>
    </row>
    <row r="622" spans="12:12" ht="15.75" customHeight="1">
      <c r="L622" s="273"/>
    </row>
    <row r="623" spans="12:12" ht="15.75" customHeight="1">
      <c r="L623" s="273"/>
    </row>
    <row r="624" spans="12:12" ht="15.75" customHeight="1">
      <c r="L624" s="273"/>
    </row>
    <row r="625" spans="12:12" ht="15.75" customHeight="1">
      <c r="L625" s="273"/>
    </row>
    <row r="626" spans="12:12" ht="15.75" customHeight="1">
      <c r="L626" s="273"/>
    </row>
    <row r="627" spans="12:12" ht="15.75" customHeight="1">
      <c r="L627" s="273"/>
    </row>
    <row r="628" spans="12:12" ht="15.75" customHeight="1">
      <c r="L628" s="273"/>
    </row>
    <row r="629" spans="12:12" ht="15.75" customHeight="1">
      <c r="L629" s="273"/>
    </row>
    <row r="630" spans="12:12" ht="15.75" customHeight="1">
      <c r="L630" s="273"/>
    </row>
    <row r="631" spans="12:12" ht="15.75" customHeight="1">
      <c r="L631" s="273"/>
    </row>
    <row r="632" spans="12:12" ht="15.75" customHeight="1">
      <c r="L632" s="273"/>
    </row>
    <row r="633" spans="12:12" ht="15.75" customHeight="1">
      <c r="L633" s="273"/>
    </row>
    <row r="634" spans="12:12" ht="15.75" customHeight="1">
      <c r="L634" s="273"/>
    </row>
    <row r="635" spans="12:12" ht="15.75" customHeight="1">
      <c r="L635" s="273"/>
    </row>
    <row r="636" spans="12:12" ht="15.75" customHeight="1">
      <c r="L636" s="273"/>
    </row>
    <row r="637" spans="12:12" ht="15.75" customHeight="1">
      <c r="L637" s="273"/>
    </row>
    <row r="638" spans="12:12" ht="15.75" customHeight="1">
      <c r="L638" s="273"/>
    </row>
    <row r="639" spans="12:12" ht="15.75" customHeight="1">
      <c r="L639" s="273"/>
    </row>
    <row r="640" spans="12:12" ht="15.75" customHeight="1">
      <c r="L640" s="273"/>
    </row>
    <row r="641" spans="12:12" ht="15.75" customHeight="1">
      <c r="L641" s="273"/>
    </row>
    <row r="642" spans="12:12" ht="15.75" customHeight="1">
      <c r="L642" s="273"/>
    </row>
    <row r="643" spans="12:12" ht="15.75" customHeight="1">
      <c r="L643" s="273"/>
    </row>
    <row r="644" spans="12:12" ht="15.75" customHeight="1">
      <c r="L644" s="273"/>
    </row>
    <row r="645" spans="12:12" ht="15.75" customHeight="1">
      <c r="L645" s="273"/>
    </row>
    <row r="646" spans="12:12" ht="15.75" customHeight="1">
      <c r="L646" s="273"/>
    </row>
    <row r="647" spans="12:12" ht="15.75" customHeight="1">
      <c r="L647" s="273"/>
    </row>
    <row r="648" spans="12:12" ht="15.75" customHeight="1">
      <c r="L648" s="273"/>
    </row>
    <row r="649" spans="12:12" ht="15.75" customHeight="1">
      <c r="L649" s="273"/>
    </row>
    <row r="650" spans="12:12" ht="15.75" customHeight="1">
      <c r="L650" s="273"/>
    </row>
    <row r="651" spans="12:12" ht="15.75" customHeight="1">
      <c r="L651" s="273"/>
    </row>
    <row r="652" spans="12:12" ht="15.75" customHeight="1">
      <c r="L652" s="273"/>
    </row>
    <row r="653" spans="12:12" ht="15.75" customHeight="1">
      <c r="L653" s="273"/>
    </row>
    <row r="654" spans="12:12" ht="15.75" customHeight="1">
      <c r="L654" s="273"/>
    </row>
    <row r="655" spans="12:12" ht="15.75" customHeight="1">
      <c r="L655" s="273"/>
    </row>
    <row r="656" spans="12:12" ht="15.75" customHeight="1">
      <c r="L656" s="273"/>
    </row>
    <row r="657" spans="12:12" ht="15.75" customHeight="1">
      <c r="L657" s="273"/>
    </row>
    <row r="658" spans="12:12" ht="15.75" customHeight="1">
      <c r="L658" s="273"/>
    </row>
    <row r="659" spans="12:12" ht="15.75" customHeight="1">
      <c r="L659" s="273"/>
    </row>
    <row r="660" spans="12:12" ht="15.75" customHeight="1">
      <c r="L660" s="273"/>
    </row>
    <row r="661" spans="12:12" ht="15.75" customHeight="1">
      <c r="L661" s="273"/>
    </row>
    <row r="662" spans="12:12" ht="15.75" customHeight="1">
      <c r="L662" s="273"/>
    </row>
    <row r="663" spans="12:12" ht="15.75" customHeight="1">
      <c r="L663" s="273"/>
    </row>
    <row r="664" spans="12:12" ht="15.75" customHeight="1">
      <c r="L664" s="273"/>
    </row>
    <row r="665" spans="12:12" ht="15.75" customHeight="1">
      <c r="L665" s="273"/>
    </row>
    <row r="666" spans="12:12" ht="15.75" customHeight="1">
      <c r="L666" s="273"/>
    </row>
    <row r="667" spans="12:12" ht="15.75" customHeight="1">
      <c r="L667" s="273"/>
    </row>
    <row r="668" spans="12:12" ht="15.75" customHeight="1">
      <c r="L668" s="273"/>
    </row>
    <row r="669" spans="12:12" ht="15.75" customHeight="1">
      <c r="L669" s="273"/>
    </row>
    <row r="670" spans="12:12" ht="15.75" customHeight="1">
      <c r="L670" s="273"/>
    </row>
    <row r="671" spans="12:12" ht="15.75" customHeight="1">
      <c r="L671" s="273"/>
    </row>
    <row r="672" spans="12:12" ht="15.75" customHeight="1">
      <c r="L672" s="273"/>
    </row>
    <row r="673" spans="12:12" ht="15.75" customHeight="1">
      <c r="L673" s="273"/>
    </row>
    <row r="674" spans="12:12" ht="15.75" customHeight="1">
      <c r="L674" s="273"/>
    </row>
    <row r="675" spans="12:12" ht="15.75" customHeight="1">
      <c r="L675" s="273"/>
    </row>
    <row r="676" spans="12:12" ht="15.75" customHeight="1">
      <c r="L676" s="273"/>
    </row>
    <row r="677" spans="12:12" ht="15.75" customHeight="1">
      <c r="L677" s="273"/>
    </row>
    <row r="678" spans="12:12" ht="15.75" customHeight="1">
      <c r="L678" s="273"/>
    </row>
    <row r="679" spans="12:12" ht="15.75" customHeight="1">
      <c r="L679" s="273"/>
    </row>
    <row r="680" spans="12:12" ht="15.75" customHeight="1">
      <c r="L680" s="273"/>
    </row>
    <row r="681" spans="12:12" ht="15.75" customHeight="1">
      <c r="L681" s="273"/>
    </row>
    <row r="682" spans="12:12" ht="15.75" customHeight="1">
      <c r="L682" s="273"/>
    </row>
    <row r="683" spans="12:12" ht="15.75" customHeight="1">
      <c r="L683" s="273"/>
    </row>
    <row r="684" spans="12:12" ht="15.75" customHeight="1">
      <c r="L684" s="273"/>
    </row>
    <row r="685" spans="12:12" ht="15.75" customHeight="1">
      <c r="L685" s="273"/>
    </row>
    <row r="686" spans="12:12" ht="15.75" customHeight="1">
      <c r="L686" s="273"/>
    </row>
    <row r="687" spans="12:12" ht="15.75" customHeight="1">
      <c r="L687" s="273"/>
    </row>
    <row r="688" spans="12:12" ht="15.75" customHeight="1">
      <c r="L688" s="273"/>
    </row>
    <row r="689" spans="12:12" ht="15.75" customHeight="1">
      <c r="L689" s="273"/>
    </row>
    <row r="690" spans="12:12" ht="15.75" customHeight="1">
      <c r="L690" s="273"/>
    </row>
    <row r="691" spans="12:12" ht="15.75" customHeight="1">
      <c r="L691" s="273"/>
    </row>
    <row r="692" spans="12:12" ht="15.75" customHeight="1">
      <c r="L692" s="273"/>
    </row>
    <row r="693" spans="12:12" ht="15.75" customHeight="1">
      <c r="L693" s="273"/>
    </row>
    <row r="694" spans="12:12" ht="15.75" customHeight="1">
      <c r="L694" s="273"/>
    </row>
    <row r="695" spans="12:12" ht="15.75" customHeight="1">
      <c r="L695" s="273"/>
    </row>
    <row r="696" spans="12:12" ht="15.75" customHeight="1">
      <c r="L696" s="273"/>
    </row>
    <row r="697" spans="12:12" ht="15.75" customHeight="1">
      <c r="L697" s="273"/>
    </row>
    <row r="698" spans="12:12" ht="15.75" customHeight="1">
      <c r="L698" s="273"/>
    </row>
    <row r="699" spans="12:12" ht="15.75" customHeight="1">
      <c r="L699" s="273"/>
    </row>
    <row r="700" spans="12:12" ht="15.75" customHeight="1">
      <c r="L700" s="273"/>
    </row>
    <row r="701" spans="12:12" ht="15.75" customHeight="1">
      <c r="L701" s="273"/>
    </row>
    <row r="702" spans="12:12" ht="15.75" customHeight="1">
      <c r="L702" s="273"/>
    </row>
    <row r="703" spans="12:12" ht="15.75" customHeight="1">
      <c r="L703" s="273"/>
    </row>
    <row r="704" spans="12:12" ht="15.75" customHeight="1">
      <c r="L704" s="273"/>
    </row>
    <row r="705" spans="12:12" ht="15.75" customHeight="1">
      <c r="L705" s="273"/>
    </row>
    <row r="706" spans="12:12" ht="15.75" customHeight="1">
      <c r="L706" s="273"/>
    </row>
    <row r="707" spans="12:12" ht="15.75" customHeight="1">
      <c r="L707" s="273"/>
    </row>
    <row r="708" spans="12:12" ht="15.75" customHeight="1">
      <c r="L708" s="273"/>
    </row>
    <row r="709" spans="12:12" ht="15.75" customHeight="1">
      <c r="L709" s="273"/>
    </row>
    <row r="710" spans="12:12" ht="15.75" customHeight="1">
      <c r="L710" s="273"/>
    </row>
    <row r="711" spans="12:12" ht="15.75" customHeight="1">
      <c r="L711" s="273"/>
    </row>
    <row r="712" spans="12:12" ht="15.75" customHeight="1">
      <c r="L712" s="273"/>
    </row>
    <row r="713" spans="12:12" ht="15.75" customHeight="1">
      <c r="L713" s="273"/>
    </row>
    <row r="714" spans="12:12" ht="15.75" customHeight="1">
      <c r="L714" s="273"/>
    </row>
    <row r="715" spans="12:12" ht="15.75" customHeight="1">
      <c r="L715" s="273"/>
    </row>
    <row r="716" spans="12:12" ht="15.75" customHeight="1">
      <c r="L716" s="273"/>
    </row>
    <row r="717" spans="12:12" ht="15.75" customHeight="1">
      <c r="L717" s="273"/>
    </row>
    <row r="718" spans="12:12" ht="15.75" customHeight="1">
      <c r="L718" s="273"/>
    </row>
    <row r="719" spans="12:12" ht="15.75" customHeight="1">
      <c r="L719" s="273"/>
    </row>
    <row r="720" spans="12:12" ht="15.75" customHeight="1">
      <c r="L720" s="273"/>
    </row>
    <row r="721" spans="12:12" ht="15.75" customHeight="1">
      <c r="L721" s="273"/>
    </row>
    <row r="722" spans="12:12" ht="15.75" customHeight="1">
      <c r="L722" s="273"/>
    </row>
    <row r="723" spans="12:12" ht="15.75" customHeight="1">
      <c r="L723" s="273"/>
    </row>
    <row r="724" spans="12:12" ht="15.75" customHeight="1">
      <c r="L724" s="273"/>
    </row>
    <row r="725" spans="12:12" ht="15.75" customHeight="1">
      <c r="L725" s="273"/>
    </row>
    <row r="726" spans="12:12" ht="15.75" customHeight="1">
      <c r="L726" s="273"/>
    </row>
    <row r="727" spans="12:12" ht="15.75" customHeight="1">
      <c r="L727" s="273"/>
    </row>
    <row r="728" spans="12:12" ht="15.75" customHeight="1">
      <c r="L728" s="273"/>
    </row>
    <row r="729" spans="12:12" ht="15.75" customHeight="1">
      <c r="L729" s="273"/>
    </row>
    <row r="730" spans="12:12" ht="15.75" customHeight="1">
      <c r="L730" s="273"/>
    </row>
    <row r="731" spans="12:12" ht="15.75" customHeight="1">
      <c r="L731" s="273"/>
    </row>
    <row r="732" spans="12:12" ht="15.75" customHeight="1">
      <c r="L732" s="273"/>
    </row>
    <row r="733" spans="12:12" ht="15.75" customHeight="1">
      <c r="L733" s="273"/>
    </row>
    <row r="734" spans="12:12" ht="15.75" customHeight="1">
      <c r="L734" s="273"/>
    </row>
    <row r="735" spans="12:12" ht="15.75" customHeight="1">
      <c r="L735" s="273"/>
    </row>
    <row r="736" spans="12:12" ht="15.75" customHeight="1">
      <c r="L736" s="273"/>
    </row>
    <row r="737" spans="12:12" ht="15.75" customHeight="1">
      <c r="L737" s="273"/>
    </row>
    <row r="738" spans="12:12" ht="15.75" customHeight="1">
      <c r="L738" s="273"/>
    </row>
    <row r="739" spans="12:12" ht="15.75" customHeight="1">
      <c r="L739" s="273"/>
    </row>
    <row r="740" spans="12:12" ht="15.75" customHeight="1">
      <c r="L740" s="273"/>
    </row>
    <row r="741" spans="12:12" ht="15.75" customHeight="1">
      <c r="L741" s="273"/>
    </row>
    <row r="742" spans="12:12" ht="15.75" customHeight="1">
      <c r="L742" s="273"/>
    </row>
    <row r="743" spans="12:12" ht="15.75" customHeight="1">
      <c r="L743" s="273"/>
    </row>
    <row r="744" spans="12:12" ht="15.75" customHeight="1">
      <c r="L744" s="273"/>
    </row>
    <row r="745" spans="12:12" ht="15.75" customHeight="1">
      <c r="L745" s="273"/>
    </row>
    <row r="746" spans="12:12" ht="15.75" customHeight="1">
      <c r="L746" s="273"/>
    </row>
    <row r="747" spans="12:12" ht="15.75" customHeight="1">
      <c r="L747" s="273"/>
    </row>
    <row r="748" spans="12:12" ht="15.75" customHeight="1">
      <c r="L748" s="273"/>
    </row>
    <row r="749" spans="12:12" ht="15.75" customHeight="1">
      <c r="L749" s="273"/>
    </row>
    <row r="750" spans="12:12" ht="15.75" customHeight="1">
      <c r="L750" s="273"/>
    </row>
    <row r="751" spans="12:12" ht="15.75" customHeight="1">
      <c r="L751" s="273"/>
    </row>
    <row r="752" spans="12:12" ht="15.75" customHeight="1">
      <c r="L752" s="273"/>
    </row>
    <row r="753" spans="12:12" ht="15.75" customHeight="1">
      <c r="L753" s="273"/>
    </row>
    <row r="754" spans="12:12" ht="15.75" customHeight="1">
      <c r="L754" s="273"/>
    </row>
    <row r="755" spans="12:12" ht="15.75" customHeight="1">
      <c r="L755" s="273"/>
    </row>
    <row r="756" spans="12:12" ht="15.75" customHeight="1">
      <c r="L756" s="273"/>
    </row>
    <row r="757" spans="12:12" ht="15.75" customHeight="1">
      <c r="L757" s="273"/>
    </row>
    <row r="758" spans="12:12" ht="15.75" customHeight="1">
      <c r="L758" s="273"/>
    </row>
    <row r="759" spans="12:12" ht="15.75" customHeight="1">
      <c r="L759" s="273"/>
    </row>
    <row r="760" spans="12:12" ht="15.75" customHeight="1">
      <c r="L760" s="273"/>
    </row>
    <row r="761" spans="12:12" ht="15.75" customHeight="1">
      <c r="L761" s="273"/>
    </row>
    <row r="762" spans="12:12" ht="15.75" customHeight="1">
      <c r="L762" s="273"/>
    </row>
    <row r="763" spans="12:12" ht="15.75" customHeight="1">
      <c r="L763" s="273"/>
    </row>
    <row r="764" spans="12:12" ht="15.75" customHeight="1">
      <c r="L764" s="273"/>
    </row>
    <row r="765" spans="12:12" ht="15.75" customHeight="1">
      <c r="L765" s="273"/>
    </row>
    <row r="766" spans="12:12" ht="15.75" customHeight="1">
      <c r="L766" s="273"/>
    </row>
    <row r="767" spans="12:12" ht="15.75" customHeight="1">
      <c r="L767" s="273"/>
    </row>
    <row r="768" spans="12:12" ht="15.75" customHeight="1">
      <c r="L768" s="273"/>
    </row>
    <row r="769" spans="12:12" ht="15.75" customHeight="1">
      <c r="L769" s="273"/>
    </row>
    <row r="770" spans="12:12" ht="15.75" customHeight="1">
      <c r="L770" s="273"/>
    </row>
    <row r="771" spans="12:12" ht="15.75" customHeight="1">
      <c r="L771" s="273"/>
    </row>
    <row r="772" spans="12:12" ht="15.75" customHeight="1">
      <c r="L772" s="273"/>
    </row>
    <row r="773" spans="12:12" ht="15.75" customHeight="1">
      <c r="L773" s="273"/>
    </row>
    <row r="774" spans="12:12" ht="15.75" customHeight="1">
      <c r="L774" s="273"/>
    </row>
    <row r="775" spans="12:12" ht="15.75" customHeight="1">
      <c r="L775" s="273"/>
    </row>
    <row r="776" spans="12:12" ht="15.75" customHeight="1">
      <c r="L776" s="273"/>
    </row>
    <row r="777" spans="12:12" ht="15.75" customHeight="1">
      <c r="L777" s="273"/>
    </row>
    <row r="778" spans="12:12" ht="15.75" customHeight="1">
      <c r="L778" s="273"/>
    </row>
    <row r="779" spans="12:12" ht="15.75" customHeight="1">
      <c r="L779" s="273"/>
    </row>
    <row r="780" spans="12:12" ht="15.75" customHeight="1">
      <c r="L780" s="273"/>
    </row>
    <row r="781" spans="12:12" ht="15.75" customHeight="1">
      <c r="L781" s="273"/>
    </row>
    <row r="782" spans="12:12" ht="15.75" customHeight="1">
      <c r="L782" s="273"/>
    </row>
    <row r="783" spans="12:12" ht="15.75" customHeight="1">
      <c r="L783" s="273"/>
    </row>
    <row r="784" spans="12:12" ht="15.75" customHeight="1">
      <c r="L784" s="273"/>
    </row>
    <row r="785" spans="12:12" ht="15.75" customHeight="1">
      <c r="L785" s="273"/>
    </row>
    <row r="786" spans="12:12" ht="15.75" customHeight="1">
      <c r="L786" s="273"/>
    </row>
    <row r="787" spans="12:12" ht="15.75" customHeight="1">
      <c r="L787" s="273"/>
    </row>
    <row r="788" spans="12:12" ht="15.75" customHeight="1">
      <c r="L788" s="273"/>
    </row>
    <row r="789" spans="12:12" ht="15.75" customHeight="1">
      <c r="L789" s="273"/>
    </row>
    <row r="790" spans="12:12" ht="15.75" customHeight="1">
      <c r="L790" s="273"/>
    </row>
    <row r="791" spans="12:12" ht="15.75" customHeight="1">
      <c r="L791" s="273"/>
    </row>
    <row r="792" spans="12:12" ht="15.75" customHeight="1">
      <c r="L792" s="273"/>
    </row>
    <row r="793" spans="12:12" ht="15.75" customHeight="1">
      <c r="L793" s="273"/>
    </row>
    <row r="794" spans="12:12" ht="15.75" customHeight="1">
      <c r="L794" s="273"/>
    </row>
    <row r="795" spans="12:12" ht="15.75" customHeight="1">
      <c r="L795" s="273"/>
    </row>
    <row r="796" spans="12:12" ht="15.75" customHeight="1">
      <c r="L796" s="273"/>
    </row>
    <row r="797" spans="12:12" ht="15.75" customHeight="1">
      <c r="L797" s="273"/>
    </row>
    <row r="798" spans="12:12" ht="15.75" customHeight="1">
      <c r="L798" s="273"/>
    </row>
    <row r="799" spans="12:12" ht="15.75" customHeight="1">
      <c r="L799" s="273"/>
    </row>
    <row r="800" spans="12:12" ht="15.75" customHeight="1">
      <c r="L800" s="273"/>
    </row>
    <row r="801" spans="12:12" ht="15.75" customHeight="1">
      <c r="L801" s="273"/>
    </row>
    <row r="802" spans="12:12" ht="15.75" customHeight="1">
      <c r="L802" s="273"/>
    </row>
    <row r="803" spans="12:12" ht="15.75" customHeight="1">
      <c r="L803" s="273"/>
    </row>
    <row r="804" spans="12:12" ht="15.75" customHeight="1">
      <c r="L804" s="273"/>
    </row>
    <row r="805" spans="12:12" ht="15.75" customHeight="1">
      <c r="L805" s="273"/>
    </row>
    <row r="806" spans="12:12" ht="15.75" customHeight="1">
      <c r="L806" s="273"/>
    </row>
    <row r="807" spans="12:12" ht="15.75" customHeight="1">
      <c r="L807" s="273"/>
    </row>
    <row r="808" spans="12:12" ht="15.75" customHeight="1">
      <c r="L808" s="273"/>
    </row>
    <row r="809" spans="12:12" ht="15.75" customHeight="1">
      <c r="L809" s="273"/>
    </row>
    <row r="810" spans="12:12" ht="15.75" customHeight="1">
      <c r="L810" s="273"/>
    </row>
    <row r="811" spans="12:12" ht="15.75" customHeight="1">
      <c r="L811" s="273"/>
    </row>
    <row r="812" spans="12:12" ht="15.75" customHeight="1">
      <c r="L812" s="273"/>
    </row>
    <row r="813" spans="12:12" ht="15.75" customHeight="1">
      <c r="L813" s="273"/>
    </row>
    <row r="814" spans="12:12" ht="15.75" customHeight="1">
      <c r="L814" s="273"/>
    </row>
    <row r="815" spans="12:12" ht="15.75" customHeight="1">
      <c r="L815" s="273"/>
    </row>
    <row r="816" spans="12:12" ht="15.75" customHeight="1">
      <c r="L816" s="273"/>
    </row>
    <row r="817" spans="12:12" ht="15.75" customHeight="1">
      <c r="L817" s="273"/>
    </row>
    <row r="818" spans="12:12" ht="15.75" customHeight="1">
      <c r="L818" s="273"/>
    </row>
    <row r="819" spans="12:12" ht="15.75" customHeight="1">
      <c r="L819" s="273"/>
    </row>
    <row r="820" spans="12:12" ht="15.75" customHeight="1">
      <c r="L820" s="273"/>
    </row>
    <row r="821" spans="12:12" ht="15.75" customHeight="1">
      <c r="L821" s="273"/>
    </row>
    <row r="822" spans="12:12" ht="15.75" customHeight="1">
      <c r="L822" s="273"/>
    </row>
    <row r="823" spans="12:12" ht="15.75" customHeight="1">
      <c r="L823" s="273"/>
    </row>
    <row r="824" spans="12:12" ht="15.75" customHeight="1">
      <c r="L824" s="273"/>
    </row>
    <row r="825" spans="12:12" ht="15.75" customHeight="1">
      <c r="L825" s="273"/>
    </row>
    <row r="826" spans="12:12" ht="15.75" customHeight="1">
      <c r="L826" s="273"/>
    </row>
    <row r="827" spans="12:12" ht="15.75" customHeight="1">
      <c r="L827" s="273"/>
    </row>
    <row r="828" spans="12:12" ht="15.75" customHeight="1">
      <c r="L828" s="273"/>
    </row>
    <row r="829" spans="12:12" ht="15.75" customHeight="1">
      <c r="L829" s="273"/>
    </row>
    <row r="830" spans="12:12" ht="15.75" customHeight="1">
      <c r="L830" s="273"/>
    </row>
    <row r="831" spans="12:12" ht="15.75" customHeight="1">
      <c r="L831" s="273"/>
    </row>
    <row r="832" spans="12:12" ht="15.75" customHeight="1">
      <c r="L832" s="273"/>
    </row>
    <row r="833" spans="12:12" ht="15.75" customHeight="1">
      <c r="L833" s="273"/>
    </row>
    <row r="834" spans="12:12" ht="15.75" customHeight="1">
      <c r="L834" s="273"/>
    </row>
    <row r="835" spans="12:12" ht="15.75" customHeight="1">
      <c r="L835" s="273"/>
    </row>
    <row r="836" spans="12:12" ht="15.75" customHeight="1">
      <c r="L836" s="273"/>
    </row>
    <row r="837" spans="12:12" ht="15.75" customHeight="1">
      <c r="L837" s="273"/>
    </row>
    <row r="838" spans="12:12" ht="15.75" customHeight="1">
      <c r="L838" s="273"/>
    </row>
    <row r="839" spans="12:12" ht="15.75" customHeight="1">
      <c r="L839" s="273"/>
    </row>
    <row r="840" spans="12:12" ht="15.75" customHeight="1">
      <c r="L840" s="273"/>
    </row>
    <row r="841" spans="12:12" ht="15.75" customHeight="1">
      <c r="L841" s="273"/>
    </row>
    <row r="842" spans="12:12" ht="15.75" customHeight="1">
      <c r="L842" s="273"/>
    </row>
    <row r="843" spans="12:12" ht="15.75" customHeight="1">
      <c r="L843" s="273"/>
    </row>
    <row r="844" spans="12:12" ht="15.75" customHeight="1">
      <c r="L844" s="273"/>
    </row>
    <row r="845" spans="12:12" ht="15.75" customHeight="1">
      <c r="L845" s="273"/>
    </row>
    <row r="846" spans="12:12" ht="15.75" customHeight="1">
      <c r="L846" s="273"/>
    </row>
    <row r="847" spans="12:12" ht="15.75" customHeight="1">
      <c r="L847" s="273"/>
    </row>
    <row r="848" spans="12:12" ht="15.75" customHeight="1">
      <c r="L848" s="273"/>
    </row>
    <row r="849" spans="12:12" ht="15.75" customHeight="1">
      <c r="L849" s="273"/>
    </row>
    <row r="850" spans="12:12" ht="15.75" customHeight="1">
      <c r="L850" s="273"/>
    </row>
    <row r="851" spans="12:12" ht="15.75" customHeight="1">
      <c r="L851" s="273"/>
    </row>
    <row r="852" spans="12:12" ht="15.75" customHeight="1">
      <c r="L852" s="273"/>
    </row>
    <row r="853" spans="12:12" ht="15.75" customHeight="1">
      <c r="L853" s="273"/>
    </row>
    <row r="854" spans="12:12" ht="15.75" customHeight="1">
      <c r="L854" s="273"/>
    </row>
    <row r="855" spans="12:12" ht="15.75" customHeight="1">
      <c r="L855" s="273"/>
    </row>
    <row r="856" spans="12:12" ht="15.75" customHeight="1">
      <c r="L856" s="273"/>
    </row>
    <row r="857" spans="12:12" ht="15.75" customHeight="1">
      <c r="L857" s="273"/>
    </row>
    <row r="858" spans="12:12" ht="15.75" customHeight="1">
      <c r="L858" s="273"/>
    </row>
    <row r="859" spans="12:12" ht="15.75" customHeight="1">
      <c r="L859" s="273"/>
    </row>
    <row r="860" spans="12:12" ht="15.75" customHeight="1">
      <c r="L860" s="273"/>
    </row>
    <row r="861" spans="12:12" ht="15.75" customHeight="1">
      <c r="L861" s="273"/>
    </row>
    <row r="862" spans="12:12" ht="15.75" customHeight="1">
      <c r="L862" s="273"/>
    </row>
    <row r="863" spans="12:12" ht="15.75" customHeight="1">
      <c r="L863" s="273"/>
    </row>
    <row r="864" spans="12:12" ht="15.75" customHeight="1">
      <c r="L864" s="273"/>
    </row>
    <row r="865" spans="12:12" ht="15.75" customHeight="1">
      <c r="L865" s="273"/>
    </row>
    <row r="866" spans="12:12" ht="15.75" customHeight="1">
      <c r="L866" s="273"/>
    </row>
    <row r="867" spans="12:12" ht="15.75" customHeight="1">
      <c r="L867" s="273"/>
    </row>
    <row r="868" spans="12:12" ht="15.75" customHeight="1">
      <c r="L868" s="273"/>
    </row>
    <row r="869" spans="12:12" ht="15.75" customHeight="1">
      <c r="L869" s="273"/>
    </row>
    <row r="870" spans="12:12" ht="15.75" customHeight="1">
      <c r="L870" s="273"/>
    </row>
    <row r="871" spans="12:12" ht="15.75" customHeight="1">
      <c r="L871" s="273"/>
    </row>
    <row r="872" spans="12:12" ht="15.75" customHeight="1">
      <c r="L872" s="273"/>
    </row>
    <row r="873" spans="12:12" ht="15.75" customHeight="1">
      <c r="L873" s="273"/>
    </row>
    <row r="874" spans="12:12" ht="15.75" customHeight="1">
      <c r="L874" s="273"/>
    </row>
    <row r="875" spans="12:12" ht="15.75" customHeight="1">
      <c r="L875" s="273"/>
    </row>
    <row r="876" spans="12:12" ht="15.75" customHeight="1">
      <c r="L876" s="273"/>
    </row>
    <row r="877" spans="12:12" ht="15.75" customHeight="1">
      <c r="L877" s="273"/>
    </row>
    <row r="878" spans="12:12" ht="15.75" customHeight="1">
      <c r="L878" s="273"/>
    </row>
    <row r="879" spans="12:12" ht="15.75" customHeight="1">
      <c r="L879" s="273"/>
    </row>
    <row r="880" spans="12:12" ht="15.75" customHeight="1">
      <c r="L880" s="273"/>
    </row>
    <row r="881" spans="12:12" ht="15.75" customHeight="1">
      <c r="L881" s="273"/>
    </row>
    <row r="882" spans="12:12" ht="15.75" customHeight="1">
      <c r="L882" s="273"/>
    </row>
    <row r="883" spans="12:12" ht="15.75" customHeight="1">
      <c r="L883" s="273"/>
    </row>
    <row r="884" spans="12:12" ht="15.75" customHeight="1">
      <c r="L884" s="273"/>
    </row>
    <row r="885" spans="12:12" ht="15.75" customHeight="1">
      <c r="L885" s="273"/>
    </row>
    <row r="886" spans="12:12" ht="15.75" customHeight="1">
      <c r="L886" s="273"/>
    </row>
    <row r="887" spans="12:12" ht="15.75" customHeight="1">
      <c r="L887" s="273"/>
    </row>
    <row r="888" spans="12:12" ht="15.75" customHeight="1">
      <c r="L888" s="273"/>
    </row>
    <row r="889" spans="12:12" ht="15.75" customHeight="1">
      <c r="L889" s="273"/>
    </row>
    <row r="890" spans="12:12" ht="15.75" customHeight="1">
      <c r="L890" s="273"/>
    </row>
    <row r="891" spans="12:12" ht="15.75" customHeight="1">
      <c r="L891" s="273"/>
    </row>
    <row r="892" spans="12:12" ht="15.75" customHeight="1">
      <c r="L892" s="273"/>
    </row>
    <row r="893" spans="12:12" ht="15.75" customHeight="1">
      <c r="L893" s="273"/>
    </row>
    <row r="894" spans="12:12" ht="15.75" customHeight="1">
      <c r="L894" s="273"/>
    </row>
    <row r="895" spans="12:12" ht="15.75" customHeight="1">
      <c r="L895" s="273"/>
    </row>
    <row r="896" spans="12:12" ht="15.75" customHeight="1">
      <c r="L896" s="273"/>
    </row>
    <row r="897" spans="12:12" ht="15.75" customHeight="1">
      <c r="L897" s="273"/>
    </row>
    <row r="898" spans="12:12" ht="15.75" customHeight="1">
      <c r="L898" s="273"/>
    </row>
    <row r="899" spans="12:12" ht="15.75" customHeight="1">
      <c r="L899" s="273"/>
    </row>
    <row r="900" spans="12:12" ht="15.75" customHeight="1">
      <c r="L900" s="273"/>
    </row>
    <row r="901" spans="12:12" ht="15.75" customHeight="1">
      <c r="L901" s="273"/>
    </row>
    <row r="902" spans="12:12" ht="15.75" customHeight="1">
      <c r="L902" s="273"/>
    </row>
    <row r="903" spans="12:12" ht="15.75" customHeight="1">
      <c r="L903" s="273"/>
    </row>
    <row r="904" spans="12:12" ht="15.75" customHeight="1">
      <c r="L904" s="273"/>
    </row>
    <row r="905" spans="12:12" ht="15.75" customHeight="1">
      <c r="L905" s="273"/>
    </row>
    <row r="906" spans="12:12" ht="15.75" customHeight="1">
      <c r="L906" s="273"/>
    </row>
    <row r="907" spans="12:12" ht="15.75" customHeight="1">
      <c r="L907" s="273"/>
    </row>
    <row r="908" spans="12:12" ht="15.75" customHeight="1">
      <c r="L908" s="273"/>
    </row>
    <row r="909" spans="12:12" ht="15.75" customHeight="1">
      <c r="L909" s="273"/>
    </row>
    <row r="910" spans="12:12" ht="15.75" customHeight="1">
      <c r="L910" s="273"/>
    </row>
    <row r="911" spans="12:12" ht="15.75" customHeight="1">
      <c r="L911" s="273"/>
    </row>
    <row r="912" spans="12:12" ht="15.75" customHeight="1">
      <c r="L912" s="273"/>
    </row>
    <row r="913" spans="12:12" ht="15.75" customHeight="1">
      <c r="L913" s="273"/>
    </row>
    <row r="914" spans="12:12" ht="15.75" customHeight="1">
      <c r="L914" s="273"/>
    </row>
    <row r="915" spans="12:12" ht="15.75" customHeight="1">
      <c r="L915" s="273"/>
    </row>
    <row r="916" spans="12:12" ht="15.75" customHeight="1">
      <c r="L916" s="273"/>
    </row>
    <row r="917" spans="12:12" ht="15.75" customHeight="1">
      <c r="L917" s="273"/>
    </row>
    <row r="918" spans="12:12" ht="15.75" customHeight="1">
      <c r="L918" s="273"/>
    </row>
    <row r="919" spans="12:12" ht="15.75" customHeight="1">
      <c r="L919" s="273"/>
    </row>
    <row r="920" spans="12:12" ht="15.75" customHeight="1">
      <c r="L920" s="273"/>
    </row>
    <row r="921" spans="12:12" ht="15.75" customHeight="1">
      <c r="L921" s="273"/>
    </row>
    <row r="922" spans="12:12" ht="15.75" customHeight="1">
      <c r="L922" s="273"/>
    </row>
    <row r="923" spans="12:12" ht="15.75" customHeight="1">
      <c r="L923" s="273"/>
    </row>
    <row r="924" spans="12:12" ht="15.75" customHeight="1">
      <c r="L924" s="273"/>
    </row>
    <row r="925" spans="12:12" ht="15.75" customHeight="1">
      <c r="L925" s="273"/>
    </row>
    <row r="926" spans="12:12" ht="15.75" customHeight="1">
      <c r="L926" s="273"/>
    </row>
    <row r="927" spans="12:12" ht="15.75" customHeight="1">
      <c r="L927" s="273"/>
    </row>
    <row r="928" spans="12:12" ht="15.75" customHeight="1">
      <c r="L928" s="273"/>
    </row>
    <row r="929" spans="12:12" ht="15.75" customHeight="1">
      <c r="L929" s="273"/>
    </row>
    <row r="930" spans="12:12" ht="15.75" customHeight="1">
      <c r="L930" s="273"/>
    </row>
    <row r="931" spans="12:12" ht="15.75" customHeight="1">
      <c r="L931" s="273"/>
    </row>
    <row r="932" spans="12:12" ht="15.75" customHeight="1">
      <c r="L932" s="273"/>
    </row>
    <row r="933" spans="12:12" ht="15.75" customHeight="1">
      <c r="L933" s="273"/>
    </row>
    <row r="934" spans="12:12" ht="15.75" customHeight="1">
      <c r="L934" s="273"/>
    </row>
    <row r="935" spans="12:12" ht="15.75" customHeight="1">
      <c r="L935" s="273"/>
    </row>
    <row r="936" spans="12:12" ht="15.75" customHeight="1">
      <c r="L936" s="273"/>
    </row>
    <row r="937" spans="12:12" ht="15.75" customHeight="1">
      <c r="L937" s="273"/>
    </row>
    <row r="938" spans="12:12" ht="15.75" customHeight="1">
      <c r="L938" s="273"/>
    </row>
    <row r="939" spans="12:12" ht="15.75" customHeight="1">
      <c r="L939" s="273"/>
    </row>
    <row r="940" spans="12:12" ht="15.75" customHeight="1">
      <c r="L940" s="273"/>
    </row>
    <row r="941" spans="12:12" ht="15.75" customHeight="1">
      <c r="L941" s="273"/>
    </row>
    <row r="942" spans="12:12" ht="15.75" customHeight="1">
      <c r="L942" s="273"/>
    </row>
    <row r="943" spans="12:12" ht="15.75" customHeight="1">
      <c r="L943" s="273"/>
    </row>
    <row r="944" spans="12:12" ht="15.75" customHeight="1">
      <c r="L944" s="273"/>
    </row>
    <row r="945" spans="12:12" ht="15.75" customHeight="1">
      <c r="L945" s="273"/>
    </row>
    <row r="946" spans="12:12" ht="15.75" customHeight="1">
      <c r="L946" s="273"/>
    </row>
    <row r="947" spans="12:12" ht="15.75" customHeight="1">
      <c r="L947" s="273"/>
    </row>
    <row r="948" spans="12:12" ht="15.75" customHeight="1">
      <c r="L948" s="273"/>
    </row>
    <row r="949" spans="12:12" ht="15.75" customHeight="1">
      <c r="L949" s="273"/>
    </row>
    <row r="950" spans="12:12" ht="15.75" customHeight="1">
      <c r="L950" s="273"/>
    </row>
    <row r="951" spans="12:12" ht="15.75" customHeight="1">
      <c r="L951" s="273"/>
    </row>
    <row r="952" spans="12:12" ht="15.75" customHeight="1">
      <c r="L952" s="273"/>
    </row>
    <row r="953" spans="12:12" ht="15.75" customHeight="1">
      <c r="L953" s="273"/>
    </row>
    <row r="954" spans="12:12" ht="15.75" customHeight="1">
      <c r="L954" s="273"/>
    </row>
    <row r="955" spans="12:12" ht="15.75" customHeight="1">
      <c r="L955" s="273"/>
    </row>
    <row r="956" spans="12:12" ht="15.75" customHeight="1">
      <c r="L956" s="273"/>
    </row>
    <row r="957" spans="12:12" ht="15.75" customHeight="1">
      <c r="L957" s="273"/>
    </row>
    <row r="958" spans="12:12" ht="15.75" customHeight="1">
      <c r="L958" s="273"/>
    </row>
    <row r="959" spans="12:12" ht="15.75" customHeight="1">
      <c r="L959" s="273"/>
    </row>
    <row r="960" spans="12:12" ht="15.75" customHeight="1">
      <c r="L960" s="273"/>
    </row>
    <row r="961" spans="12:12" ht="15.75" customHeight="1">
      <c r="L961" s="273"/>
    </row>
    <row r="962" spans="12:12" ht="15.75" customHeight="1">
      <c r="L962" s="273"/>
    </row>
    <row r="963" spans="12:12" ht="15.75" customHeight="1">
      <c r="L963" s="273"/>
    </row>
    <row r="964" spans="12:12" ht="15.75" customHeight="1">
      <c r="L964" s="273"/>
    </row>
    <row r="965" spans="12:12" ht="15.75" customHeight="1">
      <c r="L965" s="273"/>
    </row>
    <row r="966" spans="12:12" ht="15.75" customHeight="1">
      <c r="L966" s="273"/>
    </row>
    <row r="967" spans="12:12" ht="15.75" customHeight="1">
      <c r="L967" s="273"/>
    </row>
    <row r="968" spans="12:12" ht="15.75" customHeight="1">
      <c r="L968" s="273"/>
    </row>
    <row r="969" spans="12:12" ht="15.75" customHeight="1">
      <c r="L969" s="273"/>
    </row>
    <row r="970" spans="12:12" ht="15.75" customHeight="1">
      <c r="L970" s="273"/>
    </row>
    <row r="971" spans="12:12" ht="15.75" customHeight="1">
      <c r="L971" s="273"/>
    </row>
    <row r="972" spans="12:12" ht="15.75" customHeight="1">
      <c r="L972" s="273"/>
    </row>
    <row r="973" spans="12:12" ht="15.75" customHeight="1">
      <c r="L973" s="273"/>
    </row>
    <row r="974" spans="12:12" ht="15.75" customHeight="1">
      <c r="L974" s="273"/>
    </row>
    <row r="975" spans="12:12" ht="15.75" customHeight="1">
      <c r="L975" s="273"/>
    </row>
    <row r="976" spans="12:12" ht="15.75" customHeight="1">
      <c r="L976" s="273"/>
    </row>
    <row r="977" spans="12:12" ht="15.75" customHeight="1">
      <c r="L977" s="273"/>
    </row>
    <row r="978" spans="12:12" ht="15.75" customHeight="1">
      <c r="L978" s="273"/>
    </row>
    <row r="979" spans="12:12" ht="15.75" customHeight="1">
      <c r="L979" s="273"/>
    </row>
    <row r="980" spans="12:12" ht="15.75" customHeight="1">
      <c r="L980" s="273"/>
    </row>
    <row r="981" spans="12:12" ht="15.75" customHeight="1">
      <c r="L981" s="273"/>
    </row>
    <row r="982" spans="12:12" ht="15.75" customHeight="1">
      <c r="L982" s="273"/>
    </row>
    <row r="983" spans="12:12" ht="15.75" customHeight="1">
      <c r="L983" s="273"/>
    </row>
    <row r="984" spans="12:12" ht="15.75" customHeight="1">
      <c r="L984" s="273"/>
    </row>
    <row r="985" spans="12:12" ht="15.75" customHeight="1">
      <c r="L985" s="273"/>
    </row>
    <row r="986" spans="12:12" ht="15.75" customHeight="1">
      <c r="L986" s="273"/>
    </row>
    <row r="987" spans="12:12" ht="15.75" customHeight="1">
      <c r="L987" s="273"/>
    </row>
    <row r="988" spans="12:12" ht="15.75" customHeight="1">
      <c r="L988" s="273"/>
    </row>
    <row r="989" spans="12:12" ht="15.75" customHeight="1">
      <c r="L989" s="273"/>
    </row>
    <row r="990" spans="12:12" ht="15.75" customHeight="1">
      <c r="L990" s="273"/>
    </row>
    <row r="991" spans="12:12" ht="15.75" customHeight="1">
      <c r="L991" s="273"/>
    </row>
    <row r="992" spans="12:12" ht="15.75" customHeight="1">
      <c r="L992" s="273"/>
    </row>
    <row r="993" spans="12:12" ht="15.75" customHeight="1">
      <c r="L993" s="273"/>
    </row>
    <row r="994" spans="12:12" ht="15.75" customHeight="1">
      <c r="L994" s="273"/>
    </row>
    <row r="995" spans="12:12" ht="15.75" customHeight="1">
      <c r="L995" s="273"/>
    </row>
    <row r="996" spans="12:12" ht="15.75" customHeight="1">
      <c r="L996" s="273"/>
    </row>
    <row r="997" spans="12:12" ht="15.75" customHeight="1">
      <c r="L997" s="273"/>
    </row>
    <row r="998" spans="12:12" ht="15.75" customHeight="1">
      <c r="L998" s="273"/>
    </row>
    <row r="999" spans="12:12" ht="15.75" customHeight="1">
      <c r="L999" s="273"/>
    </row>
    <row r="1000" spans="12:12" ht="15.75" customHeight="1">
      <c r="L1000" s="273"/>
    </row>
    <row r="1001" spans="12:12" ht="15.75" customHeight="1">
      <c r="L1001" s="273"/>
    </row>
    <row r="1002" spans="12:12" ht="15.75" customHeight="1">
      <c r="L1002" s="273"/>
    </row>
    <row r="1003" spans="12:12" ht="15.75" customHeight="1">
      <c r="L1003" s="273"/>
    </row>
    <row r="1004" spans="12:12" ht="15.75" customHeight="1">
      <c r="L1004" s="273"/>
    </row>
    <row r="1005" spans="12:12" ht="15.75" customHeight="1">
      <c r="L1005" s="273"/>
    </row>
    <row r="1006" spans="12:12" ht="15.75" customHeight="1">
      <c r="L1006" s="273"/>
    </row>
    <row r="1007" spans="12:12" ht="15.75" customHeight="1">
      <c r="L1007" s="273"/>
    </row>
    <row r="1008" spans="12:12" ht="15.75" customHeight="1">
      <c r="L1008" s="273"/>
    </row>
    <row r="1009" spans="12:12" ht="15.75" customHeight="1">
      <c r="L1009" s="273"/>
    </row>
    <row r="1010" spans="12:12" ht="15.75" customHeight="1">
      <c r="L1010" s="273"/>
    </row>
    <row r="1011" spans="12:12" ht="15.75" customHeight="1">
      <c r="L1011" s="273"/>
    </row>
    <row r="1012" spans="12:12" ht="15.75" customHeight="1">
      <c r="L1012" s="273"/>
    </row>
    <row r="1013" spans="12:12" ht="15.75" customHeight="1">
      <c r="L1013" s="273"/>
    </row>
    <row r="1014" spans="12:12" ht="15.75" customHeight="1">
      <c r="L1014" s="273"/>
    </row>
    <row r="1015" spans="12:12" ht="15.75" customHeight="1">
      <c r="L1015" s="273"/>
    </row>
  </sheetData>
  <mergeCells count="55">
    <mergeCell ref="D25:J25"/>
    <mergeCell ref="D26:J26"/>
    <mergeCell ref="D27:J27"/>
    <mergeCell ref="D28:J28"/>
    <mergeCell ref="D29:J29"/>
    <mergeCell ref="D30:J30"/>
    <mergeCell ref="D39:J39"/>
    <mergeCell ref="C45:G45"/>
    <mergeCell ref="D31:J31"/>
    <mergeCell ref="D32:J32"/>
    <mergeCell ref="D33:J33"/>
    <mergeCell ref="D34:J34"/>
    <mergeCell ref="D35:J35"/>
    <mergeCell ref="D36:J36"/>
    <mergeCell ref="D38:J38"/>
    <mergeCell ref="A1:W1"/>
    <mergeCell ref="A2:W2"/>
    <mergeCell ref="J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J4:K4"/>
    <mergeCell ref="L4:M4"/>
    <mergeCell ref="X4:Y4"/>
    <mergeCell ref="Z4:AA4"/>
    <mergeCell ref="AB4:AC4"/>
    <mergeCell ref="Q23:R23"/>
    <mergeCell ref="N24:O24"/>
    <mergeCell ref="X24:Y24"/>
    <mergeCell ref="A5:A8"/>
    <mergeCell ref="H5:J6"/>
    <mergeCell ref="L5:N6"/>
    <mergeCell ref="A9:A10"/>
    <mergeCell ref="E9:G10"/>
    <mergeCell ref="H9:J10"/>
    <mergeCell ref="L9:M10"/>
    <mergeCell ref="N9:U10"/>
    <mergeCell ref="O5:Q6"/>
    <mergeCell ref="R5:T6"/>
    <mergeCell ref="B24:J24"/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</mergeCells>
  <pageMargins left="0.25" right="0.25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ปี1 (รหัส68) เทอม1-68 (56)</vt:lpstr>
      <vt:lpstr>ปี2 (รหัส67) เทอม1-68 (55)</vt:lpstr>
      <vt:lpstr>ปี3 (รหัส66) เทอม1-68 (66)</vt:lpstr>
      <vt:lpstr>สำเนาของ ปี2 (รหัส66) เทอม1-67 </vt:lpstr>
      <vt:lpstr>สำเนาของ ปี3 (รหัส65) เทอม1-67 </vt:lpstr>
      <vt:lpstr>ตารางเปรียบเทียบเวลาเรียน</vt:lpstr>
      <vt:lpstr>ปี4 (รหัส65) เทอม1-68 (48)</vt:lpstr>
      <vt:lpstr>Workload</vt:lpstr>
      <vt:lpstr>DG2562V1.2Courses</vt:lpstr>
      <vt:lpstr>DG2562V1.1Courses</vt:lpstr>
      <vt:lpstr>สำเนาของ  เทอม 1-65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2026-05-29T04:09:21Z</dcterms:modified>
</cp:coreProperties>
</file>