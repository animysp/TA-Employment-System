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311" documentId="11_50D7430DCBC59E757406C250A3A1F2C7CC7710AA" xr6:coauthVersionLast="47" xr6:coauthVersionMax="47" xr10:uidLastSave="{8D72D5EC-BC85-734B-B119-2FBF1ABC2DF1}"/>
  <bookViews>
    <workbookView xWindow="0" yWindow="1580" windowWidth="36000" windowHeight="21000" activeTab="7" xr2:uid="{00000000-000D-0000-FFFF-FFFF00000000}"/>
  </bookViews>
  <sheets>
    <sheet name="ปี1 (รหัส69) เทอม1-69 (56)" sheetId="1" r:id="rId1"/>
    <sheet name="ปี2 (รหัส68) เทอม1-69 (55)" sheetId="2" r:id="rId2"/>
    <sheet name="ปี3 (รหัส67) เทอม1-69 (56)" sheetId="3" r:id="rId3"/>
    <sheet name="ปี4 (รหัส66) เทอม1-69 (48)" sheetId="4" r:id="rId4"/>
    <sheet name="Workload" sheetId="5" r:id="rId5"/>
    <sheet name="DG2562V1.2Courses" sheetId="6" r:id="rId6"/>
    <sheet name="DG2562V1.1Courses" sheetId="7" r:id="rId7"/>
    <sheet name="ตารางเปรียบเทียบเวลาเรียน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5" l="1"/>
  <c r="Q6" i="5" s="1"/>
  <c r="P4" i="5"/>
  <c r="P6" i="5" s="1"/>
  <c r="O4" i="5"/>
  <c r="O6" i="5" s="1"/>
  <c r="N4" i="5"/>
  <c r="N6" i="5" s="1"/>
  <c r="M4" i="5"/>
  <c r="M6" i="5" s="1"/>
  <c r="L4" i="5"/>
  <c r="L6" i="5" s="1"/>
  <c r="K4" i="5"/>
  <c r="K6" i="5" s="1"/>
  <c r="J4" i="5"/>
  <c r="J6" i="5" s="1"/>
  <c r="K32" i="4"/>
  <c r="D45" i="3"/>
  <c r="J37" i="3"/>
  <c r="L13" i="3"/>
  <c r="L5" i="3"/>
  <c r="D32" i="2"/>
  <c r="K30" i="2"/>
  <c r="D30" i="2"/>
  <c r="K29" i="2"/>
  <c r="D29" i="2"/>
  <c r="K28" i="2"/>
  <c r="D28" i="2"/>
  <c r="K27" i="2"/>
  <c r="D27" i="2"/>
  <c r="K26" i="2"/>
  <c r="D26" i="2"/>
  <c r="K25" i="2"/>
  <c r="D25" i="2"/>
  <c r="K33" i="1"/>
  <c r="D33" i="1"/>
  <c r="K32" i="1"/>
  <c r="D32" i="1"/>
  <c r="K31" i="1"/>
  <c r="D31" i="1"/>
  <c r="K30" i="1"/>
  <c r="D30" i="1"/>
  <c r="K29" i="1"/>
  <c r="D29" i="1"/>
  <c r="K28" i="1"/>
  <c r="K35" i="1" l="1"/>
  <c r="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5" authorId="0" shapeId="0" xr:uid="{00000000-0006-0000-0000-000001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9" authorId="0" shapeId="0" xr:uid="{00000000-0006-0000-0000-000002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0" authorId="0" shapeId="0" xr:uid="{00000000-0006-0000-0000-000003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1" authorId="0" shapeId="0" xr:uid="{00000000-0006-0000-0000-000004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5" authorId="0" shapeId="0" xr:uid="{00000000-0006-0000-01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sharedStrings.xml><?xml version="1.0" encoding="utf-8"?>
<sst xmlns="http://schemas.openxmlformats.org/spreadsheetml/2006/main" count="856" uniqueCount="470">
  <si>
    <t>ตารางเรียนสาขาวิชาดิจิทัลเกม สำหรับนักศึกษาชั้นปีที่ 1 (รหัส69)</t>
  </si>
  <si>
    <t>ภาคการศึกษาที่ 1 ปีการศึกษา 2569</t>
  </si>
  <si>
    <t>(จำนวนนักศึกษา 56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</si>
  <si>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</si>
  <si>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</si>
  <si>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</si>
  <si>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</si>
  <si>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</si>
  <si>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</si>
  <si>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</si>
  <si>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</si>
  <si>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</si>
  <si>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</si>
  <si>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</si>
  <si>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</si>
  <si>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</si>
  <si>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</si>
  <si>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>/001
COMP &amp; PROGRAM FOR GAME 1
30 คน
อ.นพพล 
ห้อง Lecture : C301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</si>
  <si>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/001 
COMP &amp; PROGRAM FOR GAME 1
อ.นพพล 
(ห้อง LAB : C305) </t>
    </r>
    <r>
      <rPr>
        <sz val="11"/>
        <color rgb="FF980000"/>
        <rFont val="Sarabun"/>
        <family val="2"/>
        <charset val="222"/>
      </rPr>
      <t xml:space="preserve">
</t>
    </r>
  </si>
  <si>
    <t>958113/002 (Lecture)  
Logical Thinking for Game Development 
30 คน
ผศ.ดร.สุมาลี 
เรียนห้อง Lecture ห้องเล็ก  หรือห้อง   Lab  ก็ได้
B 207/C307</t>
  </si>
  <si>
    <t>958113/002 (Lab)    
Logical Thinking for Game Development 
30 คน
ผศ.ดร.สุมาลี 
เรียนห้อง Lab
C307</t>
  </si>
  <si>
    <t>tuesday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</si>
  <si>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</si>
  <si>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</si>
  <si>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>/001
Introduction to Digital Games
30 คน
ผศ.ดร.ธีรวัฒน์
B 207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</si>
  <si>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/002
Introduction to Digital Games
30 คน
อ.ดร.ศุภรา
B208 
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</si>
  <si>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/003
Introduction to Digital Games
20 คน
อ.ดร.ศุภรา </t>
    </r>
    <r>
      <rPr>
        <sz val="11"/>
        <color rgb="FF980000"/>
        <rFont val="Sarabun"/>
        <family val="2"/>
        <charset val="222"/>
      </rPr>
      <t>(หารือกับ อ.มอง ให้กำหนดวันเวลาที่ไม่ทับซ้อนกันกับการเรียนการสอนของ Sec.002)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 xml:space="preserve">B 209 </t>
    </r>
    <r>
      <rPr>
        <sz val="11"/>
        <color rgb="FF000000"/>
        <rFont val="Sarabun"/>
        <family val="2"/>
        <charset val="222"/>
      </rPr>
      <t xml:space="preserve">TBA
</t>
    </r>
    <r>
      <rPr>
        <sz val="11"/>
        <color rgb="FF0000FF"/>
        <rFont val="Sarabun"/>
        <family val="2"/>
        <charset val="222"/>
      </rPr>
      <t>โครงการ Global Game Micro Degree Program ร่วมกับ Chung-Ang University ประเทศเกาหลีใต้</t>
    </r>
  </si>
  <si>
    <t>wednesday</t>
  </si>
  <si>
    <t>thursday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</si>
  <si>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</si>
  <si>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</si>
  <si>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t>958111/002
COMP &amp; PROGRAM FOR GAME 1
30 คน
อ.นพพล 
ห้อง Lecture : C301</t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</si>
  <si>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/002 
COMP &amp; PROGRAM FOR GAME 1
อ.นพพล
(ห้อง LAB : C305) </t>
    </r>
  </si>
  <si>
    <t>958113/001 (Lecture)  
Logical Thinking for Game Development 
ผศ.ดร.สุมาลี 
เรียนห้อง Lecture ห้องเล็ก หรือห้อง   Lab  ก็ได้
B207/ C307</t>
  </si>
  <si>
    <t>958113/001 (Lab)    
Logical Thinking for Game Development 
ผศ.ดร.สุมาลี 
เรียนห้อง Lab
C307</t>
  </si>
  <si>
    <t>Friday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</si>
  <si>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</si>
  <si>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</si>
  <si>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t>ถาม อ.เอม อีกที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</si>
  <si>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</si>
  <si>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</si>
  <si>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</si>
  <si>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</si>
  <si>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</si>
  <si>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</si>
  <si>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</si>
  <si>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</si>
  <si>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</si>
  <si>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</si>
  <si>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</si>
  <si>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</si>
  <si>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</si>
  <si>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</si>
  <si>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</si>
  <si>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</si>
  <si>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</si>
  <si>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</si>
  <si>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</si>
  <si>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</si>
  <si>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</si>
  <si>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</si>
  <si>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</si>
  <si>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</si>
  <si>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</si>
  <si>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958102</t>
  </si>
  <si>
    <t>Introduction to Digital Games</t>
  </si>
  <si>
    <t>อ.ดร.ศุภรา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</si>
  <si>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</si>
  <si>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</si>
  <si>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</si>
  <si>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</si>
  <si>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</si>
  <si>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</si>
  <si>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</si>
  <si>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</si>
  <si>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</si>
  <si>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</si>
  <si>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(รหัส68)</t>
  </si>
  <si>
    <t>(จำนวนนักศึกษา 55 คน)</t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</si>
  <si>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40 คน</t>
    </r>
    <r>
      <rPr>
        <sz val="11"/>
        <color rgb="FF980000"/>
        <rFont val="Sarabun"/>
        <family val="2"/>
        <charset val="222"/>
      </rPr>
      <t xml:space="preserve"> เปลี่ยนเป็น 35 คน</t>
    </r>
    <r>
      <rPr>
        <sz val="11"/>
        <color rgb="FF000000"/>
        <rFont val="Sarabun"/>
        <family val="2"/>
        <charset val="222"/>
      </rPr>
      <t xml:space="preserve">
ผศ.ดร.กฤติยา 
(ฺB303)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</si>
  <si>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25 คน</t>
    </r>
    <r>
      <rPr>
        <sz val="11"/>
        <color rgb="FF000000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>เปลี่ยนเป็น 30 คน</t>
    </r>
    <r>
      <rPr>
        <sz val="11"/>
        <color rgb="FF000000"/>
        <rFont val="Sarabun"/>
        <family val="2"/>
        <charset val="222"/>
      </rPr>
      <t xml:space="preserve">
ผศ.ดร.กฤติยา 
(ฺC301)</t>
    </r>
  </si>
  <si>
    <t>ฺ</t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</si>
  <si>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</si>
  <si>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r>
      <rPr>
        <sz val="11"/>
        <color rgb="FF000000"/>
        <rFont val="Sarabun"/>
        <family val="2"/>
        <charset val="222"/>
      </rPr>
      <t>958225 
Digital Game Production
sec.001
(อ.นพพล)
Lec. ห้อง ILC - B302 และ Lab</t>
    </r>
    <r>
      <rPr>
        <sz val="11"/>
        <color rgb="FF98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ได้ห้อง C308/ C309</t>
    </r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</si>
  <si>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40 คน
ผศ.ดร.กฤติยา 
(ฺB303 )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</si>
  <si>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25 คน
ผศ.ดร.กฤติยา 
(ฺC301)</t>
    </r>
  </si>
  <si>
    <r>
      <rPr>
        <sz val="11"/>
        <color rgb="FF000000"/>
        <rFont val="Sarabun"/>
        <family val="2"/>
        <charset val="222"/>
      </rP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</si>
  <si>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r>
      <rPr>
        <b/>
        <sz val="12"/>
        <color rgb="FF000000"/>
        <rFont val="Sarabun"/>
        <family val="2"/>
        <charset val="222"/>
      </rPr>
      <t xml:space="preserve">958221 
</t>
    </r>
    <r>
      <rPr>
        <sz val="12"/>
        <color rgb="FF000000"/>
        <rFont val="Sarabun"/>
        <family val="2"/>
        <charset val="222"/>
      </rPr>
      <t xml:space="preserve">เปิดเป็น 2 Sec. 001/002 
60 คน
ผศ.ดร.ปฏิสนธิ์
ห้อง </t>
    </r>
    <r>
      <rPr>
        <strike/>
        <sz val="12"/>
        <color rgb="FF000000"/>
        <rFont val="Sarabun"/>
        <family val="2"/>
        <charset val="222"/>
      </rPr>
      <t xml:space="preserve">Lec. b304+b306 </t>
    </r>
    <r>
      <rPr>
        <sz val="12"/>
        <color rgb="FF980000"/>
        <rFont val="Sarabun"/>
        <family val="2"/>
        <charset val="222"/>
      </rPr>
      <t>ไปห้อง B 302</t>
    </r>
    <r>
      <rPr>
        <sz val="12"/>
        <color rgb="FF000000"/>
        <rFont val="Sarabun"/>
        <family val="2"/>
        <charset val="222"/>
      </rPr>
      <t xml:space="preserve">
Lab. C308/C309</t>
    </r>
  </si>
  <si>
    <r>
      <rPr>
        <b/>
        <sz val="12"/>
        <color rgb="FF000000"/>
        <rFont val="Sarabun"/>
        <family val="2"/>
        <charset val="222"/>
      </rPr>
      <t>958221 เปิดเป็น 2 Sec.</t>
    </r>
    <r>
      <rPr>
        <sz val="12"/>
        <color rgb="FF000000"/>
        <rFont val="Sarabun"/>
        <family val="2"/>
        <charset val="222"/>
      </rPr>
      <t xml:space="preserve">001/002 ผศ.ดร.ปฏิสนธิ์ Lab.001 
ห้อง Lec. </t>
    </r>
    <r>
      <rPr>
        <strike/>
        <sz val="12"/>
        <color rgb="FF000000"/>
        <rFont val="Sarabun"/>
        <family val="2"/>
        <charset val="222"/>
      </rPr>
      <t>b304+b306</t>
    </r>
    <r>
      <rPr>
        <sz val="12"/>
        <color rgb="FF000000"/>
        <rFont val="Sarabun"/>
        <family val="2"/>
        <charset val="222"/>
      </rPr>
      <t xml:space="preserve"> </t>
    </r>
    <r>
      <rPr>
        <sz val="12"/>
        <color rgb="FF980000"/>
        <rFont val="Sarabun"/>
        <family val="2"/>
        <charset val="222"/>
      </rPr>
      <t>ไปห้อง B-302</t>
    </r>
    <r>
      <rPr>
        <sz val="12"/>
        <color rgb="FF000000"/>
        <rFont val="Sarabun"/>
        <family val="2"/>
        <charset val="222"/>
      </rPr>
      <t xml:space="preserve">
Lab. C308/C309
</t>
    </r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</si>
  <si>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</si>
  <si>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t>958205 
Basic Game Design
sec.001 (จำนวน 55 คน)
(อ.ดร.ศุภรา เป็นผู้สอน)
ILC- C208+209</t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</si>
  <si>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</si>
  <si>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</si>
  <si>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</si>
  <si>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</si>
  <si>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</si>
  <si>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</si>
  <si>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</si>
  <si>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</si>
  <si>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</si>
  <si>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</si>
  <si>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</si>
  <si>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</si>
  <si>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</si>
  <si>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</si>
  <si>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</si>
  <si>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</si>
  <si>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</si>
  <si>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</si>
  <si>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</si>
  <si>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</si>
  <si>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</si>
  <si>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</si>
  <si>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</si>
  <si>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</si>
  <si>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47 คน)                                </t>
  </si>
  <si>
    <r>
      <rPr>
        <b/>
        <sz val="11"/>
        <color rgb="FF000000"/>
        <rFont val="Sarabun"/>
        <family val="2"/>
        <charset val="222"/>
      </rPr>
      <t>958331 (Lec)/sec.001/002 จำนวน 60 คน</t>
    </r>
    <r>
      <rPr>
        <sz val="11"/>
        <color rgb="FF000000"/>
        <rFont val="Sarabun"/>
        <family val="2"/>
        <charset val="222"/>
      </rPr>
      <t xml:space="preserve">
Database and Network for Game Dev 
อ.ดร.สุมาลี  C208+ C209</t>
    </r>
  </si>
  <si>
    <r>
      <rPr>
        <b/>
        <sz val="11"/>
        <color rgb="FF000000"/>
        <rFont val="Sarabun"/>
        <family val="2"/>
        <charset val="222"/>
      </rPr>
      <t>958331 (Lab)/sec.001 จำนวน 60 คน</t>
    </r>
    <r>
      <rPr>
        <sz val="11"/>
        <color rgb="FF000000"/>
        <rFont val="Sarabun"/>
        <family val="2"/>
        <charset val="222"/>
      </rPr>
      <t xml:space="preserve">
Database and Network for Game Dev
อ.ดร.สุมาลี C208+ C209</t>
    </r>
  </si>
  <si>
    <r>
      <rPr>
        <b/>
        <sz val="11"/>
        <color rgb="FF000000"/>
        <rFont val="Sarabun"/>
        <family val="2"/>
        <charset val="222"/>
      </rPr>
      <t>958263</t>
    </r>
    <r>
      <rPr>
        <sz val="11"/>
        <color rgb="FF000000"/>
        <rFont val="Sarabun"/>
        <family val="2"/>
        <charset val="222"/>
      </rPr>
      <t xml:space="preserve">
3D Modeling for Game Dev 2                                              
อ.ดร.กลวัชร ILC- C205</t>
    </r>
  </si>
  <si>
    <t>958263
3D Modeling for Game Dev 2
อ.กลวัชร (Sec. 001, ILC - C205)</t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</si>
  <si>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>กระบวนวิชา 958481  (ตอนที่ 002)</t>
    </r>
    <r>
      <rPr>
        <strike/>
        <sz val="11"/>
        <color rgb="FF000000"/>
        <rFont val="Sarabun"/>
        <family val="2"/>
        <charset val="222"/>
      </rPr>
      <t xml:space="preserve">
 Sel Topic in Game  Dev1 ( prog patterns )
 อ.ดร.เกียรติกร (C309)  ย้ายไปห้อง C307</t>
    </r>
  </si>
  <si>
    <r>
      <rPr>
        <sz val="11"/>
        <color rgb="FF980000"/>
        <rFont val="Sarabun,Arial"/>
      </rPr>
      <t xml:space="preserve">(เอกเลือก)   </t>
    </r>
    <r>
      <rPr>
        <sz val="11"/>
        <color rgb="FF000000"/>
        <rFont val="Sarabun,Arial"/>
      </rPr>
      <t>ขวัญ PR ยังไม่ได้ติดต่อมาหา อ.จอห์น</t>
    </r>
    <r>
      <rPr>
        <sz val="11"/>
        <color rgb="FF980000"/>
        <rFont val="Sarabun,Arial"/>
      </rPr>
      <t xml:space="preserve">
</t>
    </r>
    <r>
      <rPr>
        <b/>
        <sz val="11"/>
        <color rgb="FF980000"/>
        <rFont val="Sarabun,Arial"/>
      </rPr>
      <t>958481/sec.006 เวลาเรียน และห้องเรียน TBA. จำนวน 15 คน</t>
    </r>
    <r>
      <rPr>
        <sz val="11"/>
        <color rgb="FF980000"/>
        <rFont val="Sarabun,Arial"/>
      </rPr>
      <t xml:space="preserve">
Sel Topic in Game Dev1 (E-sport management </t>
    </r>
    <r>
      <rPr>
        <sz val="11"/>
        <color rgb="FF274E13"/>
        <rFont val="Sarabun,Arial"/>
      </rPr>
      <t>or activity</t>
    </r>
    <r>
      <rPr>
        <sz val="11"/>
        <color rgb="FF980000"/>
        <rFont val="Sarabun,Arial"/>
      </rPr>
      <t xml:space="preserve">)   อ.ดร.เทพฤทธิ์ 
                             </t>
    </r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</si>
  <si>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 xml:space="preserve">958341  </t>
    </r>
    <r>
      <rPr>
        <strike/>
        <sz val="11"/>
        <color rgb="FF000000"/>
        <rFont val="Sarabun"/>
        <family val="2"/>
        <charset val="222"/>
      </rPr>
      <t xml:space="preserve">
Realistic Game Development
 อ.ดร.เกียรติกร (C309) </t>
    </r>
  </si>
  <si>
    <t>958321/001 (C203, C204-C206) 
Game Development 3
อ.ดร.เกียรติกร
 Sec 60 คน
ILC - C204+C206</t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</si>
  <si>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</t>
    </r>
    <r>
      <rPr>
        <strike/>
        <sz val="11"/>
        <color theme="1"/>
        <rFont val="Sarabun"/>
        <family val="2"/>
        <charset val="222"/>
      </rPr>
      <t xml:space="preserve">C305 </t>
    </r>
    <r>
      <rPr>
        <sz val="11"/>
        <color theme="1"/>
        <rFont val="Sarabun"/>
        <family val="2"/>
        <charset val="222"/>
      </rPr>
      <t xml:space="preserve">ได้ห้อง C307  จำนวน  30 คน
  Sel Topic in Game Dev1 (Adv UE)
 Unreal Engine5 อ.ดร.เทพฤทธิ์    
                             </t>
    </r>
  </si>
  <si>
    <r>
      <rPr>
        <sz val="11"/>
        <color rgb="FF000000"/>
        <rFont val="Sarabun"/>
        <family val="2"/>
        <charset val="222"/>
      </rPr>
      <t xml:space="preserve"> (เอกเลือก)   จำนวน 25 คน
 </t>
    </r>
    <r>
      <rPr>
        <b/>
        <sz val="11"/>
        <color rgb="FF000000"/>
        <rFont val="Sarabun"/>
        <family val="2"/>
        <charset val="222"/>
      </rPr>
      <t xml:space="preserve">958345 </t>
    </r>
    <r>
      <rPr>
        <sz val="11"/>
        <color rgb="FF000000"/>
        <rFont val="Sarabun"/>
        <family val="2"/>
        <charset val="222"/>
      </rPr>
      <t xml:space="preserve">VR &amp; MR
 อ.ดร.เทพฤทธิ์ (C305) </t>
    </r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</si>
  <si>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>958441 LAB  / 001 (จำนวนที่รองรับได้ 20 คน)</t>
    </r>
    <r>
      <rPr>
        <sz val="11"/>
        <color rgb="FF000000"/>
        <rFont val="Sarabun"/>
        <family val="2"/>
        <charset val="222"/>
      </rPr>
      <t xml:space="preserve">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</si>
  <si>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</si>
  <si>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</si>
  <si>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</si>
  <si>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</si>
  <si>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</si>
  <si>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ILC - C204+C206</t>
  </si>
  <si>
    <t xml:space="preserve"> </t>
  </si>
  <si>
    <t>Artificial Intelligence for Game Development</t>
  </si>
  <si>
    <t>C204 - C206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</si>
  <si>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</si>
  <si>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</si>
  <si>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</si>
  <si>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</si>
  <si>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</si>
  <si>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</si>
  <si>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</si>
  <si>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</si>
  <si>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</si>
  <si>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</si>
  <si>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</si>
  <si>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</si>
  <si>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</si>
  <si>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</si>
  <si>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</si>
  <si>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</si>
  <si>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</si>
  <si>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</si>
  <si>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</si>
  <si>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</si>
  <si>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</si>
  <si>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</si>
  <si>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</si>
  <si>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</si>
  <si>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</si>
  <si>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</si>
  <si>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4 (รหัส65)</t>
  </si>
  <si>
    <t>ภาคการศึกษาที่ 1 ปีการศึกษา 2568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</si>
  <si>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</si>
  <si>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</si>
  <si>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</si>
  <si>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</si>
  <si>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</si>
  <si>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</si>
  <si>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</si>
  <si>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</si>
  <si>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</si>
  <si>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</si>
  <si>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</si>
  <si>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2569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</si>
  <si>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</si>
  <si>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</si>
  <si>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</si>
  <si>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</si>
  <si>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</si>
  <si>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</si>
  <si>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</si>
  <si>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</si>
  <si>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</si>
  <si>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</si>
  <si>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</si>
  <si>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</si>
  <si>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อ./ศ. 11.00 - 12.30</t>
  </si>
  <si>
    <t>หมวดวิชาแกน</t>
  </si>
  <si>
    <t>จำนวนวิชา</t>
  </si>
  <si>
    <t xml:space="preserve">- 958321 :  GAME DEVELOPMENT 3
</t>
  </si>
  <si>
    <t>พฤ. 13.00 - 18.00</t>
  </si>
  <si>
    <t>วิชาเอกบังคับ</t>
  </si>
  <si>
    <t>WIL</t>
  </si>
  <si>
    <t xml:space="preserve">- 958102 :  INTRODUCTION TO DIGITAL GAMES  (Sec.001)
</t>
  </si>
  <si>
    <t>อ. 13.00 - 16.00</t>
  </si>
  <si>
    <t xml:space="preserve">- 958441 :  MOTION CAPTURE FOR GAME DEVELOPMENT 
</t>
  </si>
  <si>
    <t>ศ. 13.00 - 18.00</t>
  </si>
  <si>
    <t>วิชาเอกเลือก</t>
  </si>
  <si>
    <t>- 958102 :  INTRODUCTION TO DIGITAL GAMES  (Sec.002)</t>
  </si>
  <si>
    <r>
      <rPr>
        <sz val="16"/>
        <color theme="1"/>
        <rFont val="TH SarabunPSK"/>
        <family val="2"/>
      </rPr>
      <t xml:space="preserve">- 958102 :  INTRODUCTION TO DIGITAL GAMES  (Sec.003) </t>
    </r>
    <r>
      <rPr>
        <sz val="16"/>
        <color rgb="FF980000"/>
        <rFont val="TH SarabunPSK"/>
        <family val="2"/>
      </rPr>
      <t>ม.ชุงอัง ประเทศเกาหลี</t>
    </r>
  </si>
  <si>
    <t>TBA</t>
  </si>
  <si>
    <t>- 958205 :  BASIC GAME DESIGN</t>
  </si>
  <si>
    <t>ศ. 13.00 - 16.00</t>
  </si>
  <si>
    <t>- 958201 : MATH FOR COMP GRAPH &amp; GAME  (Sec.001)</t>
  </si>
  <si>
    <t>จ./พฤ. 08.00 - 09.30</t>
  </si>
  <si>
    <t>- 958201 : MATH FOR COMP GRAPH &amp; GAME  (Sec.002)</t>
  </si>
  <si>
    <t>จ./พฤ. 09.30 - 11.00</t>
  </si>
  <si>
    <t xml:space="preserve">- 958221 :  GAME DEVELOPMENT 1  
</t>
  </si>
  <si>
    <t xml:space="preserve">- 958325 :  ARTIFICAIAL INTELLIGENCE FOR GAME DEVELOPMENT 
</t>
  </si>
  <si>
    <t>จ. 13.00 - 18.00</t>
  </si>
  <si>
    <t>3 และเด็กตกแผน</t>
  </si>
  <si>
    <t>วิิชาเอกบังคับ</t>
  </si>
  <si>
    <t xml:space="preserve">- 958113 :  LOGICAL THINKING FOR GAME DEVELOPMENT (Sec.001)
</t>
  </si>
  <si>
    <t xml:space="preserve">- 958113 :  LOGICAL THINKING FOR GAME DEVELOPMENT (Sec.002)
</t>
  </si>
  <si>
    <t xml:space="preserve">- 958331 :  DATABASE AND NETWORK FOR GAME DEV
</t>
  </si>
  <si>
    <t>อ. 08.00 - 13.00</t>
  </si>
  <si>
    <t xml:space="preserve">- 958345 : VIRTUAL REALITY AND MIXED REALITY
</t>
  </si>
  <si>
    <t>ศ. 08.00 - 13.00</t>
  </si>
  <si>
    <t xml:space="preserve">- 958481 :  SELECTED TOPICS IN GAME DEVELOPMENT1 (ADV UE) UNREAL ENGINE sec.001
</t>
  </si>
  <si>
    <t>- 958111 : COMP &amp; PROGRAM FOR GAME 1  (Sec.001)</t>
  </si>
  <si>
    <t>- 958111 : COMP &amp; PROGRAM FOR GAME 1  (Sec.002)</t>
  </si>
  <si>
    <t>- 958225 : DIGITAL GAME PRODUCTION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</si>
  <si>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</si>
  <si>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</si>
  <si>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</si>
  <si>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</si>
  <si>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</si>
  <si>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</si>
  <si>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</si>
  <si>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</si>
  <si>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</si>
  <si>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</si>
  <si>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</si>
  <si>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</si>
  <si>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</si>
  <si>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</si>
  <si>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</si>
  <si>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</si>
  <si>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</si>
  <si>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</si>
  <si>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</si>
  <si>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</si>
  <si>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</si>
  <si>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</si>
  <si>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</si>
  <si>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</si>
  <si>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</si>
  <si>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</si>
  <si>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</si>
  <si>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</si>
  <si>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</si>
  <si>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</si>
  <si>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</si>
  <si>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</si>
  <si>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</si>
  <si>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</si>
  <si>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</si>
  <si>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</si>
  <si>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</si>
  <si>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</si>
  <si>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</si>
  <si>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</si>
  <si>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</si>
  <si>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</si>
  <si>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</si>
  <si>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</si>
  <si>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</si>
  <si>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</si>
  <si>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</si>
  <si>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</si>
  <si>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</si>
  <si>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</si>
  <si>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</si>
  <si>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</si>
  <si>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955103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</si>
  <si>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</si>
  <si>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</si>
  <si>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</si>
  <si>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</si>
  <si>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</si>
  <si>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</si>
  <si>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</si>
  <si>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</si>
  <si>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</si>
  <si>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</si>
  <si>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</si>
  <si>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</si>
  <si>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</si>
  <si>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</si>
  <si>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</si>
  <si>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</si>
  <si>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</si>
  <si>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</si>
  <si>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</si>
  <si>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</si>
  <si>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</si>
  <si>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</si>
  <si>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</si>
  <si>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</si>
  <si>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</si>
  <si>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</si>
  <si>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</si>
  <si>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</si>
  <si>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</si>
  <si>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</si>
  <si>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</si>
  <si>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</si>
  <si>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</si>
  <si>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</si>
  <si>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</si>
  <si>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</si>
  <si>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</si>
  <si>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</si>
  <si>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</si>
  <si>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</si>
  <si>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</si>
  <si>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</si>
  <si>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</si>
  <si>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</si>
  <si>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</si>
  <si>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</si>
  <si>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</si>
  <si>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</si>
  <si>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</si>
  <si>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</si>
  <si>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</si>
  <si>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</si>
  <si>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</si>
  <si>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</si>
  <si>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</si>
  <si>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</si>
  <si>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</si>
  <si>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</si>
  <si>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</si>
  <si>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</si>
  <si>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</si>
  <si>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</si>
  <si>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</si>
  <si>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</si>
  <si>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</si>
  <si>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</si>
  <si>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</si>
  <si>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</si>
  <si>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</si>
  <si>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</si>
  <si>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</si>
  <si>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</si>
  <si>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</si>
  <si>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</si>
  <si>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</si>
  <si>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</si>
  <si>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</si>
  <si>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</si>
  <si>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</si>
  <si>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</si>
  <si>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</si>
  <si>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</si>
  <si>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</si>
  <si>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</si>
  <si>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</si>
  <si>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</si>
  <si>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</si>
  <si>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</si>
  <si>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</si>
  <si>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</si>
  <si>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</si>
  <si>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</si>
  <si>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</si>
  <si>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</si>
  <si>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</si>
  <si>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</si>
  <si>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</si>
  <si>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</si>
  <si>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</si>
  <si>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</si>
  <si>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</si>
  <si>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</si>
  <si>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</si>
  <si>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</si>
  <si>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</si>
  <si>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</si>
  <si>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</si>
  <si>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</si>
  <si>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</si>
  <si>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</si>
  <si>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</si>
  <si>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</si>
  <si>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</si>
  <si>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</si>
  <si>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</si>
  <si>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</si>
  <si>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</si>
  <si>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</si>
  <si>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</si>
  <si>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</si>
  <si>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</si>
  <si>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</si>
  <si>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</si>
  <si>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</si>
  <si>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</si>
  <si>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</si>
  <si>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</si>
  <si>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</si>
  <si>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</si>
  <si>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</si>
  <si>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</si>
  <si>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</si>
  <si>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</si>
  <si>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</si>
  <si>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</si>
  <si>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</si>
  <si>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</si>
  <si>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</si>
  <si>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</si>
  <si>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</si>
  <si>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</si>
  <si>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</si>
  <si>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</si>
  <si>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</si>
  <si>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</si>
  <si>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</si>
  <si>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</si>
  <si>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</si>
  <si>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</si>
  <si>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</si>
  <si>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</si>
  <si>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</si>
  <si>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013110
Psychology and Daily Life</t>
  </si>
  <si>
    <t>001101
Fundamental English 1</t>
  </si>
  <si>
    <t>ปี 2
(55 คน)</t>
  </si>
  <si>
    <t>ปี 3
(56 คน)</t>
  </si>
  <si>
    <t>ปี 4
(48 คน)</t>
  </si>
  <si>
    <t>อังคาร</t>
  </si>
  <si>
    <t>140104
Citizenship</t>
  </si>
  <si>
    <t>พุธ</t>
  </si>
  <si>
    <t>พฤหัสบดี</t>
  </si>
  <si>
    <t>ศุกร์</t>
  </si>
  <si>
    <t>958205
Basic Game Design</t>
  </si>
  <si>
    <t>958201/001
Math for Comp Gfx&amp;Game</t>
  </si>
  <si>
    <t>958111/001
Comp &amp; Prog for Game 1
(Lec)</t>
  </si>
  <si>
    <t>958111/001
Comp &amp; Prog for Game 1
(Lab)</t>
  </si>
  <si>
    <t>958201/002
Math for Comp Gfx&amp;Game</t>
  </si>
  <si>
    <t>958325/001
AI for Game Development</t>
  </si>
  <si>
    <t>801100
Architecture in Everyday Life</t>
  </si>
  <si>
    <t>958102/001
Intro to Digital Games</t>
  </si>
  <si>
    <t>958211
Data Structure for Game Dev</t>
  </si>
  <si>
    <t>958225
Digital Game Production
(Lec+Lab)</t>
  </si>
  <si>
    <t>958331
DB &amp; Network for Game Dev
(Lec)</t>
  </si>
  <si>
    <t>958331
DB &amp; Network for Game Dev
(Lab)</t>
  </si>
  <si>
    <t>958263
3D Modeling for Game Dev 2
(Lec)</t>
  </si>
  <si>
    <t>958263
3D Modeling for Game Dev 2
(Lab)</t>
  </si>
  <si>
    <t>958481/006
Sel Topic in Game Dev1
(E-sport / TBA)</t>
  </si>
  <si>
    <t>958111/002
Comp &amp; Prog for Game 1
(Lec)</t>
  </si>
  <si>
    <t>958111/002
Comp &amp; Prog for Game 1
(Lab)</t>
  </si>
  <si>
    <t>958221/001+002
Game Development 1
(Lec)</t>
  </si>
  <si>
    <t>958221/001+002
Game Development 1
(Lab)</t>
  </si>
  <si>
    <t>958321/001
Game Development 3
(Lec)</t>
  </si>
  <si>
    <t>958321/001
Game Development 3
(Lab)</t>
  </si>
  <si>
    <t>958345
VR &amp; MR
(เอกเลือก)</t>
  </si>
  <si>
    <t>958441
Motion Capture for Game Dev
(Lab)</t>
  </si>
  <si>
    <t>958441
Motion Capture for Game Dev
(Lec)</t>
  </si>
  <si>
    <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</si>
  <si>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t>958113/002
Logical Thinking for Game Dev
(Lec)</t>
  </si>
  <si>
    <t>958113/002
Logical Thinking for Game Dev
(Lab)</t>
  </si>
  <si>
    <t>958113/001
Logical Thinking for Game Dev
(Lec)</t>
  </si>
  <si>
    <t>958113/001
Logical Thinking for Game Dev
(Lab)</t>
  </si>
  <si>
    <t>958481/001
Sel Topic in Game Dev1
(Adv UE - เอกเลือก)</t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</si>
  <si>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(รับเด็ก 20 คน)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(112)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</si>
</sst>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73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sz val="10"/>
      <color theme="1"/>
      <name val="Calibri"/>
      <family val="2"/>
      <scheme val="minor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9"/>
      <color rgb="FF000000"/>
      <name val="Tahoma"/>
      <family val="2"/>
    </font>
    <font>
      <sz val="11"/>
      <color theme="1"/>
      <name val="Sarabun"/>
      <family val="2"/>
      <charset val="222"/>
    </font>
    <font>
      <sz val="9"/>
      <color theme="1"/>
      <name val="Sarabun"/>
      <family val="2"/>
      <charset val="222"/>
    </font>
    <font>
      <sz val="9"/>
      <color rgb="FF000000"/>
      <name val="Cordia New"/>
      <family val="2"/>
    </font>
    <font>
      <sz val="10"/>
      <color theme="1"/>
      <name val="Sarabun"/>
      <family val="2"/>
      <charset val="222"/>
    </font>
    <font>
      <sz val="9"/>
      <color theme="1"/>
      <name val="Calibri"/>
      <family val="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strike/>
      <sz val="11"/>
      <color rgb="FF000000"/>
      <name val="Sarabun"/>
      <family val="2"/>
      <charset val="222"/>
    </font>
    <font>
      <b/>
      <sz val="14"/>
      <color rgb="FF000000"/>
      <name val="Sarabun"/>
      <family val="2"/>
      <charset val="222"/>
    </font>
    <font>
      <b/>
      <sz val="12"/>
      <color theme="1"/>
      <name val="Sarabun"/>
      <family val="2"/>
      <charset val="222"/>
    </font>
    <font>
      <sz val="14"/>
      <color theme="1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4"/>
      <color theme="1"/>
      <name val="Calibri"/>
      <family val="2"/>
      <scheme val="minor"/>
    </font>
    <font>
      <sz val="10"/>
      <color rgb="FFFF0000"/>
      <name val="Sarabun"/>
      <family val="2"/>
      <charset val="222"/>
    </font>
    <font>
      <sz val="14"/>
      <color rgb="FF000000"/>
      <name val="Sarabun"/>
      <family val="2"/>
      <charset val="222"/>
    </font>
    <font>
      <sz val="14"/>
      <color rgb="FFFF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FF0000"/>
      <name val="Sarabun"/>
      <family val="2"/>
      <charset val="222"/>
    </font>
    <font>
      <sz val="1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00"/>
      <name val="Cordia New"/>
      <family val="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Calibri"/>
      <family val="2"/>
      <scheme val="minor"/>
    </font>
    <font>
      <b/>
      <sz val="10"/>
      <color rgb="FF000000"/>
      <name val="Sarabun"/>
      <family val="2"/>
      <charset val="222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trike/>
      <sz val="14"/>
      <color rgb="FF980000"/>
      <name val="Sarabun"/>
      <family val="2"/>
      <charset val="222"/>
    </font>
    <font>
      <strike/>
      <sz val="14"/>
      <color rgb="FF980000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8"/>
      <color rgb="FFFF0000"/>
      <name val="Sarabun"/>
      <family val="2"/>
      <charset val="222"/>
    </font>
    <font>
      <b/>
      <sz val="18"/>
      <color rgb="FF980000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color rgb="FF000000"/>
      <name val="TH SarabunPSK"/>
      <family val="2"/>
    </font>
    <font>
      <b/>
      <sz val="10"/>
      <color theme="1"/>
      <name val="Calibri"/>
      <family val="2"/>
      <scheme val="minor"/>
    </font>
    <font>
      <sz val="11"/>
      <color rgb="FF0000FF"/>
      <name val="Sarabun"/>
      <family val="2"/>
      <charset val="222"/>
    </font>
    <font>
      <b/>
      <sz val="11"/>
      <color rgb="FF980000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2"/>
      <color rgb="FF98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sz val="11"/>
      <color rgb="FF980000"/>
      <name val="Sarabun,Arial"/>
    </font>
    <font>
      <sz val="11"/>
      <color rgb="FF000000"/>
      <name val="Sarabun,Arial"/>
    </font>
    <font>
      <b/>
      <sz val="11"/>
      <color rgb="FF980000"/>
      <name val="Sarabun,Arial"/>
    </font>
    <font>
      <sz val="11"/>
      <color rgb="FF274E13"/>
      <name val="Sarabun,Arial"/>
    </font>
    <font>
      <sz val="16"/>
      <color rgb="FF980000"/>
      <name val="TH SarabunPSK"/>
      <family val="2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0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B4A7D6"/>
        <bgColor rgb="FFB4A7D6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/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indexed="64"/>
      </right>
      <top/>
      <bottom style="medium">
        <color indexed="64"/>
      </bottom>
      <diagonal/>
    </border>
    <border>
      <left style="thin">
        <color rgb="FF888888"/>
      </left>
      <right style="thin">
        <color rgb="FF888888"/>
      </right>
      <top/>
      <bottom/>
      <diagonal/>
    </border>
    <border>
      <left style="thin">
        <color rgb="FF888888"/>
      </left>
      <right style="medium">
        <color indexed="64"/>
      </right>
      <top style="medium">
        <color indexed="64"/>
      </top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 style="medium">
        <color rgb="FFFF0000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/>
      <right style="thin">
        <color rgb="FF888888"/>
      </right>
      <top/>
      <bottom/>
      <diagonal/>
    </border>
    <border>
      <left style="thin">
        <color rgb="FF888888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thin">
        <color rgb="FF888888"/>
      </bottom>
      <diagonal/>
    </border>
    <border>
      <left/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 style="medium">
        <color rgb="FFFF0000"/>
      </left>
      <right/>
      <top style="thin">
        <color rgb="FF888888"/>
      </top>
      <bottom style="thin">
        <color rgb="FF888888"/>
      </bottom>
      <diagonal/>
    </border>
    <border>
      <left/>
      <right/>
      <top style="medium">
        <color indexed="64"/>
      </top>
      <bottom style="thin">
        <color rgb="FF888888"/>
      </bottom>
      <diagonal/>
    </border>
    <border>
      <left/>
      <right style="thin">
        <color rgb="FF888888"/>
      </right>
      <top style="medium">
        <color indexed="64"/>
      </top>
      <bottom style="thin">
        <color rgb="FF888888"/>
      </bottom>
      <diagonal/>
    </border>
    <border>
      <left/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 style="medium">
        <color rgb="FFFF0000"/>
      </left>
      <right/>
      <top style="thin">
        <color rgb="FF888888"/>
      </top>
      <bottom style="medium">
        <color rgb="FFFF0000"/>
      </bottom>
      <diagonal/>
    </border>
    <border>
      <left/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/>
      <top style="medium">
        <color rgb="FFFF0000"/>
      </top>
      <bottom style="thin">
        <color rgb="FF888888"/>
      </bottom>
      <diagonal/>
    </border>
    <border>
      <left/>
      <right/>
      <top style="medium">
        <color rgb="FFFF0000"/>
      </top>
      <bottom style="thin">
        <color rgb="FF888888"/>
      </bottom>
      <diagonal/>
    </border>
    <border>
      <left/>
      <right style="medium">
        <color rgb="FFFF0000"/>
      </right>
      <top style="medium">
        <color rgb="FFFF0000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rgb="FFFF0000"/>
      </bottom>
      <diagonal/>
    </border>
    <border>
      <left/>
      <right/>
      <top style="thin">
        <color rgb="FF888888"/>
      </top>
      <bottom style="medium">
        <color rgb="FFFF0000"/>
      </bottom>
      <diagonal/>
    </border>
    <border>
      <left/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thin">
        <color rgb="FF888888"/>
      </left>
      <right/>
      <top/>
      <bottom style="medium">
        <color indexed="64"/>
      </bottom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/>
      <right/>
      <top style="medium">
        <color theme="1"/>
      </top>
      <bottom style="thin">
        <color rgb="FF888888"/>
      </bottom>
      <diagonal/>
    </border>
    <border>
      <left/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/>
      <top/>
      <bottom style="medium">
        <color theme="1"/>
      </bottom>
      <diagonal/>
    </border>
    <border>
      <left/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 style="medium">
        <color theme="1"/>
      </right>
      <top/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rgb="FFFF0000"/>
      </top>
      <bottom style="thin">
        <color rgb="FF888888"/>
      </bottom>
      <diagonal/>
    </border>
    <border>
      <left/>
      <right style="medium">
        <color theme="1"/>
      </right>
      <top style="thin">
        <color rgb="FF888888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rgb="FF888888"/>
      </left>
      <right style="medium">
        <color theme="1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rgb="FF888888"/>
      </left>
      <right style="medium">
        <color theme="1"/>
      </right>
      <top/>
      <bottom/>
      <diagonal/>
    </border>
    <border>
      <left/>
      <right style="thin">
        <color rgb="FF888888"/>
      </right>
      <top style="medium">
        <color indexed="64"/>
      </top>
      <bottom/>
      <diagonal/>
    </border>
    <border>
      <left/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1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thin">
        <color rgb="FF888888"/>
      </left>
      <right style="thin">
        <color theme="0" tint="-0.499984740745262"/>
      </right>
      <top style="medium">
        <color rgb="FFFF0000"/>
      </top>
      <bottom style="medium">
        <color theme="1"/>
      </bottom>
      <diagonal/>
    </border>
  </borders>
  <cellStyleXfs count="1">
    <xf numFmtId="0" fontId="0" fillId="0" borderId="0"/>
  </cellStyleXfs>
  <cellXfs count="502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/>
    </xf>
    <xf numFmtId="0" fontId="11" fillId="0" borderId="11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15" xfId="0" applyFont="1" applyBorder="1" applyAlignment="1">
      <alignment vertical="center"/>
    </xf>
    <xf numFmtId="0" fontId="12" fillId="0" borderId="11" xfId="0" applyFont="1" applyBorder="1" applyAlignment="1">
      <alignment wrapText="1"/>
    </xf>
    <xf numFmtId="0" fontId="2" fillId="12" borderId="10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11" fillId="0" borderId="13" xfId="0" applyFont="1" applyBorder="1" applyAlignment="1">
      <alignment vertical="center"/>
    </xf>
    <xf numFmtId="0" fontId="12" fillId="0" borderId="1" xfId="0" applyFont="1" applyBorder="1" applyAlignment="1">
      <alignment wrapText="1"/>
    </xf>
    <xf numFmtId="0" fontId="11" fillId="0" borderId="11" xfId="0" applyFont="1" applyBorder="1"/>
    <xf numFmtId="0" fontId="11" fillId="0" borderId="7" xfId="0" applyFont="1" applyBorder="1"/>
    <xf numFmtId="0" fontId="11" fillId="0" borderId="1" xfId="0" applyFont="1" applyBorder="1"/>
    <xf numFmtId="0" fontId="11" fillId="0" borderId="14" xfId="0" applyFont="1" applyBorder="1"/>
    <xf numFmtId="0" fontId="11" fillId="0" borderId="0" xfId="0" applyFont="1"/>
    <xf numFmtId="0" fontId="11" fillId="0" borderId="15" xfId="0" applyFont="1" applyBorder="1"/>
    <xf numFmtId="0" fontId="11" fillId="0" borderId="5" xfId="0" applyFont="1" applyBorder="1" applyAlignment="1">
      <alignment horizontal="center" vertical="center" wrapText="1"/>
    </xf>
    <xf numFmtId="0" fontId="8" fillId="0" borderId="0" xfId="0" applyFont="1"/>
    <xf numFmtId="0" fontId="11" fillId="0" borderId="1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2" fillId="15" borderId="2" xfId="0" applyFont="1" applyFill="1" applyBorder="1"/>
    <xf numFmtId="0" fontId="2" fillId="0" borderId="3" xfId="0" applyFont="1" applyBorder="1"/>
    <xf numFmtId="0" fontId="2" fillId="0" borderId="19" xfId="0" applyFont="1" applyBorder="1"/>
    <xf numFmtId="0" fontId="2" fillId="0" borderId="8" xfId="0" applyFont="1" applyBorder="1"/>
    <xf numFmtId="0" fontId="2" fillId="0" borderId="11" xfId="0" applyFont="1" applyBorder="1"/>
    <xf numFmtId="0" fontId="15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7" fillId="16" borderId="10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49" fontId="1" fillId="17" borderId="0" xfId="0" applyNumberFormat="1" applyFont="1" applyFill="1" applyAlignment="1">
      <alignment horizontal="left" wrapText="1"/>
    </xf>
    <xf numFmtId="0" fontId="11" fillId="17" borderId="0" xfId="0" applyFont="1" applyFill="1" applyAlignment="1">
      <alignment horizontal="right"/>
    </xf>
    <xf numFmtId="0" fontId="1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0" fillId="17" borderId="20" xfId="0" applyFont="1" applyFill="1" applyBorder="1" applyAlignment="1">
      <alignment wrapText="1"/>
    </xf>
    <xf numFmtId="0" fontId="17" fillId="17" borderId="20" xfId="0" applyFont="1" applyFill="1" applyBorder="1" applyAlignment="1">
      <alignment horizontal="center" wrapText="1"/>
    </xf>
    <xf numFmtId="0" fontId="17" fillId="17" borderId="20" xfId="0" applyFont="1" applyFill="1" applyBorder="1" applyAlignment="1">
      <alignment horizontal="right" wrapText="1"/>
    </xf>
    <xf numFmtId="164" fontId="17" fillId="17" borderId="20" xfId="0" applyNumberFormat="1" applyFont="1" applyFill="1" applyBorder="1" applyAlignment="1">
      <alignment horizontal="right" wrapText="1"/>
    </xf>
    <xf numFmtId="0" fontId="11" fillId="6" borderId="0" xfId="0" applyFont="1" applyFill="1" applyAlignment="1">
      <alignment horizontal="center"/>
    </xf>
    <xf numFmtId="49" fontId="1" fillId="6" borderId="0" xfId="0" applyNumberFormat="1" applyFont="1" applyFill="1" applyAlignment="1">
      <alignment horizontal="left" wrapText="1"/>
    </xf>
    <xf numFmtId="0" fontId="11" fillId="6" borderId="0" xfId="0" applyFont="1" applyFill="1" applyAlignment="1">
      <alignment horizontal="right"/>
    </xf>
    <xf numFmtId="0" fontId="21" fillId="0" borderId="0" xfId="0" applyFont="1"/>
    <xf numFmtId="0" fontId="20" fillId="6" borderId="20" xfId="0" applyFont="1" applyFill="1" applyBorder="1" applyAlignment="1">
      <alignment wrapText="1"/>
    </xf>
    <xf numFmtId="164" fontId="17" fillId="6" borderId="20" xfId="0" applyNumberFormat="1" applyFont="1" applyFill="1" applyBorder="1" applyAlignment="1">
      <alignment horizontal="right" wrapText="1"/>
    </xf>
    <xf numFmtId="49" fontId="5" fillId="5" borderId="21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right"/>
    </xf>
    <xf numFmtId="0" fontId="21" fillId="0" borderId="0" xfId="0" applyFont="1" applyAlignment="1">
      <alignment wrapText="1"/>
    </xf>
    <xf numFmtId="49" fontId="5" fillId="10" borderId="21" xfId="0" applyNumberFormat="1" applyFont="1" applyFill="1" applyBorder="1" applyAlignment="1">
      <alignment horizontal="left"/>
    </xf>
    <xf numFmtId="0" fontId="11" fillId="10" borderId="0" xfId="0" applyFont="1" applyFill="1" applyAlignment="1">
      <alignment horizontal="right"/>
    </xf>
    <xf numFmtId="49" fontId="5" fillId="19" borderId="21" xfId="0" applyNumberFormat="1" applyFont="1" applyFill="1" applyBorder="1" applyAlignment="1">
      <alignment horizontal="left"/>
    </xf>
    <xf numFmtId="0" fontId="11" fillId="19" borderId="0" xfId="0" applyFont="1" applyFill="1" applyAlignment="1">
      <alignment horizontal="right"/>
    </xf>
    <xf numFmtId="49" fontId="5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6" fillId="0" borderId="9" xfId="0" applyFont="1" applyBorder="1"/>
    <xf numFmtId="0" fontId="12" fillId="0" borderId="5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9" fillId="0" borderId="0" xfId="0" applyFont="1"/>
    <xf numFmtId="0" fontId="2" fillId="14" borderId="2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2" fillId="0" borderId="0" xfId="0" applyFont="1" applyAlignment="1">
      <alignment wrapText="1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" fillId="10" borderId="2" xfId="0" applyFont="1" applyFill="1" applyBorder="1" applyAlignment="1">
      <alignment horizontal="center"/>
    </xf>
    <xf numFmtId="49" fontId="8" fillId="10" borderId="2" xfId="0" applyNumberFormat="1" applyFont="1" applyFill="1" applyBorder="1" applyAlignment="1">
      <alignment horizontal="left" wrapText="1"/>
    </xf>
    <xf numFmtId="49" fontId="2" fillId="10" borderId="2" xfId="0" applyNumberFormat="1" applyFont="1" applyFill="1" applyBorder="1" applyAlignment="1">
      <alignment horizontal="left"/>
    </xf>
    <xf numFmtId="49" fontId="2" fillId="10" borderId="2" xfId="0" applyNumberFormat="1" applyFont="1" applyFill="1" applyBorder="1" applyAlignment="1">
      <alignment horizontal="left" wrapText="1"/>
    </xf>
    <xf numFmtId="49" fontId="30" fillId="0" borderId="2" xfId="0" applyNumberFormat="1" applyFont="1" applyBorder="1" applyAlignment="1">
      <alignment horizontal="center" wrapText="1"/>
    </xf>
    <xf numFmtId="0" fontId="2" fillId="25" borderId="2" xfId="0" applyFont="1" applyFill="1" applyBorder="1" applyAlignment="1">
      <alignment horizontal="center"/>
    </xf>
    <xf numFmtId="49" fontId="8" fillId="25" borderId="2" xfId="0" applyNumberFormat="1" applyFont="1" applyFill="1" applyBorder="1" applyAlignment="1">
      <alignment horizontal="left" wrapText="1"/>
    </xf>
    <xf numFmtId="0" fontId="30" fillId="0" borderId="2" xfId="0" applyFont="1" applyBorder="1" applyAlignment="1">
      <alignment horizontal="center" wrapText="1"/>
    </xf>
    <xf numFmtId="0" fontId="31" fillId="0" borderId="0" xfId="0" applyFont="1" applyAlignment="1">
      <alignment wrapText="1"/>
    </xf>
    <xf numFmtId="0" fontId="32" fillId="0" borderId="0" xfId="0" applyFont="1" applyAlignment="1">
      <alignment horizontal="center"/>
    </xf>
    <xf numFmtId="0" fontId="12" fillId="0" borderId="20" xfId="0" applyFont="1" applyBorder="1" applyAlignment="1">
      <alignment wrapText="1"/>
    </xf>
    <xf numFmtId="0" fontId="20" fillId="0" borderId="20" xfId="0" applyFont="1" applyBorder="1" applyAlignment="1">
      <alignment wrapText="1"/>
    </xf>
    <xf numFmtId="0" fontId="17" fillId="0" borderId="20" xfId="0" applyFont="1" applyBorder="1" applyAlignment="1">
      <alignment horizontal="center" wrapText="1"/>
    </xf>
    <xf numFmtId="0" fontId="17" fillId="0" borderId="20" xfId="0" applyFont="1" applyBorder="1" applyAlignment="1">
      <alignment horizontal="right" wrapText="1"/>
    </xf>
    <xf numFmtId="164" fontId="17" fillId="0" borderId="20" xfId="0" applyNumberFormat="1" applyFont="1" applyBorder="1" applyAlignment="1">
      <alignment horizontal="right" wrapText="1"/>
    </xf>
    <xf numFmtId="0" fontId="2" fillId="21" borderId="2" xfId="0" applyFont="1" applyFill="1" applyBorder="1" applyAlignment="1">
      <alignment horizontal="center"/>
    </xf>
    <xf numFmtId="49" fontId="8" fillId="21" borderId="2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164" fontId="14" fillId="0" borderId="20" xfId="0" applyNumberFormat="1" applyFont="1" applyBorder="1" applyAlignment="1">
      <alignment horizontal="right" wrapText="1"/>
    </xf>
    <xf numFmtId="0" fontId="2" fillId="6" borderId="2" xfId="0" applyFont="1" applyFill="1" applyBorder="1" applyAlignment="1">
      <alignment horizontal="center"/>
    </xf>
    <xf numFmtId="49" fontId="8" fillId="6" borderId="2" xfId="0" applyNumberFormat="1" applyFont="1" applyFill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2" fillId="6" borderId="20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center"/>
    </xf>
    <xf numFmtId="0" fontId="2" fillId="26" borderId="2" xfId="0" applyFont="1" applyFill="1" applyBorder="1" applyAlignment="1">
      <alignment horizontal="center"/>
    </xf>
    <xf numFmtId="49" fontId="8" fillId="26" borderId="2" xfId="0" applyNumberFormat="1" applyFont="1" applyFill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3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8" fillId="4" borderId="2" xfId="0" applyNumberFormat="1" applyFont="1" applyFill="1" applyBorder="1" applyAlignment="1">
      <alignment horizontal="left" wrapText="1"/>
    </xf>
    <xf numFmtId="0" fontId="35" fillId="0" borderId="0" xfId="0" applyFont="1"/>
    <xf numFmtId="0" fontId="32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6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2" fillId="7" borderId="0" xfId="0" applyFont="1" applyFill="1" applyAlignment="1">
      <alignment horizontal="center"/>
    </xf>
    <xf numFmtId="49" fontId="8" fillId="7" borderId="0" xfId="0" applyNumberFormat="1" applyFont="1" applyFill="1" applyAlignment="1">
      <alignment horizontal="center" wrapText="1"/>
    </xf>
    <xf numFmtId="0" fontId="30" fillId="0" borderId="0" xfId="0" applyFont="1" applyAlignment="1">
      <alignment wrapText="1"/>
    </xf>
    <xf numFmtId="0" fontId="19" fillId="0" borderId="0" xfId="0" applyFont="1" applyAlignment="1">
      <alignment horizontal="left" wrapText="1"/>
    </xf>
    <xf numFmtId="0" fontId="3" fillId="27" borderId="0" xfId="0" applyFont="1" applyFill="1" applyAlignment="1">
      <alignment horizontal="center" wrapText="1"/>
    </xf>
    <xf numFmtId="49" fontId="8" fillId="27" borderId="0" xfId="0" applyNumberFormat="1" applyFont="1" applyFill="1" applyAlignment="1">
      <alignment horizontal="center" wrapText="1"/>
    </xf>
    <xf numFmtId="0" fontId="32" fillId="0" borderId="0" xfId="0" applyFont="1" applyAlignment="1">
      <alignment horizontal="left" wrapText="1"/>
    </xf>
    <xf numFmtId="0" fontId="37" fillId="0" borderId="0" xfId="0" applyFont="1"/>
    <xf numFmtId="0" fontId="32" fillId="27" borderId="20" xfId="0" applyFont="1" applyFill="1" applyBorder="1" applyAlignment="1">
      <alignment horizontal="center"/>
    </xf>
    <xf numFmtId="0" fontId="37" fillId="27" borderId="20" xfId="0" applyFont="1" applyFill="1" applyBorder="1"/>
    <xf numFmtId="0" fontId="10" fillId="27" borderId="20" xfId="0" applyFont="1" applyFill="1" applyBorder="1" applyAlignment="1">
      <alignment horizontal="center"/>
    </xf>
    <xf numFmtId="49" fontId="5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8" fillId="0" borderId="1" xfId="0" applyFont="1" applyBorder="1" applyAlignment="1">
      <alignment horizontal="right"/>
    </xf>
    <xf numFmtId="0" fontId="11" fillId="0" borderId="9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40" fillId="31" borderId="5" xfId="0" applyFont="1" applyFill="1" applyBorder="1" applyAlignment="1">
      <alignment horizontal="center" vertical="center" wrapText="1"/>
    </xf>
    <xf numFmtId="0" fontId="40" fillId="31" borderId="11" xfId="0" applyFont="1" applyFill="1" applyBorder="1" applyAlignment="1">
      <alignment horizontal="center" vertical="center" wrapText="1"/>
    </xf>
    <xf numFmtId="0" fontId="40" fillId="31" borderId="7" xfId="0" applyFont="1" applyFill="1" applyBorder="1" applyAlignment="1">
      <alignment horizontal="center" vertical="center" wrapText="1"/>
    </xf>
    <xf numFmtId="0" fontId="40" fillId="31" borderId="13" xfId="0" applyFont="1" applyFill="1" applyBorder="1" applyAlignment="1">
      <alignment horizontal="center" vertical="center" wrapText="1"/>
    </xf>
    <xf numFmtId="0" fontId="40" fillId="31" borderId="1" xfId="0" applyFont="1" applyFill="1" applyBorder="1" applyAlignment="1">
      <alignment horizontal="center" vertical="center" wrapText="1"/>
    </xf>
    <xf numFmtId="0" fontId="40" fillId="31" borderId="14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0" xfId="0" applyFont="1" applyAlignment="1">
      <alignment horizontal="center" vertical="center"/>
    </xf>
    <xf numFmtId="0" fontId="41" fillId="0" borderId="0" xfId="0" applyFont="1" applyAlignment="1">
      <alignment wrapText="1"/>
    </xf>
    <xf numFmtId="0" fontId="32" fillId="6" borderId="0" xfId="0" applyFont="1" applyFill="1" applyAlignment="1">
      <alignment horizontal="center"/>
    </xf>
    <xf numFmtId="0" fontId="26" fillId="6" borderId="0" xfId="0" applyFont="1" applyFill="1" applyAlignment="1">
      <alignment horizontal="left" wrapText="1"/>
    </xf>
    <xf numFmtId="0" fontId="32" fillId="6" borderId="0" xfId="0" applyFont="1" applyFill="1" applyAlignment="1">
      <alignment wrapText="1"/>
    </xf>
    <xf numFmtId="49" fontId="32" fillId="6" borderId="0" xfId="0" applyNumberFormat="1" applyFont="1" applyFill="1" applyAlignment="1">
      <alignment wrapText="1"/>
    </xf>
    <xf numFmtId="0" fontId="42" fillId="0" borderId="0" xfId="0" applyFont="1" applyAlignment="1">
      <alignment horizontal="left"/>
    </xf>
    <xf numFmtId="0" fontId="43" fillId="0" borderId="0" xfId="0" applyFont="1"/>
    <xf numFmtId="0" fontId="44" fillId="0" borderId="0" xfId="0" applyFont="1" applyAlignment="1">
      <alignment wrapText="1"/>
    </xf>
    <xf numFmtId="0" fontId="32" fillId="28" borderId="0" xfId="0" applyFont="1" applyFill="1" applyAlignment="1">
      <alignment horizontal="center"/>
    </xf>
    <xf numFmtId="0" fontId="26" fillId="28" borderId="0" xfId="0" applyFont="1" applyFill="1" applyAlignment="1">
      <alignment horizontal="left" wrapText="1"/>
    </xf>
    <xf numFmtId="0" fontId="32" fillId="28" borderId="0" xfId="0" applyFont="1" applyFill="1" applyAlignment="1">
      <alignment wrapText="1"/>
    </xf>
    <xf numFmtId="49" fontId="32" fillId="28" borderId="0" xfId="0" applyNumberFormat="1" applyFont="1" applyFill="1" applyAlignment="1">
      <alignment wrapText="1"/>
    </xf>
    <xf numFmtId="0" fontId="19" fillId="0" borderId="0" xfId="0" applyFont="1" applyAlignment="1">
      <alignment horizontal="left"/>
    </xf>
    <xf numFmtId="0" fontId="32" fillId="4" borderId="0" xfId="0" applyFont="1" applyFill="1" applyAlignment="1">
      <alignment horizontal="center"/>
    </xf>
    <xf numFmtId="0" fontId="26" fillId="4" borderId="0" xfId="0" applyFont="1" applyFill="1" applyAlignment="1">
      <alignment horizontal="left" wrapText="1"/>
    </xf>
    <xf numFmtId="0" fontId="32" fillId="4" borderId="0" xfId="0" applyFont="1" applyFill="1" applyAlignment="1">
      <alignment wrapText="1"/>
    </xf>
    <xf numFmtId="49" fontId="32" fillId="4" borderId="0" xfId="0" applyNumberFormat="1" applyFont="1" applyFill="1" applyAlignment="1">
      <alignment wrapText="1"/>
    </xf>
    <xf numFmtId="0" fontId="12" fillId="4" borderId="20" xfId="0" applyFont="1" applyFill="1" applyBorder="1" applyAlignment="1">
      <alignment wrapText="1"/>
    </xf>
    <xf numFmtId="49" fontId="2" fillId="0" borderId="0" xfId="0" applyNumberFormat="1" applyFont="1" applyAlignment="1">
      <alignment horizontal="left" wrapText="1"/>
    </xf>
    <xf numFmtId="0" fontId="32" fillId="0" borderId="0" xfId="0" applyFont="1" applyAlignment="1">
      <alignment wrapText="1"/>
    </xf>
    <xf numFmtId="49" fontId="32" fillId="0" borderId="0" xfId="0" applyNumberFormat="1" applyFont="1" applyAlignment="1">
      <alignment wrapText="1"/>
    </xf>
    <xf numFmtId="0" fontId="31" fillId="0" borderId="0" xfId="0" applyFont="1"/>
    <xf numFmtId="0" fontId="32" fillId="5" borderId="0" xfId="0" applyFont="1" applyFill="1" applyAlignment="1">
      <alignment horizontal="center"/>
    </xf>
    <xf numFmtId="0" fontId="45" fillId="5" borderId="0" xfId="0" applyFont="1" applyFill="1" applyAlignment="1">
      <alignment horizontal="left" wrapText="1"/>
    </xf>
    <xf numFmtId="0" fontId="46" fillId="5" borderId="0" xfId="0" applyFont="1" applyFill="1" applyAlignment="1">
      <alignment wrapText="1"/>
    </xf>
    <xf numFmtId="49" fontId="46" fillId="5" borderId="0" xfId="0" applyNumberFormat="1" applyFont="1" applyFill="1" applyAlignment="1">
      <alignment wrapText="1"/>
    </xf>
    <xf numFmtId="0" fontId="26" fillId="5" borderId="0" xfId="0" applyFont="1" applyFill="1" applyAlignment="1">
      <alignment horizontal="left" wrapText="1"/>
    </xf>
    <xf numFmtId="0" fontId="32" fillId="5" borderId="0" xfId="0" applyFont="1" applyFill="1" applyAlignment="1">
      <alignment wrapText="1"/>
    </xf>
    <xf numFmtId="49" fontId="32" fillId="5" borderId="0" xfId="0" applyNumberFormat="1" applyFont="1" applyFill="1" applyAlignment="1">
      <alignment wrapText="1"/>
    </xf>
    <xf numFmtId="0" fontId="32" fillId="33" borderId="0" xfId="0" applyFont="1" applyFill="1" applyAlignment="1">
      <alignment horizontal="center"/>
    </xf>
    <xf numFmtId="0" fontId="26" fillId="33" borderId="0" xfId="0" applyFont="1" applyFill="1" applyAlignment="1">
      <alignment horizontal="left" wrapText="1"/>
    </xf>
    <xf numFmtId="0" fontId="32" fillId="33" borderId="0" xfId="0" applyFont="1" applyFill="1" applyAlignment="1">
      <alignment wrapText="1"/>
    </xf>
    <xf numFmtId="49" fontId="32" fillId="33" borderId="0" xfId="0" applyNumberFormat="1" applyFont="1" applyFill="1" applyAlignment="1">
      <alignment wrapText="1"/>
    </xf>
    <xf numFmtId="0" fontId="12" fillId="34" borderId="20" xfId="0" applyFont="1" applyFill="1" applyBorder="1" applyAlignment="1">
      <alignment wrapText="1"/>
    </xf>
    <xf numFmtId="0" fontId="10" fillId="34" borderId="20" xfId="0" applyFont="1" applyFill="1" applyBorder="1" applyAlignment="1">
      <alignment horizontal="center"/>
    </xf>
    <xf numFmtId="0" fontId="32" fillId="9" borderId="0" xfId="0" applyFont="1" applyFill="1" applyAlignment="1">
      <alignment horizontal="center"/>
    </xf>
    <xf numFmtId="0" fontId="26" fillId="9" borderId="0" xfId="0" applyFont="1" applyFill="1" applyAlignment="1">
      <alignment horizontal="left" wrapText="1"/>
    </xf>
    <xf numFmtId="0" fontId="32" fillId="9" borderId="0" xfId="0" applyFont="1" applyFill="1" applyAlignment="1">
      <alignment wrapText="1"/>
    </xf>
    <xf numFmtId="49" fontId="32" fillId="9" borderId="0" xfId="0" applyNumberFormat="1" applyFont="1" applyFill="1" applyAlignment="1">
      <alignment wrapText="1"/>
    </xf>
    <xf numFmtId="0" fontId="31" fillId="0" borderId="0" xfId="0" applyFont="1" applyAlignment="1">
      <alignment horizontal="left"/>
    </xf>
    <xf numFmtId="0" fontId="32" fillId="10" borderId="0" xfId="0" applyFont="1" applyFill="1" applyAlignment="1">
      <alignment horizontal="center"/>
    </xf>
    <xf numFmtId="0" fontId="26" fillId="10" borderId="0" xfId="0" applyFont="1" applyFill="1" applyAlignment="1">
      <alignment horizontal="left" wrapText="1"/>
    </xf>
    <xf numFmtId="0" fontId="32" fillId="10" borderId="0" xfId="0" applyFont="1" applyFill="1" applyAlignment="1">
      <alignment wrapText="1"/>
    </xf>
    <xf numFmtId="49" fontId="32" fillId="10" borderId="0" xfId="0" applyNumberFormat="1" applyFont="1" applyFill="1" applyAlignment="1">
      <alignment wrapText="1"/>
    </xf>
    <xf numFmtId="0" fontId="35" fillId="0" borderId="0" xfId="0" applyFont="1" applyAlignment="1">
      <alignment wrapText="1"/>
    </xf>
    <xf numFmtId="0" fontId="12" fillId="10" borderId="20" xfId="0" applyFont="1" applyFill="1" applyBorder="1" applyAlignment="1">
      <alignment wrapText="1"/>
    </xf>
    <xf numFmtId="0" fontId="10" fillId="10" borderId="20" xfId="0" applyFont="1" applyFill="1" applyBorder="1" applyAlignment="1">
      <alignment horizontal="center"/>
    </xf>
    <xf numFmtId="0" fontId="32" fillId="29" borderId="0" xfId="0" applyFont="1" applyFill="1" applyAlignment="1">
      <alignment horizontal="center"/>
    </xf>
    <xf numFmtId="0" fontId="26" fillId="29" borderId="0" xfId="0" applyFont="1" applyFill="1" applyAlignment="1">
      <alignment horizontal="left" wrapText="1"/>
    </xf>
    <xf numFmtId="0" fontId="32" fillId="29" borderId="0" xfId="0" applyFont="1" applyFill="1" applyAlignment="1">
      <alignment wrapText="1"/>
    </xf>
    <xf numFmtId="49" fontId="32" fillId="29" borderId="0" xfId="0" applyNumberFormat="1" applyFont="1" applyFill="1" applyAlignment="1">
      <alignment wrapText="1"/>
    </xf>
    <xf numFmtId="0" fontId="47" fillId="6" borderId="0" xfId="0" applyFont="1" applyFill="1"/>
    <xf numFmtId="0" fontId="36" fillId="6" borderId="0" xfId="0" applyFont="1" applyFill="1" applyAlignment="1">
      <alignment wrapText="1"/>
    </xf>
    <xf numFmtId="0" fontId="30" fillId="0" borderId="20" xfId="0" applyFont="1" applyBorder="1"/>
    <xf numFmtId="0" fontId="38" fillId="0" borderId="0" xfId="0" applyFont="1" applyAlignment="1">
      <alignment vertical="center"/>
    </xf>
    <xf numFmtId="0" fontId="34" fillId="0" borderId="5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7" xfId="0" applyFont="1" applyBorder="1" applyAlignment="1">
      <alignment vertical="center" wrapText="1"/>
    </xf>
    <xf numFmtId="0" fontId="11" fillId="0" borderId="14" xfId="0" applyFont="1" applyBorder="1" applyAlignment="1">
      <alignment wrapText="1"/>
    </xf>
    <xf numFmtId="0" fontId="36" fillId="0" borderId="0" xfId="0" applyFont="1" applyAlignment="1">
      <alignment horizontal="center" wrapText="1"/>
    </xf>
    <xf numFmtId="0" fontId="48" fillId="0" borderId="0" xfId="0" applyFont="1" applyAlignment="1">
      <alignment wrapText="1"/>
    </xf>
    <xf numFmtId="0" fontId="32" fillId="0" borderId="0" xfId="0" applyFont="1" applyAlignment="1">
      <alignment horizontal="center" wrapText="1"/>
    </xf>
    <xf numFmtId="0" fontId="48" fillId="0" borderId="0" xfId="0" applyFont="1" applyAlignment="1">
      <alignment horizontal="center"/>
    </xf>
    <xf numFmtId="0" fontId="33" fillId="0" borderId="0" xfId="0" applyFont="1"/>
    <xf numFmtId="0" fontId="32" fillId="35" borderId="0" xfId="0" applyFont="1" applyFill="1" applyAlignment="1">
      <alignment wrapText="1"/>
    </xf>
    <xf numFmtId="0" fontId="30" fillId="0" borderId="0" xfId="0" applyFont="1"/>
    <xf numFmtId="0" fontId="12" fillId="24" borderId="0" xfId="0" applyFont="1" applyFill="1" applyAlignment="1">
      <alignment wrapText="1"/>
    </xf>
    <xf numFmtId="0" fontId="16" fillId="23" borderId="0" xfId="0" applyFont="1" applyFill="1" applyAlignment="1">
      <alignment wrapText="1"/>
    </xf>
    <xf numFmtId="0" fontId="2" fillId="0" borderId="0" xfId="0" applyFont="1" applyAlignment="1">
      <alignment horizontal="left"/>
    </xf>
    <xf numFmtId="0" fontId="50" fillId="0" borderId="0" xfId="0" applyFont="1" applyAlignment="1">
      <alignment horizontal="center" vertical="top" wrapText="1"/>
    </xf>
    <xf numFmtId="0" fontId="51" fillId="0" borderId="0" xfId="0" applyFont="1" applyAlignment="1">
      <alignment horizontal="center" vertical="top" wrapText="1"/>
    </xf>
    <xf numFmtId="0" fontId="51" fillId="36" borderId="2" xfId="0" applyFont="1" applyFill="1" applyBorder="1" applyAlignment="1">
      <alignment horizontal="center" vertical="top" wrapText="1"/>
    </xf>
    <xf numFmtId="0" fontId="51" fillId="37" borderId="3" xfId="0" applyFont="1" applyFill="1" applyBorder="1" applyAlignment="1">
      <alignment horizontal="center" vertical="top" wrapText="1"/>
    </xf>
    <xf numFmtId="0" fontId="51" fillId="37" borderId="2" xfId="0" applyFont="1" applyFill="1" applyBorder="1" applyAlignment="1">
      <alignment horizontal="center" vertical="top" wrapText="1"/>
    </xf>
    <xf numFmtId="0" fontId="50" fillId="3" borderId="2" xfId="0" applyFont="1" applyFill="1" applyBorder="1" applyAlignment="1">
      <alignment horizontal="left" vertical="top" wrapText="1"/>
    </xf>
    <xf numFmtId="0" fontId="50" fillId="3" borderId="2" xfId="0" applyFont="1" applyFill="1" applyBorder="1" applyAlignment="1">
      <alignment horizontal="center" vertical="top" wrapText="1"/>
    </xf>
    <xf numFmtId="0" fontId="50" fillId="0" borderId="2" xfId="0" applyFont="1" applyBorder="1" applyAlignment="1">
      <alignment horizontal="center" vertical="top" wrapText="1"/>
    </xf>
    <xf numFmtId="0" fontId="52" fillId="0" borderId="2" xfId="0" applyFont="1" applyBorder="1" applyAlignment="1">
      <alignment horizontal="center" vertical="top" wrapText="1"/>
    </xf>
    <xf numFmtId="0" fontId="50" fillId="38" borderId="2" xfId="0" applyFont="1" applyFill="1" applyBorder="1" applyAlignment="1">
      <alignment horizontal="left" vertical="top" wrapText="1"/>
    </xf>
    <xf numFmtId="0" fontId="50" fillId="38" borderId="2" xfId="0" applyFont="1" applyFill="1" applyBorder="1" applyAlignment="1">
      <alignment horizontal="center" vertical="top" wrapText="1"/>
    </xf>
    <xf numFmtId="0" fontId="52" fillId="3" borderId="2" xfId="0" applyFont="1" applyFill="1" applyBorder="1" applyAlignment="1">
      <alignment horizontal="center" vertical="top" wrapText="1"/>
    </xf>
    <xf numFmtId="49" fontId="12" fillId="0" borderId="0" xfId="0" applyNumberFormat="1" applyFont="1" applyAlignment="1">
      <alignment wrapText="1"/>
    </xf>
    <xf numFmtId="49" fontId="53" fillId="13" borderId="0" xfId="0" applyNumberFormat="1" applyFont="1" applyFill="1" applyAlignment="1">
      <alignment horizontal="left" wrapText="1"/>
    </xf>
    <xf numFmtId="49" fontId="12" fillId="39" borderId="0" xfId="0" applyNumberFormat="1" applyFont="1" applyFill="1" applyAlignment="1">
      <alignment wrapText="1"/>
    </xf>
    <xf numFmtId="0" fontId="12" fillId="39" borderId="0" xfId="0" applyFont="1" applyFill="1" applyAlignment="1">
      <alignment wrapText="1"/>
    </xf>
    <xf numFmtId="49" fontId="53" fillId="37" borderId="0" xfId="0" applyNumberFormat="1" applyFont="1" applyFill="1" applyAlignment="1">
      <alignment wrapText="1"/>
    </xf>
    <xf numFmtId="0" fontId="0" fillId="0" borderId="0" xfId="0"/>
    <xf numFmtId="0" fontId="68" fillId="44" borderId="28" xfId="0" applyFont="1" applyFill="1" applyBorder="1" applyAlignment="1">
      <alignment horizontal="center" vertical="center" wrapText="1"/>
    </xf>
    <xf numFmtId="0" fontId="68" fillId="45" borderId="28" xfId="0" applyFont="1" applyFill="1" applyBorder="1" applyAlignment="1">
      <alignment horizontal="center" vertical="center" wrapText="1"/>
    </xf>
    <xf numFmtId="0" fontId="69" fillId="0" borderId="28" xfId="0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9" fillId="0" borderId="30" xfId="0" applyFont="1" applyBorder="1" applyAlignment="1">
      <alignment horizontal="center" vertical="center" wrapText="1"/>
    </xf>
    <xf numFmtId="0" fontId="68" fillId="46" borderId="30" xfId="0" applyFont="1" applyFill="1" applyBorder="1" applyAlignment="1">
      <alignment horizontal="center" vertical="center" wrapText="1"/>
    </xf>
    <xf numFmtId="0" fontId="69" fillId="0" borderId="34" xfId="0" applyFont="1" applyBorder="1" applyAlignment="1">
      <alignment horizontal="center" vertical="center" wrapText="1"/>
    </xf>
    <xf numFmtId="0" fontId="68" fillId="46" borderId="37" xfId="0" applyFont="1" applyFill="1" applyBorder="1" applyAlignment="1">
      <alignment horizontal="center" vertical="center" wrapText="1"/>
    </xf>
    <xf numFmtId="0" fontId="69" fillId="0" borderId="37" xfId="0" applyFont="1" applyBorder="1" applyAlignment="1">
      <alignment horizontal="center" vertical="center" wrapText="1"/>
    </xf>
    <xf numFmtId="0" fontId="69" fillId="0" borderId="40" xfId="0" applyFont="1" applyBorder="1" applyAlignment="1">
      <alignment horizontal="center" vertical="center" wrapText="1"/>
    </xf>
    <xf numFmtId="0" fontId="69" fillId="0" borderId="41" xfId="0" applyFont="1" applyBorder="1" applyAlignment="1">
      <alignment horizontal="center" vertical="center" wrapText="1"/>
    </xf>
    <xf numFmtId="0" fontId="69" fillId="0" borderId="42" xfId="0" applyFont="1" applyBorder="1" applyAlignment="1">
      <alignment horizontal="center" vertical="center" wrapText="1"/>
    </xf>
    <xf numFmtId="0" fontId="68" fillId="43" borderId="34" xfId="0" applyFont="1" applyFill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43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center" vertical="center" wrapText="1"/>
    </xf>
    <xf numFmtId="0" fontId="69" fillId="0" borderId="46" xfId="0" applyFont="1" applyBorder="1" applyAlignment="1">
      <alignment horizontal="center" vertical="center" wrapText="1"/>
    </xf>
    <xf numFmtId="0" fontId="69" fillId="0" borderId="47" xfId="0" applyFont="1" applyBorder="1" applyAlignment="1">
      <alignment horizontal="center" vertical="center" wrapText="1"/>
    </xf>
    <xf numFmtId="0" fontId="69" fillId="0" borderId="48" xfId="0" applyFont="1" applyBorder="1" applyAlignment="1">
      <alignment horizontal="center" vertical="center" wrapText="1"/>
    </xf>
    <xf numFmtId="0" fontId="69" fillId="0" borderId="49" xfId="0" applyFont="1" applyBorder="1" applyAlignment="1">
      <alignment horizontal="center" vertical="center" wrapText="1"/>
    </xf>
    <xf numFmtId="0" fontId="68" fillId="45" borderId="30" xfId="0" applyFont="1" applyFill="1" applyBorder="1" applyAlignment="1">
      <alignment horizontal="center" vertical="center" wrapText="1"/>
    </xf>
    <xf numFmtId="0" fontId="69" fillId="0" borderId="51" xfId="0" applyFont="1" applyBorder="1" applyAlignment="1">
      <alignment horizontal="center" vertical="center" wrapText="1"/>
    </xf>
    <xf numFmtId="0" fontId="69" fillId="0" borderId="54" xfId="0" applyFont="1" applyBorder="1" applyAlignment="1">
      <alignment horizontal="center" vertical="center" wrapText="1"/>
    </xf>
    <xf numFmtId="0" fontId="69" fillId="0" borderId="57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left" vertical="center" wrapText="1"/>
    </xf>
    <xf numFmtId="20" fontId="66" fillId="41" borderId="27" xfId="0" applyNumberFormat="1" applyFont="1" applyFill="1" applyBorder="1" applyAlignment="1">
      <alignment horizontal="left" vertical="center" wrapText="1"/>
    </xf>
    <xf numFmtId="0" fontId="69" fillId="0" borderId="68" xfId="0" applyFont="1" applyBorder="1" applyAlignment="1">
      <alignment horizontal="center" vertical="center" wrapText="1"/>
    </xf>
    <xf numFmtId="0" fontId="69" fillId="0" borderId="45" xfId="0" applyFont="1" applyBorder="1" applyAlignment="1">
      <alignment horizontal="center" vertical="center" wrapText="1"/>
    </xf>
    <xf numFmtId="0" fontId="69" fillId="0" borderId="78" xfId="0" applyFont="1" applyBorder="1" applyAlignment="1">
      <alignment horizontal="center" vertical="center" wrapText="1"/>
    </xf>
    <xf numFmtId="0" fontId="69" fillId="0" borderId="79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87" xfId="0" applyFont="1" applyBorder="1" applyAlignment="1">
      <alignment horizontal="center" vertical="center" wrapText="1"/>
    </xf>
    <xf numFmtId="0" fontId="68" fillId="46" borderId="89" xfId="0" applyFont="1" applyFill="1" applyBorder="1" applyAlignment="1">
      <alignment horizontal="center" vertical="center" wrapText="1"/>
    </xf>
    <xf numFmtId="0" fontId="69" fillId="0" borderId="89" xfId="0" applyFont="1" applyBorder="1" applyAlignment="1">
      <alignment horizontal="center" vertical="center" wrapText="1"/>
    </xf>
    <xf numFmtId="0" fontId="69" fillId="0" borderId="90" xfId="0" applyFont="1" applyBorder="1" applyAlignment="1">
      <alignment horizontal="center" vertical="center" wrapText="1"/>
    </xf>
    <xf numFmtId="0" fontId="69" fillId="0" borderId="91" xfId="0" applyFont="1" applyBorder="1" applyAlignment="1">
      <alignment horizontal="center" vertical="center" wrapText="1"/>
    </xf>
    <xf numFmtId="0" fontId="69" fillId="0" borderId="92" xfId="0" applyFont="1" applyBorder="1" applyAlignment="1">
      <alignment horizontal="center" vertical="center" wrapText="1"/>
    </xf>
    <xf numFmtId="0" fontId="69" fillId="0" borderId="93" xfId="0" applyFont="1" applyBorder="1" applyAlignment="1">
      <alignment horizontal="center" vertical="center" wrapText="1"/>
    </xf>
    <xf numFmtId="0" fontId="68" fillId="43" borderId="82" xfId="0" applyFont="1" applyFill="1" applyBorder="1" applyAlignment="1">
      <alignment horizontal="center" vertical="center" wrapText="1"/>
    </xf>
    <xf numFmtId="0" fontId="69" fillId="0" borderId="81" xfId="0" applyFont="1" applyBorder="1" applyAlignment="1">
      <alignment horizontal="center" vertical="center" wrapText="1"/>
    </xf>
    <xf numFmtId="0" fontId="69" fillId="0" borderId="97" xfId="0" applyFont="1" applyBorder="1" applyAlignment="1">
      <alignment horizontal="center" vertical="center" wrapText="1"/>
    </xf>
    <xf numFmtId="0" fontId="69" fillId="0" borderId="98" xfId="0" applyFont="1" applyBorder="1" applyAlignment="1">
      <alignment horizontal="center" vertical="center" wrapText="1"/>
    </xf>
    <xf numFmtId="0" fontId="69" fillId="0" borderId="100" xfId="0" applyFont="1" applyBorder="1" applyAlignment="1">
      <alignment horizontal="center" vertical="center" wrapText="1"/>
    </xf>
    <xf numFmtId="0" fontId="69" fillId="0" borderId="101" xfId="0" applyFont="1" applyBorder="1" applyAlignment="1">
      <alignment horizontal="center" vertical="center" wrapText="1"/>
    </xf>
    <xf numFmtId="0" fontId="69" fillId="0" borderId="53" xfId="0" applyFont="1" applyBorder="1" applyAlignment="1">
      <alignment horizontal="center" vertical="center" wrapText="1"/>
    </xf>
    <xf numFmtId="0" fontId="69" fillId="0" borderId="52" xfId="0" applyFont="1" applyBorder="1" applyAlignment="1">
      <alignment horizontal="center" vertical="center" wrapText="1"/>
    </xf>
    <xf numFmtId="0" fontId="69" fillId="0" borderId="103" xfId="0" applyFont="1" applyBorder="1" applyAlignment="1">
      <alignment horizontal="center" vertical="center" wrapText="1"/>
    </xf>
    <xf numFmtId="0" fontId="69" fillId="0" borderId="104" xfId="0" applyFont="1" applyBorder="1" applyAlignment="1">
      <alignment horizontal="center" vertical="center" wrapText="1"/>
    </xf>
    <xf numFmtId="0" fontId="69" fillId="0" borderId="105" xfId="0" applyFont="1" applyBorder="1" applyAlignment="1">
      <alignment horizontal="center" vertical="center" wrapText="1"/>
    </xf>
    <xf numFmtId="0" fontId="69" fillId="0" borderId="106" xfId="0" applyFont="1" applyBorder="1" applyAlignment="1">
      <alignment horizontal="center" vertical="center" wrapText="1"/>
    </xf>
    <xf numFmtId="0" fontId="69" fillId="0" borderId="107" xfId="0" applyFont="1" applyBorder="1" applyAlignment="1">
      <alignment horizontal="center" vertical="center" wrapText="1"/>
    </xf>
    <xf numFmtId="0" fontId="69" fillId="0" borderId="108" xfId="0" applyFont="1" applyBorder="1" applyAlignment="1">
      <alignment horizontal="center" vertical="center" wrapText="1"/>
    </xf>
    <xf numFmtId="0" fontId="69" fillId="0" borderId="109" xfId="0" applyFont="1" applyBorder="1" applyAlignment="1">
      <alignment horizontal="center" vertical="center" wrapText="1"/>
    </xf>
    <xf numFmtId="0" fontId="69" fillId="0" borderId="110" xfId="0" applyFont="1" applyBorder="1" applyAlignment="1">
      <alignment horizontal="center" vertical="center" wrapText="1"/>
    </xf>
    <xf numFmtId="0" fontId="69" fillId="0" borderId="111" xfId="0" applyFont="1" applyBorder="1" applyAlignment="1">
      <alignment horizontal="center" vertical="center" wrapText="1"/>
    </xf>
    <xf numFmtId="0" fontId="69" fillId="0" borderId="56" xfId="0" applyFont="1" applyBorder="1" applyAlignment="1">
      <alignment horizontal="center" vertical="center" wrapText="1"/>
    </xf>
    <xf numFmtId="0" fontId="69" fillId="0" borderId="112" xfId="0" applyFont="1" applyBorder="1" applyAlignment="1">
      <alignment horizontal="center" vertical="center" wrapText="1"/>
    </xf>
    <xf numFmtId="0" fontId="69" fillId="0" borderId="113" xfId="0" applyFont="1" applyBorder="1" applyAlignment="1">
      <alignment horizontal="center" vertical="center" wrapText="1"/>
    </xf>
    <xf numFmtId="0" fontId="69" fillId="0" borderId="114" xfId="0" applyFont="1" applyBorder="1" applyAlignment="1">
      <alignment horizontal="center" vertical="center" wrapText="1"/>
    </xf>
    <xf numFmtId="0" fontId="69" fillId="0" borderId="115" xfId="0" applyFont="1" applyBorder="1" applyAlignment="1">
      <alignment horizontal="center" vertical="center" wrapText="1"/>
    </xf>
    <xf numFmtId="0" fontId="69" fillId="47" borderId="63" xfId="0" applyFont="1" applyFill="1" applyBorder="1" applyAlignment="1">
      <alignment horizontal="center" vertical="center" wrapText="1"/>
    </xf>
    <xf numFmtId="0" fontId="69" fillId="47" borderId="32" xfId="0" applyFont="1" applyFill="1" applyBorder="1" applyAlignment="1">
      <alignment horizontal="center" vertical="center" wrapText="1"/>
    </xf>
    <xf numFmtId="0" fontId="67" fillId="42" borderId="33" xfId="0" applyFont="1" applyFill="1" applyBorder="1" applyAlignment="1">
      <alignment horizontal="center" vertical="center"/>
    </xf>
    <xf numFmtId="0" fontId="67" fillId="42" borderId="35" xfId="0" applyFont="1" applyFill="1" applyBorder="1" applyAlignment="1">
      <alignment horizontal="center" vertical="center"/>
    </xf>
    <xf numFmtId="0" fontId="67" fillId="42" borderId="50" xfId="0" applyFont="1" applyFill="1" applyBorder="1" applyAlignment="1">
      <alignment horizontal="center" vertical="center"/>
    </xf>
    <xf numFmtId="0" fontId="67" fillId="42" borderId="36" xfId="0" applyFont="1" applyFill="1" applyBorder="1" applyAlignment="1">
      <alignment horizontal="center" vertical="center"/>
    </xf>
    <xf numFmtId="0" fontId="68" fillId="43" borderId="81" xfId="0" applyFont="1" applyFill="1" applyBorder="1" applyAlignment="1">
      <alignment horizontal="center" vertical="center" wrapText="1"/>
    </xf>
    <xf numFmtId="0" fontId="68" fillId="43" borderId="29" xfId="0" applyFont="1" applyFill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4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62" xfId="0" applyFont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7" fillId="42" borderId="80" xfId="0" applyFont="1" applyFill="1" applyBorder="1" applyAlignment="1">
      <alignment horizontal="center" vertical="center"/>
    </xf>
    <xf numFmtId="0" fontId="67" fillId="42" borderId="86" xfId="0" applyFont="1" applyFill="1" applyBorder="1" applyAlignment="1">
      <alignment horizontal="center" vertical="center"/>
    </xf>
    <xf numFmtId="0" fontId="67" fillId="42" borderId="88" xfId="0" applyFont="1" applyFill="1" applyBorder="1" applyAlignment="1">
      <alignment horizontal="center" vertical="center"/>
    </xf>
    <xf numFmtId="0" fontId="67" fillId="42" borderId="102" xfId="0" applyFont="1" applyFill="1" applyBorder="1" applyAlignment="1">
      <alignment horizontal="center" vertical="center"/>
    </xf>
    <xf numFmtId="0" fontId="64" fillId="40" borderId="0" xfId="0" applyFont="1" applyFill="1" applyAlignment="1">
      <alignment horizontal="center" vertical="center"/>
    </xf>
    <xf numFmtId="0" fontId="69" fillId="47" borderId="31" xfId="0" applyFont="1" applyFill="1" applyBorder="1" applyAlignment="1">
      <alignment horizontal="center" vertical="center" wrapText="1"/>
    </xf>
    <xf numFmtId="0" fontId="69" fillId="47" borderId="62" xfId="0" applyFont="1" applyFill="1" applyBorder="1" applyAlignment="1">
      <alignment horizontal="center" vertical="center" wrapText="1"/>
    </xf>
    <xf numFmtId="0" fontId="69" fillId="47" borderId="66" xfId="0" applyFont="1" applyFill="1" applyBorder="1" applyAlignment="1">
      <alignment horizontal="center" vertical="center" wrapText="1"/>
    </xf>
    <xf numFmtId="0" fontId="69" fillId="48" borderId="31" xfId="0" applyFont="1" applyFill="1" applyBorder="1" applyAlignment="1">
      <alignment horizontal="center" vertical="center" wrapText="1"/>
    </xf>
    <xf numFmtId="0" fontId="69" fillId="48" borderId="62" xfId="0" applyFont="1" applyFill="1" applyBorder="1" applyAlignment="1">
      <alignment horizontal="center" vertical="center" wrapText="1"/>
    </xf>
    <xf numFmtId="0" fontId="69" fillId="48" borderId="32" xfId="0" applyFont="1" applyFill="1" applyBorder="1" applyAlignment="1">
      <alignment horizontal="center" vertical="center" wrapText="1"/>
    </xf>
    <xf numFmtId="0" fontId="69" fillId="0" borderId="66" xfId="0" applyFont="1" applyBorder="1" applyAlignment="1">
      <alignment horizontal="center" vertical="center" wrapText="1"/>
    </xf>
    <xf numFmtId="0" fontId="69" fillId="48" borderId="60" xfId="0" applyFont="1" applyFill="1" applyBorder="1" applyAlignment="1">
      <alignment horizontal="center" vertical="center" wrapText="1"/>
    </xf>
    <xf numFmtId="0" fontId="69" fillId="48" borderId="72" xfId="0" applyFont="1" applyFill="1" applyBorder="1" applyAlignment="1">
      <alignment horizontal="center" vertical="center" wrapText="1"/>
    </xf>
    <xf numFmtId="0" fontId="69" fillId="48" borderId="61" xfId="0" applyFont="1" applyFill="1" applyBorder="1" applyAlignment="1">
      <alignment horizontal="center" vertical="center" wrapText="1"/>
    </xf>
    <xf numFmtId="0" fontId="69" fillId="0" borderId="94" xfId="0" applyFont="1" applyBorder="1" applyAlignment="1">
      <alignment horizontal="center" vertical="center" wrapText="1"/>
    </xf>
    <xf numFmtId="0" fontId="69" fillId="0" borderId="95" xfId="0" applyFont="1" applyBorder="1" applyAlignment="1">
      <alignment horizontal="center" vertical="center" wrapText="1"/>
    </xf>
    <xf numFmtId="0" fontId="69" fillId="0" borderId="96" xfId="0" applyFont="1" applyBorder="1" applyAlignment="1">
      <alignment horizontal="center" vertical="center" wrapText="1"/>
    </xf>
    <xf numFmtId="0" fontId="69" fillId="47" borderId="60" xfId="0" applyFont="1" applyFill="1" applyBorder="1" applyAlignment="1">
      <alignment horizontal="center" vertical="center" wrapText="1"/>
    </xf>
    <xf numFmtId="0" fontId="69" fillId="47" borderId="61" xfId="0" applyFont="1" applyFill="1" applyBorder="1" applyAlignment="1">
      <alignment horizontal="center" vertical="center" wrapText="1"/>
    </xf>
    <xf numFmtId="0" fontId="69" fillId="47" borderId="71" xfId="0" applyFont="1" applyFill="1" applyBorder="1" applyAlignment="1">
      <alignment horizontal="center" vertical="center" wrapText="1"/>
    </xf>
    <xf numFmtId="0" fontId="69" fillId="47" borderId="72" xfId="0" applyFont="1" applyFill="1" applyBorder="1" applyAlignment="1">
      <alignment horizontal="center" vertical="center" wrapText="1"/>
    </xf>
    <xf numFmtId="0" fontId="69" fillId="47" borderId="73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/>
    </xf>
    <xf numFmtId="0" fontId="69" fillId="47" borderId="67" xfId="0" applyFont="1" applyFill="1" applyBorder="1" applyAlignment="1">
      <alignment horizontal="center" vertical="center" wrapText="1"/>
    </xf>
    <xf numFmtId="0" fontId="69" fillId="48" borderId="66" xfId="0" applyFont="1" applyFill="1" applyBorder="1" applyAlignment="1">
      <alignment horizontal="center" vertical="center" wrapText="1"/>
    </xf>
    <xf numFmtId="0" fontId="69" fillId="48" borderId="55" xfId="0" applyFont="1" applyFill="1" applyBorder="1" applyAlignment="1">
      <alignment horizontal="center" vertical="center" wrapText="1"/>
    </xf>
    <xf numFmtId="0" fontId="69" fillId="48" borderId="56" xfId="0" applyFont="1" applyFill="1" applyBorder="1" applyAlignment="1">
      <alignment horizontal="center" vertical="center" wrapText="1"/>
    </xf>
    <xf numFmtId="0" fontId="69" fillId="0" borderId="69" xfId="0" applyFont="1" applyBorder="1" applyAlignment="1">
      <alignment horizontal="center" vertical="center" wrapText="1"/>
    </xf>
    <xf numFmtId="0" fontId="69" fillId="0" borderId="75" xfId="0" applyFont="1" applyBorder="1" applyAlignment="1">
      <alignment horizontal="center" vertical="center" wrapText="1"/>
    </xf>
    <xf numFmtId="0" fontId="69" fillId="0" borderId="77" xfId="0" applyFont="1" applyBorder="1" applyAlignment="1">
      <alignment horizontal="center" vertical="center" wrapText="1"/>
    </xf>
    <xf numFmtId="0" fontId="69" fillId="0" borderId="70" xfId="0" applyFont="1" applyBorder="1" applyAlignment="1">
      <alignment horizontal="center" vertical="center" wrapText="1"/>
    </xf>
    <xf numFmtId="0" fontId="69" fillId="49" borderId="31" xfId="0" applyFont="1" applyFill="1" applyBorder="1" applyAlignment="1">
      <alignment horizontal="center" vertical="center" wrapText="1"/>
    </xf>
    <xf numFmtId="0" fontId="69" fillId="49" borderId="32" xfId="0" applyFont="1" applyFill="1" applyBorder="1" applyAlignment="1">
      <alignment horizontal="center" vertical="center" wrapText="1"/>
    </xf>
    <xf numFmtId="0" fontId="69" fillId="49" borderId="62" xfId="0" applyFont="1" applyFill="1" applyBorder="1" applyAlignment="1">
      <alignment horizontal="center" vertical="center" wrapText="1"/>
    </xf>
    <xf numFmtId="0" fontId="69" fillId="49" borderId="66" xfId="0" applyFont="1" applyFill="1" applyBorder="1" applyAlignment="1">
      <alignment horizontal="center" vertical="center" wrapText="1"/>
    </xf>
    <xf numFmtId="0" fontId="69" fillId="49" borderId="69" xfId="0" applyFont="1" applyFill="1" applyBorder="1" applyAlignment="1">
      <alignment horizontal="center" vertical="center" wrapText="1"/>
    </xf>
    <xf numFmtId="0" fontId="69" fillId="49" borderId="70" xfId="0" applyFont="1" applyFill="1" applyBorder="1" applyAlignment="1">
      <alignment horizontal="center" vertical="center" wrapText="1"/>
    </xf>
    <xf numFmtId="0" fontId="69" fillId="49" borderId="74" xfId="0" applyFont="1" applyFill="1" applyBorder="1" applyAlignment="1">
      <alignment horizontal="center" vertical="center" wrapText="1"/>
    </xf>
    <xf numFmtId="0" fontId="69" fillId="49" borderId="75" xfId="0" applyFont="1" applyFill="1" applyBorder="1" applyAlignment="1">
      <alignment horizontal="center" vertical="center" wrapText="1"/>
    </xf>
    <xf numFmtId="0" fontId="69" fillId="49" borderId="99" xfId="0" applyFont="1" applyFill="1" applyBorder="1" applyAlignment="1">
      <alignment horizontal="center" vertical="center" wrapText="1"/>
    </xf>
    <xf numFmtId="0" fontId="69" fillId="49" borderId="76" xfId="0" applyFont="1" applyFill="1" applyBorder="1" applyAlignment="1">
      <alignment horizontal="center" vertical="center" wrapText="1"/>
    </xf>
    <xf numFmtId="0" fontId="69" fillId="0" borderId="39" xfId="0" applyFont="1" applyBorder="1" applyAlignment="1">
      <alignment horizontal="center" vertical="center" wrapText="1"/>
    </xf>
    <xf numFmtId="0" fontId="69" fillId="0" borderId="64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wrapText="1"/>
    </xf>
    <xf numFmtId="0" fontId="69" fillId="48" borderId="63" xfId="0" applyFont="1" applyFill="1" applyBorder="1" applyAlignment="1">
      <alignment horizontal="center" vertical="center" wrapText="1"/>
    </xf>
    <xf numFmtId="0" fontId="69" fillId="49" borderId="58" xfId="0" applyFont="1" applyFill="1" applyBorder="1" applyAlignment="1">
      <alignment horizontal="center" vertical="center" wrapText="1"/>
    </xf>
    <xf numFmtId="0" fontId="69" fillId="49" borderId="54" xfId="0" applyFont="1" applyFill="1" applyBorder="1" applyAlignment="1">
      <alignment horizontal="center" vertical="center" wrapText="1"/>
    </xf>
    <xf numFmtId="0" fontId="69" fillId="49" borderId="59" xfId="0" applyFont="1" applyFill="1" applyBorder="1" applyAlignment="1">
      <alignment horizontal="center" vertical="center" wrapText="1"/>
    </xf>
    <xf numFmtId="0" fontId="69" fillId="49" borderId="113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0" fontId="11" fillId="17" borderId="0" xfId="0" applyFont="1" applyFill="1" applyAlignment="1">
      <alignment horizontal="left"/>
    </xf>
    <xf numFmtId="0" fontId="8" fillId="0" borderId="9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1" fillId="9" borderId="5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5" borderId="0" xfId="0" applyFont="1" applyFill="1" applyAlignment="1">
      <alignment horizontal="left"/>
    </xf>
    <xf numFmtId="0" fontId="11" fillId="10" borderId="0" xfId="0" applyFont="1" applyFill="1" applyAlignment="1">
      <alignment horizontal="left"/>
    </xf>
    <xf numFmtId="0" fontId="11" fillId="19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22" fillId="18" borderId="0" xfId="0" applyFont="1" applyFill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49" fontId="1" fillId="7" borderId="5" xfId="0" applyNumberFormat="1" applyFont="1" applyFill="1" applyBorder="1" applyAlignment="1">
      <alignment horizontal="center" wrapText="1"/>
    </xf>
    <xf numFmtId="0" fontId="7" fillId="0" borderId="14" xfId="0" applyFont="1" applyBorder="1" applyAlignment="1">
      <alignment wrapText="1"/>
    </xf>
    <xf numFmtId="0" fontId="11" fillId="10" borderId="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/>
    </xf>
    <xf numFmtId="0" fontId="7" fillId="0" borderId="12" xfId="0" applyFont="1" applyBorder="1" applyAlignment="1">
      <alignment wrapText="1"/>
    </xf>
    <xf numFmtId="0" fontId="2" fillId="13" borderId="10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7" fillId="0" borderId="18" xfId="0" applyFont="1" applyBorder="1" applyAlignment="1">
      <alignment wrapText="1"/>
    </xf>
    <xf numFmtId="0" fontId="11" fillId="4" borderId="5" xfId="0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1" fillId="10" borderId="11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wrapText="1"/>
    </xf>
    <xf numFmtId="0" fontId="7" fillId="0" borderId="19" xfId="0" applyFont="1" applyBorder="1" applyAlignment="1">
      <alignment wrapText="1"/>
    </xf>
    <xf numFmtId="0" fontId="11" fillId="24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3" fillId="16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/>
    </xf>
    <xf numFmtId="0" fontId="7" fillId="0" borderId="24" xfId="0" applyFont="1" applyBorder="1" applyAlignment="1">
      <alignment wrapText="1"/>
    </xf>
    <xf numFmtId="0" fontId="9" fillId="0" borderId="9" xfId="0" applyFont="1" applyBorder="1" applyAlignment="1">
      <alignment horizontal="left"/>
    </xf>
    <xf numFmtId="0" fontId="11" fillId="22" borderId="5" xfId="0" applyFont="1" applyFill="1" applyBorder="1" applyAlignment="1">
      <alignment horizontal="center" vertical="center" wrapText="1"/>
    </xf>
    <xf numFmtId="0" fontId="11" fillId="23" borderId="5" xfId="0" applyFont="1" applyFill="1" applyBorder="1" applyAlignment="1">
      <alignment horizontal="center" vertical="center" wrapText="1"/>
    </xf>
    <xf numFmtId="0" fontId="11" fillId="20" borderId="5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 vertical="center" wrapText="1"/>
    </xf>
    <xf numFmtId="0" fontId="11" fillId="10" borderId="11" xfId="0" applyFont="1" applyFill="1" applyBorder="1" applyAlignment="1">
      <alignment horizontal="center" vertical="top" wrapText="1"/>
    </xf>
    <xf numFmtId="0" fontId="2" fillId="12" borderId="10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top" wrapText="1"/>
    </xf>
    <xf numFmtId="0" fontId="2" fillId="14" borderId="10" xfId="0" applyFont="1" applyFill="1" applyBorder="1" applyAlignment="1">
      <alignment horizontal="center" vertical="center"/>
    </xf>
    <xf numFmtId="49" fontId="2" fillId="26" borderId="3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49" fontId="2" fillId="4" borderId="3" xfId="0" applyNumberFormat="1" applyFont="1" applyFill="1" applyBorder="1" applyAlignment="1">
      <alignment horizontal="left" wrapText="1"/>
    </xf>
    <xf numFmtId="0" fontId="26" fillId="0" borderId="0" xfId="0" applyFont="1" applyAlignment="1">
      <alignment horizontal="center"/>
    </xf>
    <xf numFmtId="49" fontId="2" fillId="25" borderId="3" xfId="0" applyNumberFormat="1" applyFont="1" applyFill="1" applyBorder="1" applyAlignment="1">
      <alignment horizontal="left" wrapText="1"/>
    </xf>
    <xf numFmtId="0" fontId="31" fillId="0" borderId="0" xfId="0" applyFont="1" applyAlignment="1">
      <alignment wrapText="1"/>
    </xf>
    <xf numFmtId="49" fontId="2" fillId="21" borderId="3" xfId="0" applyNumberFormat="1" applyFont="1" applyFill="1" applyBorder="1" applyAlignment="1">
      <alignment horizontal="left" wrapText="1"/>
    </xf>
    <xf numFmtId="49" fontId="2" fillId="6" borderId="3" xfId="0" applyNumberFormat="1" applyFont="1" applyFill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7" borderId="0" xfId="0" applyNumberFormat="1" applyFont="1" applyFill="1" applyAlignment="1">
      <alignment horizontal="left" wrapText="1"/>
    </xf>
    <xf numFmtId="49" fontId="2" fillId="27" borderId="0" xfId="0" applyNumberFormat="1" applyFont="1" applyFill="1" applyAlignment="1">
      <alignment horizontal="left"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11" fillId="33" borderId="5" xfId="0" applyFont="1" applyFill="1" applyBorder="1" applyAlignment="1">
      <alignment horizontal="center" wrapText="1"/>
    </xf>
    <xf numFmtId="0" fontId="46" fillId="5" borderId="0" xfId="0" applyFont="1" applyFill="1" applyAlignment="1">
      <alignment wrapText="1"/>
    </xf>
    <xf numFmtId="0" fontId="32" fillId="5" borderId="0" xfId="0" applyFont="1" applyFill="1" applyAlignment="1">
      <alignment wrapText="1"/>
    </xf>
    <xf numFmtId="0" fontId="32" fillId="33" borderId="0" xfId="0" applyFont="1" applyFill="1" applyAlignment="1">
      <alignment wrapText="1"/>
    </xf>
    <xf numFmtId="0" fontId="32" fillId="9" borderId="0" xfId="0" applyFont="1" applyFill="1" applyAlignment="1">
      <alignment wrapText="1"/>
    </xf>
    <xf numFmtId="0" fontId="32" fillId="10" borderId="0" xfId="0" applyFont="1" applyFill="1" applyAlignment="1">
      <alignment horizontal="left" vertical="center" wrapText="1"/>
    </xf>
    <xf numFmtId="0" fontId="32" fillId="29" borderId="0" xfId="0" applyFont="1" applyFill="1" applyAlignment="1">
      <alignment wrapText="1"/>
    </xf>
    <xf numFmtId="0" fontId="32" fillId="6" borderId="0" xfId="0" applyFont="1" applyFill="1" applyAlignment="1">
      <alignment wrapText="1"/>
    </xf>
    <xf numFmtId="0" fontId="32" fillId="28" borderId="0" xfId="0" applyFont="1" applyFill="1" applyAlignment="1">
      <alignment wrapText="1"/>
    </xf>
    <xf numFmtId="0" fontId="32" fillId="4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7" fillId="0" borderId="25" xfId="0" applyFont="1" applyBorder="1" applyAlignment="1">
      <alignment wrapText="1"/>
    </xf>
    <xf numFmtId="0" fontId="11" fillId="29" borderId="5" xfId="0" applyFont="1" applyFill="1" applyBorder="1" applyAlignment="1">
      <alignment horizontal="center" vertical="center" wrapText="1"/>
    </xf>
    <xf numFmtId="0" fontId="34" fillId="28" borderId="5" xfId="0" applyFont="1" applyFill="1" applyBorder="1" applyAlignment="1">
      <alignment horizontal="center" vertical="center" wrapText="1"/>
    </xf>
    <xf numFmtId="0" fontId="25" fillId="5" borderId="5" xfId="0" applyFont="1" applyFill="1" applyBorder="1" applyAlignment="1">
      <alignment horizontal="center" vertical="center" wrapText="1"/>
    </xf>
    <xf numFmtId="0" fontId="39" fillId="30" borderId="5" xfId="0" applyFont="1" applyFill="1" applyBorder="1" applyAlignment="1">
      <alignment horizontal="center" wrapText="1"/>
    </xf>
    <xf numFmtId="0" fontId="16" fillId="32" borderId="5" xfId="0" applyFont="1" applyFill="1" applyBorder="1" applyAlignment="1">
      <alignment horizontal="center" vertical="center" wrapText="1"/>
    </xf>
    <xf numFmtId="0" fontId="11" fillId="32" borderId="5" xfId="0" applyFont="1" applyFill="1" applyBorder="1" applyAlignment="1">
      <alignment horizontal="center" vertical="center" wrapText="1"/>
    </xf>
    <xf numFmtId="0" fontId="11" fillId="33" borderId="1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2" fillId="14" borderId="26" xfId="0" applyFont="1" applyFill="1" applyBorder="1" applyAlignment="1">
      <alignment horizontal="center" vertical="center"/>
    </xf>
    <xf numFmtId="0" fontId="32" fillId="35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49" fillId="0" borderId="0" xfId="0" applyFont="1" applyAlignment="1">
      <alignment horizontal="center" vertical="top" wrapText="1"/>
    </xf>
    <xf numFmtId="0" fontId="51" fillId="3" borderId="10" xfId="0" applyFont="1" applyFill="1" applyBorder="1" applyAlignment="1">
      <alignment horizontal="center" vertical="top" wrapText="1"/>
    </xf>
    <xf numFmtId="0" fontId="50" fillId="3" borderId="10" xfId="0" applyFont="1" applyFill="1" applyBorder="1" applyAlignment="1">
      <alignment horizontal="center" vertical="top" wrapText="1"/>
    </xf>
    <xf numFmtId="0" fontId="51" fillId="38" borderId="10" xfId="0" applyFont="1" applyFill="1" applyBorder="1" applyAlignment="1">
      <alignment horizontal="center" vertical="top" wrapText="1"/>
    </xf>
    <xf numFmtId="0" fontId="50" fillId="38" borderId="10" xfId="0" applyFont="1" applyFill="1" applyBorder="1" applyAlignment="1">
      <alignment horizontal="center" vertical="top" wrapText="1"/>
    </xf>
    <xf numFmtId="49" fontId="53" fillId="37" borderId="0" xfId="0" applyNumberFormat="1" applyFont="1" applyFill="1" applyAlignment="1">
      <alignment wrapText="1"/>
    </xf>
    <xf numFmtId="49" fontId="53" fillId="12" borderId="0" xfId="0" applyNumberFormat="1" applyFont="1" applyFill="1" applyAlignment="1">
      <alignment horizontal="center" wrapText="1"/>
    </xf>
    <xf numFmtId="49" fontId="53" fillId="37" borderId="0" xfId="0" applyNumberFormat="1" applyFont="1" applyFill="1" applyAlignment="1">
      <alignment horizontal="center" wrapText="1"/>
    </xf>
    <xf numFmtId="49" fontId="53" fillId="6" borderId="0" xfId="0" applyNumberFormat="1" applyFont="1" applyFill="1" applyAlignment="1">
      <alignment horizontal="center" wrapText="1"/>
    </xf>
    <xf numFmtId="49" fontId="53" fillId="38" borderId="0" xfId="0" applyNumberFormat="1" applyFont="1" applyFill="1" applyAlignment="1">
      <alignment horizontal="center" wrapText="1"/>
    </xf>
    <xf numFmtId="49" fontId="53" fillId="13" borderId="0" xfId="0" applyNumberFormat="1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 และ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Workload!$I$4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Workload!$J$4:$Q$4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A3-894D-8775-79CA26F85EE2}"/>
            </c:ext>
          </c:extLst>
        </c:ser>
        <c:ser>
          <c:idx val="1"/>
          <c:order val="1"/>
          <c:tx>
            <c:strRef>
              <c:f>Workload!$I$5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Workload!$J$5:$Q$5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A3-894D-8775-79CA26F85EE2}"/>
            </c:ext>
          </c:extLst>
        </c:ser>
        <c:ser>
          <c:idx val="2"/>
          <c:order val="2"/>
          <c:tx>
            <c:strRef>
              <c:f>Workload!$I$6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Workload!$J$6:$Q$6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7A3-894D-8775-79CA26F85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1644365"/>
        <c:axId val="1901214796"/>
      </c:barChart>
      <c:catAx>
        <c:axId val="2011644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01214796"/>
        <c:crosses val="autoZero"/>
        <c:auto val="1"/>
        <c:lblAlgn val="ctr"/>
        <c:lblOffset val="100"/>
        <c:noMultiLvlLbl val="1"/>
      </c:catAx>
      <c:valAx>
        <c:axId val="190121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2011644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933450</xdr:colOff>
      <xdr:row>6</xdr:row>
      <xdr:rowOff>342900</xdr:rowOff>
    </xdr:from>
    <xdr:ext cx="8686800" cy="4962525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799222-7E8E-4C41-821B-D1C234BD70F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035d340-2df1-4925-b788-2791ba3ff25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S1007"/>
  <sheetViews>
    <sheetView topLeftCell="A7" workbookViewId="0">
      <selection activeCell="L9" sqref="L9:Q9"/>
    </sheetView>
  </sheetViews>
  <sheetFormatPr baseColWidth="10" defaultColWidth="14.3984375" defaultRowHeight="15" customHeight="1"/>
  <cols>
    <col min="1" max="1" width="18.796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5" customWidth="1"/>
    <col min="13" max="13" width="22.59765625" customWidth="1"/>
    <col min="14" max="23" width="7.59765625" customWidth="1"/>
    <col min="24" max="24" width="7.796875" customWidth="1"/>
    <col min="25" max="25" width="8.59765625" customWidth="1"/>
    <col min="26" max="26" width="8.3984375" customWidth="1"/>
    <col min="27" max="27" width="9.19921875" customWidth="1"/>
    <col min="28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5" width="13.19921875" customWidth="1"/>
  </cols>
  <sheetData>
    <row r="1" spans="1:45" ht="23.25" customHeight="1">
      <c r="A1" s="415" t="s">
        <v>0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19.5" customHeight="1">
      <c r="A2" s="397" t="s">
        <v>1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</row>
    <row r="3" spans="1:45" ht="19.5" customHeight="1">
      <c r="A3" s="7"/>
      <c r="B3" s="7"/>
      <c r="C3" s="7"/>
      <c r="D3" s="7"/>
      <c r="E3" s="7"/>
      <c r="F3" s="7"/>
      <c r="G3" s="7"/>
      <c r="H3" s="7"/>
      <c r="I3" s="416" t="s">
        <v>2</v>
      </c>
      <c r="J3" s="406"/>
      <c r="K3" s="406"/>
      <c r="L3" s="406"/>
      <c r="M3" s="406"/>
      <c r="N3" s="8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</row>
    <row r="4" spans="1:45" ht="19.5" customHeight="1">
      <c r="A4" s="9"/>
      <c r="B4" s="417" t="s">
        <v>3</v>
      </c>
      <c r="C4" s="418"/>
      <c r="D4" s="419" t="s">
        <v>4</v>
      </c>
      <c r="E4" s="404"/>
      <c r="F4" s="419" t="s">
        <v>5</v>
      </c>
      <c r="G4" s="404"/>
      <c r="H4" s="419" t="s">
        <v>6</v>
      </c>
      <c r="I4" s="404"/>
      <c r="J4" s="417" t="s">
        <v>7</v>
      </c>
      <c r="K4" s="418"/>
      <c r="L4" s="419" t="s">
        <v>8</v>
      </c>
      <c r="M4" s="404"/>
      <c r="N4" s="419" t="s">
        <v>9</v>
      </c>
      <c r="O4" s="404"/>
      <c r="P4" s="419" t="s">
        <v>10</v>
      </c>
      <c r="Q4" s="420"/>
      <c r="R4" s="417" t="s">
        <v>11</v>
      </c>
      <c r="S4" s="421"/>
      <c r="T4" s="417" t="s">
        <v>12</v>
      </c>
      <c r="U4" s="418"/>
      <c r="V4" s="417" t="s">
        <v>13</v>
      </c>
      <c r="W4" s="418"/>
      <c r="X4" s="400"/>
      <c r="Y4" s="398"/>
      <c r="Z4" s="401"/>
      <c r="AA4" s="398"/>
      <c r="AB4" s="401"/>
      <c r="AC4" s="39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</row>
    <row r="5" spans="1:45" ht="78.75" customHeight="1">
      <c r="A5" s="433" t="s">
        <v>14</v>
      </c>
      <c r="B5" s="11"/>
      <c r="C5" s="12"/>
      <c r="D5" s="12"/>
      <c r="E5" s="430" t="s">
        <v>15</v>
      </c>
      <c r="F5" s="403"/>
      <c r="G5" s="403"/>
      <c r="H5" s="431" t="s">
        <v>16</v>
      </c>
      <c r="I5" s="403"/>
      <c r="J5" s="420"/>
      <c r="K5" s="13"/>
      <c r="L5" s="432" t="s">
        <v>17</v>
      </c>
      <c r="M5" s="420"/>
      <c r="N5" s="432" t="s">
        <v>18</v>
      </c>
      <c r="O5" s="403"/>
      <c r="P5" s="403"/>
      <c r="Q5" s="403"/>
      <c r="R5" s="403"/>
      <c r="S5" s="403"/>
      <c r="T5" s="403"/>
      <c r="U5" s="420"/>
      <c r="V5" s="14"/>
      <c r="W5" s="1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</row>
    <row r="6" spans="1:45" ht="43.5" customHeight="1">
      <c r="A6" s="426"/>
      <c r="B6" s="16"/>
      <c r="C6" s="16"/>
      <c r="D6" s="16"/>
      <c r="E6" s="405"/>
      <c r="F6" s="406"/>
      <c r="G6" s="406"/>
      <c r="H6" s="405"/>
      <c r="I6" s="406"/>
      <c r="J6" s="423"/>
      <c r="K6" s="17"/>
      <c r="L6" s="405"/>
      <c r="M6" s="423"/>
      <c r="N6" s="405"/>
      <c r="O6" s="406"/>
      <c r="P6" s="406"/>
      <c r="Q6" s="406"/>
      <c r="R6" s="406"/>
      <c r="S6" s="406"/>
      <c r="T6" s="406"/>
      <c r="U6" s="423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</row>
    <row r="7" spans="1:45" ht="63.75" customHeight="1">
      <c r="A7" s="426"/>
      <c r="B7" s="20"/>
      <c r="C7" s="20"/>
      <c r="D7" s="20"/>
      <c r="E7" s="20"/>
      <c r="F7" s="20"/>
      <c r="G7" s="20"/>
      <c r="H7" s="20"/>
      <c r="I7" s="20"/>
      <c r="J7" s="20"/>
      <c r="K7" s="20"/>
      <c r="L7" s="422" t="s">
        <v>19</v>
      </c>
      <c r="M7" s="403"/>
      <c r="N7" s="435" t="s">
        <v>20</v>
      </c>
      <c r="O7" s="403"/>
      <c r="P7" s="403"/>
      <c r="Q7" s="403"/>
      <c r="R7" s="403"/>
      <c r="S7" s="403"/>
      <c r="T7" s="403"/>
      <c r="U7" s="403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45" ht="49.5" customHeight="1">
      <c r="A8" s="396"/>
      <c r="B8" s="16"/>
      <c r="C8" s="16"/>
      <c r="D8" s="16"/>
      <c r="E8" s="16"/>
      <c r="F8" s="16"/>
      <c r="G8" s="16"/>
      <c r="H8" s="16"/>
      <c r="I8" s="16"/>
      <c r="J8" s="16"/>
      <c r="K8" s="16"/>
      <c r="L8" s="405"/>
      <c r="M8" s="406"/>
      <c r="N8" s="405"/>
      <c r="O8" s="406"/>
      <c r="P8" s="406"/>
      <c r="Q8" s="406"/>
      <c r="R8" s="406"/>
      <c r="S8" s="406"/>
      <c r="T8" s="406"/>
      <c r="U8" s="406"/>
      <c r="V8" s="17"/>
      <c r="W8" s="23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45" ht="82.5" customHeight="1">
      <c r="A9" s="425" t="s">
        <v>21</v>
      </c>
      <c r="B9" s="20"/>
      <c r="C9" s="20"/>
      <c r="D9" s="20"/>
      <c r="E9" s="402" t="s">
        <v>22</v>
      </c>
      <c r="F9" s="403"/>
      <c r="G9" s="404"/>
      <c r="H9" s="434" t="s">
        <v>23</v>
      </c>
      <c r="I9" s="403"/>
      <c r="J9" s="420"/>
      <c r="K9" s="14"/>
      <c r="L9" s="436" t="s">
        <v>24</v>
      </c>
      <c r="M9" s="403"/>
      <c r="N9" s="403"/>
      <c r="O9" s="403"/>
      <c r="P9" s="403"/>
      <c r="Q9" s="403"/>
      <c r="R9" s="24"/>
      <c r="S9" s="24"/>
      <c r="T9" s="24"/>
      <c r="U9" s="13"/>
      <c r="V9" s="13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  <c r="AQ9" s="5"/>
      <c r="AR9" s="5"/>
      <c r="AS9" s="5"/>
    </row>
    <row r="10" spans="1:45" ht="83.25" customHeight="1">
      <c r="A10" s="426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436" t="s">
        <v>25</v>
      </c>
      <c r="M10" s="403"/>
      <c r="N10" s="403"/>
      <c r="O10" s="403"/>
      <c r="P10" s="403"/>
      <c r="Q10" s="403"/>
      <c r="V10" s="26"/>
      <c r="W10" s="27"/>
      <c r="X10" s="1"/>
      <c r="Y10" s="1"/>
      <c r="Z10" s="5"/>
      <c r="AK10" s="5"/>
      <c r="AL10" s="6"/>
      <c r="AM10" s="6"/>
      <c r="AN10" s="5"/>
      <c r="AO10" s="5"/>
      <c r="AP10" s="5"/>
      <c r="AQ10" s="5"/>
      <c r="AR10" s="5"/>
      <c r="AS10" s="5"/>
    </row>
    <row r="11" spans="1:45" ht="45.75" customHeight="1">
      <c r="A11" s="426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436" t="s">
        <v>26</v>
      </c>
      <c r="M11" s="403"/>
      <c r="N11" s="403"/>
      <c r="O11" s="403"/>
      <c r="P11" s="403"/>
      <c r="Q11" s="403"/>
      <c r="R11" s="28"/>
      <c r="S11" s="28"/>
      <c r="T11" s="28"/>
      <c r="U11" s="28"/>
      <c r="V11" s="14"/>
      <c r="W11" s="15"/>
      <c r="X11" s="1"/>
      <c r="Y11" s="1"/>
      <c r="Z11" s="5"/>
      <c r="AK11" s="5"/>
      <c r="AL11" s="6"/>
      <c r="AM11" s="6"/>
      <c r="AN11" s="5"/>
      <c r="AO11" s="5"/>
      <c r="AP11" s="5"/>
      <c r="AQ11" s="5"/>
      <c r="AR11" s="5"/>
      <c r="AS11" s="5"/>
    </row>
    <row r="12" spans="1:45" ht="69.75" customHeight="1">
      <c r="A12" s="39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405"/>
      <c r="M12" s="406"/>
      <c r="N12" s="406"/>
      <c r="O12" s="406"/>
      <c r="P12" s="406"/>
      <c r="Q12" s="406"/>
      <c r="V12" s="26"/>
      <c r="W12" s="27"/>
      <c r="X12" s="1"/>
      <c r="Y12" s="1"/>
      <c r="Z12" s="5"/>
      <c r="AK12" s="5"/>
      <c r="AL12" s="6"/>
      <c r="AM12" s="6"/>
      <c r="AN12" s="5"/>
      <c r="AO12" s="5"/>
      <c r="AP12" s="5"/>
      <c r="AQ12" s="5"/>
      <c r="AR12" s="5"/>
      <c r="AS12" s="5"/>
    </row>
    <row r="13" spans="1:45" ht="40.5" customHeight="1">
      <c r="A13" s="29" t="s">
        <v>27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14"/>
      <c r="W13" s="15"/>
      <c r="X13" s="1"/>
      <c r="Y13" s="1"/>
      <c r="Z13" s="5"/>
      <c r="AK13" s="5"/>
      <c r="AL13" s="6"/>
      <c r="AM13" s="6"/>
      <c r="AN13" s="5"/>
      <c r="AO13" s="5"/>
      <c r="AP13" s="5"/>
      <c r="AQ13" s="5"/>
      <c r="AR13" s="5"/>
      <c r="AS13" s="5"/>
    </row>
    <row r="14" spans="1:45" ht="53.25" customHeight="1">
      <c r="A14" s="30"/>
      <c r="B14" s="31"/>
      <c r="C14" s="18"/>
      <c r="D14" s="18"/>
      <c r="E14" s="18"/>
      <c r="F14" s="18"/>
      <c r="G14" s="18"/>
      <c r="H14" s="18"/>
      <c r="I14" s="18"/>
      <c r="J14" s="18"/>
      <c r="K14" s="18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18"/>
      <c r="W14" s="19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</row>
    <row r="15" spans="1:45" ht="52.5" customHeight="1">
      <c r="A15" s="427" t="s">
        <v>28</v>
      </c>
      <c r="B15" s="20"/>
      <c r="C15" s="20"/>
      <c r="D15" s="20"/>
      <c r="E15" s="430" t="s">
        <v>29</v>
      </c>
      <c r="F15" s="403"/>
      <c r="G15" s="420"/>
      <c r="H15" s="431" t="s">
        <v>30</v>
      </c>
      <c r="I15" s="403"/>
      <c r="J15" s="420"/>
      <c r="K15" s="14"/>
      <c r="L15" s="432" t="s">
        <v>31</v>
      </c>
      <c r="M15" s="420"/>
      <c r="N15" s="432" t="s">
        <v>32</v>
      </c>
      <c r="O15" s="403"/>
      <c r="P15" s="403"/>
      <c r="Q15" s="403"/>
      <c r="R15" s="403"/>
      <c r="S15" s="403"/>
      <c r="T15" s="403"/>
      <c r="U15" s="420"/>
      <c r="V15" s="33"/>
      <c r="W15" s="34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</row>
    <row r="16" spans="1:45" ht="39" customHeight="1">
      <c r="A16" s="426"/>
      <c r="B16" s="20"/>
      <c r="C16" s="20"/>
      <c r="D16" s="20"/>
      <c r="E16" s="405"/>
      <c r="F16" s="406"/>
      <c r="G16" s="423"/>
      <c r="H16" s="405"/>
      <c r="I16" s="406"/>
      <c r="J16" s="423"/>
      <c r="K16" s="18"/>
      <c r="L16" s="405"/>
      <c r="M16" s="423"/>
      <c r="N16" s="405"/>
      <c r="O16" s="406"/>
      <c r="P16" s="406"/>
      <c r="Q16" s="406"/>
      <c r="R16" s="406"/>
      <c r="S16" s="406"/>
      <c r="T16" s="406"/>
      <c r="U16" s="423"/>
      <c r="V16" s="35"/>
      <c r="W16" s="36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</row>
    <row r="17" spans="1:45" ht="45" customHeight="1">
      <c r="A17" s="426"/>
      <c r="B17" s="20"/>
      <c r="C17" s="20"/>
      <c r="D17" s="20"/>
      <c r="E17" s="14"/>
      <c r="F17" s="14"/>
      <c r="G17" s="14"/>
      <c r="H17" s="14"/>
      <c r="I17" s="14"/>
      <c r="J17" s="14"/>
      <c r="K17" s="26"/>
      <c r="L17" s="422" t="s">
        <v>33</v>
      </c>
      <c r="M17" s="403"/>
      <c r="N17" s="435" t="s">
        <v>34</v>
      </c>
      <c r="O17" s="403"/>
      <c r="P17" s="403"/>
      <c r="Q17" s="403"/>
      <c r="R17" s="403"/>
      <c r="S17" s="403"/>
      <c r="T17" s="403"/>
      <c r="U17" s="403"/>
      <c r="V17" s="37"/>
      <c r="W17" s="3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</row>
    <row r="18" spans="1:45" ht="54" customHeight="1">
      <c r="A18" s="396"/>
      <c r="B18" s="20"/>
      <c r="C18" s="20"/>
      <c r="D18" s="20"/>
      <c r="E18" s="18"/>
      <c r="F18" s="18"/>
      <c r="G18" s="18"/>
      <c r="H18" s="18"/>
      <c r="I18" s="18"/>
      <c r="J18" s="18"/>
      <c r="K18" s="26"/>
      <c r="L18" s="405"/>
      <c r="M18" s="406"/>
      <c r="N18" s="405"/>
      <c r="O18" s="406"/>
      <c r="P18" s="406"/>
      <c r="Q18" s="406"/>
      <c r="R18" s="406"/>
      <c r="S18" s="406"/>
      <c r="T18" s="406"/>
      <c r="U18" s="406"/>
      <c r="V18" s="37"/>
      <c r="W18" s="38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</row>
    <row r="19" spans="1:45" ht="50.25" customHeight="1">
      <c r="A19" s="428" t="s">
        <v>35</v>
      </c>
      <c r="B19" s="39"/>
      <c r="C19" s="24"/>
      <c r="D19" s="24"/>
      <c r="E19" s="402" t="s">
        <v>36</v>
      </c>
      <c r="F19" s="403"/>
      <c r="G19" s="420"/>
      <c r="H19" s="424" t="s">
        <v>37</v>
      </c>
      <c r="I19" s="403"/>
      <c r="J19" s="420"/>
      <c r="K19" s="14"/>
      <c r="L19" s="12"/>
      <c r="M19" s="12"/>
      <c r="N19" s="14"/>
      <c r="O19" s="14"/>
      <c r="P19" s="14"/>
      <c r="Q19" s="33"/>
      <c r="R19" s="14"/>
      <c r="S19" s="14"/>
      <c r="T19" s="14"/>
      <c r="U19" s="33"/>
      <c r="V19" s="33"/>
      <c r="W19" s="34"/>
      <c r="X19" s="40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  <c r="AS19" s="5"/>
    </row>
    <row r="20" spans="1:45" ht="66.75" customHeight="1">
      <c r="A20" s="429"/>
      <c r="B20" s="41"/>
      <c r="C20" s="42"/>
      <c r="D20" s="42"/>
      <c r="E20" s="405"/>
      <c r="F20" s="406"/>
      <c r="G20" s="423"/>
      <c r="H20" s="405"/>
      <c r="I20" s="406"/>
      <c r="J20" s="423"/>
      <c r="K20" s="18"/>
      <c r="L20" s="16"/>
      <c r="M20" s="16"/>
      <c r="N20" s="18"/>
      <c r="O20" s="18"/>
      <c r="P20" s="18"/>
      <c r="Q20" s="35"/>
      <c r="R20" s="18"/>
      <c r="S20" s="18"/>
      <c r="T20" s="18"/>
      <c r="U20" s="35"/>
      <c r="V20" s="35"/>
      <c r="W20" s="36"/>
      <c r="X20" s="40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</row>
    <row r="21" spans="1:45" ht="52.5" customHeight="1">
      <c r="A21" s="43"/>
      <c r="B21" s="41"/>
      <c r="C21" s="42"/>
      <c r="D21" s="42"/>
      <c r="E21" s="44"/>
      <c r="F21" s="44"/>
      <c r="G21" s="44"/>
      <c r="H21" s="44"/>
      <c r="I21" s="44"/>
      <c r="J21" s="44"/>
      <c r="K21" s="18"/>
      <c r="L21" s="42"/>
      <c r="M21" s="44"/>
      <c r="N21" s="44"/>
      <c r="O21" s="44"/>
      <c r="P21" s="44"/>
      <c r="Q21" s="44"/>
      <c r="R21" s="44"/>
      <c r="S21" s="18"/>
      <c r="T21" s="42"/>
      <c r="U21" s="44"/>
      <c r="V21" s="44"/>
      <c r="W21" s="44"/>
      <c r="X21" s="40"/>
      <c r="Y21" s="1" t="s">
        <v>38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</row>
    <row r="22" spans="1:45" ht="19.5" customHeight="1">
      <c r="A22" s="45" t="s">
        <v>39</v>
      </c>
      <c r="B22" s="46"/>
      <c r="C22" s="47"/>
      <c r="D22" s="47"/>
      <c r="E22" s="47"/>
      <c r="F22" s="47"/>
      <c r="G22" s="47"/>
      <c r="H22" s="47"/>
      <c r="I22" s="47"/>
      <c r="J22" s="4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47"/>
      <c r="W22" s="48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</row>
    <row r="23" spans="1:45" ht="19.5" customHeight="1">
      <c r="A23" s="45" t="s">
        <v>40</v>
      </c>
      <c r="B23" s="46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8"/>
      <c r="X23" s="1"/>
      <c r="Y23" s="1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</row>
    <row r="24" spans="1:45" ht="14.2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1"/>
      <c r="V24" s="1"/>
      <c r="W24" s="1"/>
      <c r="X24" s="1"/>
      <c r="Y24" s="1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</row>
    <row r="25" spans="1:4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  <c r="AQ25" s="5"/>
      <c r="AR25" s="5"/>
      <c r="AS25" s="5"/>
    </row>
    <row r="26" spans="1:45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437" t="s">
        <v>41</v>
      </c>
      <c r="R26" s="438"/>
      <c r="S26" s="421"/>
      <c r="T26" s="437" t="s">
        <v>42</v>
      </c>
      <c r="U26" s="421"/>
      <c r="V26" s="437" t="s">
        <v>43</v>
      </c>
      <c r="W26" s="421"/>
      <c r="X26" s="395" t="s">
        <v>44</v>
      </c>
      <c r="Y26" s="395" t="s">
        <v>45</v>
      </c>
      <c r="Z26" s="395" t="s">
        <v>46</v>
      </c>
      <c r="AA26" s="395" t="s">
        <v>47</v>
      </c>
      <c r="AB26" s="50"/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6"/>
      <c r="AN26" s="5"/>
      <c r="AO26" s="5"/>
      <c r="AP26" s="5"/>
      <c r="AQ26" s="5"/>
      <c r="AR26" s="5"/>
      <c r="AS26" s="5"/>
    </row>
    <row r="27" spans="1:45" ht="28.5" customHeight="1">
      <c r="A27" s="51" t="s">
        <v>48</v>
      </c>
      <c r="B27" s="52" t="s">
        <v>49</v>
      </c>
      <c r="C27" s="4" t="s">
        <v>50</v>
      </c>
      <c r="D27" s="397" t="s">
        <v>51</v>
      </c>
      <c r="E27" s="398"/>
      <c r="F27" s="398"/>
      <c r="G27" s="398"/>
      <c r="H27" s="398"/>
      <c r="I27" s="398"/>
      <c r="J27" s="398"/>
      <c r="K27" s="4" t="s">
        <v>52</v>
      </c>
      <c r="L27" s="53" t="s">
        <v>53</v>
      </c>
      <c r="M27" s="53" t="s">
        <v>54</v>
      </c>
      <c r="N27" s="397" t="s">
        <v>55</v>
      </c>
      <c r="O27" s="398"/>
      <c r="P27" s="54"/>
      <c r="Q27" s="55" t="s">
        <v>56</v>
      </c>
      <c r="R27" s="55" t="s">
        <v>57</v>
      </c>
      <c r="S27" s="55" t="s">
        <v>58</v>
      </c>
      <c r="T27" s="55" t="s">
        <v>59</v>
      </c>
      <c r="U27" s="55" t="s">
        <v>60</v>
      </c>
      <c r="V27" s="55" t="s">
        <v>61</v>
      </c>
      <c r="W27" s="55" t="s">
        <v>62</v>
      </c>
      <c r="X27" s="396"/>
      <c r="Y27" s="396"/>
      <c r="Z27" s="396"/>
      <c r="AA27" s="396"/>
      <c r="AB27" s="56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ht="19.5" customHeight="1">
      <c r="A28" s="21" t="s">
        <v>63</v>
      </c>
      <c r="B28" s="57">
        <v>1</v>
      </c>
      <c r="C28" s="58" t="s">
        <v>64</v>
      </c>
      <c r="D28" s="399" t="s">
        <v>65</v>
      </c>
      <c r="E28" s="398"/>
      <c r="F28" s="398"/>
      <c r="G28" s="398"/>
      <c r="H28" s="398"/>
      <c r="I28" s="398"/>
      <c r="J28" s="398"/>
      <c r="K28" s="59">
        <f>VLOOKUP($C28,'DG2562V1.2Courses'!$B$4:$F$99,4,FALSE)</f>
        <v>3</v>
      </c>
      <c r="L28" s="60" t="s">
        <v>66</v>
      </c>
      <c r="M28" s="60" t="s">
        <v>67</v>
      </c>
      <c r="N28" s="61"/>
      <c r="O28" s="61"/>
      <c r="P28" s="61"/>
      <c r="Q28" s="62"/>
      <c r="R28" s="62"/>
      <c r="S28" s="62"/>
      <c r="T28" s="62"/>
      <c r="U28" s="62"/>
      <c r="V28" s="63">
        <v>4</v>
      </c>
      <c r="W28" s="62"/>
      <c r="X28" s="62"/>
      <c r="Y28" s="64"/>
      <c r="Z28" s="64"/>
      <c r="AA28" s="65"/>
      <c r="AB28" s="5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</row>
    <row r="29" spans="1:45" ht="21" customHeight="1">
      <c r="A29" s="21" t="s">
        <v>63</v>
      </c>
      <c r="B29" s="66">
        <v>2</v>
      </c>
      <c r="C29" s="67" t="s">
        <v>68</v>
      </c>
      <c r="D29" s="413" t="str">
        <f>VLOOKUP($C29,'DG2562V1.2Courses'!$B$4:$F$99,3,FALSE)</f>
        <v>Computer and Programming for Game 1</v>
      </c>
      <c r="E29" s="398"/>
      <c r="F29" s="398"/>
      <c r="G29" s="398"/>
      <c r="H29" s="398"/>
      <c r="I29" s="398"/>
      <c r="J29" s="398"/>
      <c r="K29" s="68">
        <f>VLOOKUP($C29,'DG2562V1.2Courses'!$B$4:$F$99,4,FALSE)</f>
        <v>3</v>
      </c>
      <c r="L29" s="60" t="s">
        <v>69</v>
      </c>
      <c r="M29" s="69" t="s">
        <v>70</v>
      </c>
      <c r="N29" s="414"/>
      <c r="O29" s="398"/>
      <c r="P29" s="61"/>
      <c r="Q29" s="70"/>
      <c r="R29" s="70"/>
      <c r="S29" s="70"/>
      <c r="T29" s="70"/>
      <c r="U29" s="70"/>
      <c r="V29" s="70">
        <v>4</v>
      </c>
      <c r="W29" s="70"/>
      <c r="X29" s="70"/>
      <c r="Y29" s="70"/>
      <c r="Z29" s="70"/>
      <c r="AA29" s="71"/>
      <c r="AB29" s="56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</row>
    <row r="30" spans="1:45" ht="18.75" customHeight="1">
      <c r="A30" s="21" t="s">
        <v>63</v>
      </c>
      <c r="B30" s="57">
        <v>3</v>
      </c>
      <c r="C30" s="72" t="s">
        <v>71</v>
      </c>
      <c r="D30" s="408" t="str">
        <f>VLOOKUP($C30,'DG2562V1.2Courses'!$B$4:$F$99,3,FALSE)</f>
        <v>Psychology and Daily Life</v>
      </c>
      <c r="E30" s="398"/>
      <c r="F30" s="398"/>
      <c r="G30" s="398"/>
      <c r="H30" s="398"/>
      <c r="I30" s="398"/>
      <c r="J30" s="398"/>
      <c r="K30" s="73">
        <f>VLOOKUP($C30,'DG2562V1.2Courses'!$B$4:$F$99,4,FALSE)</f>
        <v>3</v>
      </c>
      <c r="M30" s="74"/>
      <c r="N30" s="61"/>
      <c r="O30" s="61"/>
      <c r="P30" s="61"/>
      <c r="Q30" s="61"/>
      <c r="R30" s="61"/>
      <c r="S30" s="61"/>
      <c r="T30" s="61"/>
      <c r="U30" s="61"/>
      <c r="V30" s="61"/>
      <c r="W30" s="54"/>
      <c r="X30" s="54"/>
      <c r="Y30" s="54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</row>
    <row r="31" spans="1:45" ht="18.75" customHeight="1">
      <c r="A31" s="21" t="s">
        <v>63</v>
      </c>
      <c r="B31" s="66">
        <v>4</v>
      </c>
      <c r="C31" s="75" t="s">
        <v>72</v>
      </c>
      <c r="D31" s="409" t="str">
        <f>VLOOKUP($C31,'DG2562V1.2Courses'!$B$4:$F$99,3,FALSE)</f>
        <v>Citizenship</v>
      </c>
      <c r="E31" s="398"/>
      <c r="F31" s="398"/>
      <c r="G31" s="398"/>
      <c r="H31" s="398"/>
      <c r="I31" s="398"/>
      <c r="J31" s="398"/>
      <c r="K31" s="76">
        <f>VLOOKUP($C31,'DG2562V1.2Courses'!$B$4:$F$99,4,FALSE)</f>
        <v>3</v>
      </c>
      <c r="L31" s="51"/>
      <c r="M31" s="51"/>
      <c r="N31" s="61"/>
      <c r="O31" s="61"/>
      <c r="P31" s="61"/>
      <c r="Q31" s="61"/>
      <c r="R31" s="61"/>
      <c r="S31" s="61"/>
      <c r="T31" s="61"/>
      <c r="U31" s="61"/>
      <c r="V31" s="61"/>
      <c r="W31" s="54"/>
      <c r="X31" s="54"/>
      <c r="Y31" s="54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</row>
    <row r="32" spans="1:45" ht="18.75" customHeight="1">
      <c r="A32" s="21" t="s">
        <v>63</v>
      </c>
      <c r="B32" s="57">
        <v>5</v>
      </c>
      <c r="C32" s="77" t="s">
        <v>73</v>
      </c>
      <c r="D32" s="410" t="str">
        <f>VLOOKUP($C32,'DG2562V1.2Courses'!$B$4:$F$99,3,FALSE)</f>
        <v>Architecture in Everyday Life</v>
      </c>
      <c r="E32" s="398"/>
      <c r="F32" s="398"/>
      <c r="G32" s="398"/>
      <c r="H32" s="398"/>
      <c r="I32" s="398"/>
      <c r="J32" s="398"/>
      <c r="K32" s="78">
        <f>VLOOKUP($C32,'DG2562V1.2Courses'!$B$4:$F$99,4,FALSE)</f>
        <v>3</v>
      </c>
      <c r="L32" s="51"/>
      <c r="M32" s="51"/>
      <c r="N32" s="61"/>
      <c r="O32" s="61"/>
      <c r="P32" s="61"/>
      <c r="Q32" s="61"/>
      <c r="R32" s="61"/>
      <c r="S32" s="61"/>
      <c r="T32" s="61"/>
      <c r="U32" s="61"/>
      <c r="V32" s="61"/>
      <c r="W32" s="54"/>
      <c r="X32" s="54"/>
      <c r="Y32" s="54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</row>
    <row r="33" spans="1:45" ht="18.75" customHeight="1">
      <c r="A33" s="21" t="s">
        <v>63</v>
      </c>
      <c r="B33" s="66">
        <v>6</v>
      </c>
      <c r="C33" s="79" t="s">
        <v>74</v>
      </c>
      <c r="D33" s="411" t="str">
        <f>VLOOKUP($C33,'DG2562V1.2Courses'!$B$4:$F$99,3,FALSE)</f>
        <v>Fundamental English 1</v>
      </c>
      <c r="E33" s="398"/>
      <c r="F33" s="398"/>
      <c r="G33" s="398"/>
      <c r="H33" s="398"/>
      <c r="I33" s="398"/>
      <c r="J33" s="398"/>
      <c r="K33" s="80">
        <f>VLOOKUP($C33,'DG2562V1.2Courses'!$B$4:$F$99,4,FALSE)</f>
        <v>3</v>
      </c>
      <c r="L33" s="21"/>
      <c r="M33" s="21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</row>
    <row r="34" spans="1:45" ht="18.75" customHeight="1">
      <c r="A34" s="21"/>
      <c r="L34" s="21"/>
      <c r="M34" s="21"/>
      <c r="N34" s="402" t="s">
        <v>75</v>
      </c>
      <c r="O34" s="403"/>
      <c r="P34" s="404"/>
      <c r="Q34" s="21"/>
      <c r="R34" s="402">
        <v>140104</v>
      </c>
      <c r="S34" s="403"/>
      <c r="T34" s="404"/>
      <c r="U34" s="21"/>
      <c r="V34" s="402">
        <v>13110</v>
      </c>
      <c r="W34" s="403"/>
      <c r="X34" s="404"/>
      <c r="Y34" s="54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</row>
    <row r="35" spans="1:45" ht="18.75" customHeight="1">
      <c r="A35" s="21"/>
      <c r="B35" s="21"/>
      <c r="C35" s="412" t="s">
        <v>76</v>
      </c>
      <c r="D35" s="398"/>
      <c r="E35" s="398"/>
      <c r="F35" s="398"/>
      <c r="G35" s="398"/>
      <c r="H35" s="82"/>
      <c r="I35" s="81"/>
      <c r="J35" s="4"/>
      <c r="K35" s="83">
        <f>SUM(K28:K33)</f>
        <v>18</v>
      </c>
      <c r="L35" s="21"/>
      <c r="M35" s="21"/>
      <c r="N35" s="405"/>
      <c r="O35" s="406"/>
      <c r="P35" s="407"/>
      <c r="Q35" s="21"/>
      <c r="R35" s="405"/>
      <c r="S35" s="406"/>
      <c r="T35" s="407"/>
      <c r="U35" s="21"/>
      <c r="V35" s="405"/>
      <c r="W35" s="406"/>
      <c r="X35" s="407"/>
      <c r="Y35" s="54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</row>
    <row r="36" spans="1:45" ht="18.75" customHeight="1">
      <c r="A36" s="37"/>
      <c r="B36" s="37"/>
      <c r="C36" s="37"/>
      <c r="D36" s="37"/>
      <c r="E36" s="37"/>
      <c r="F36" s="37"/>
      <c r="G36" s="37"/>
      <c r="H36" s="37"/>
      <c r="I36" s="3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54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</row>
    <row r="37" spans="1:45" ht="18.75" customHeight="1">
      <c r="A37" s="54"/>
      <c r="B37" s="1"/>
      <c r="C37" s="1"/>
      <c r="D37" s="1"/>
      <c r="E37" s="1"/>
      <c r="F37" s="1"/>
      <c r="G37" s="1"/>
      <c r="H37" s="1"/>
      <c r="I37" s="1"/>
      <c r="J37" s="54"/>
      <c r="K37" s="54"/>
      <c r="L37" s="54"/>
      <c r="M37" s="21"/>
      <c r="N37" s="402" t="s">
        <v>75</v>
      </c>
      <c r="O37" s="403"/>
      <c r="P37" s="404"/>
      <c r="Q37" s="21"/>
      <c r="R37" s="402">
        <v>140104</v>
      </c>
      <c r="S37" s="403"/>
      <c r="T37" s="404"/>
      <c r="U37" s="21"/>
      <c r="V37" s="402">
        <v>13110</v>
      </c>
      <c r="W37" s="403"/>
      <c r="X37" s="404"/>
      <c r="Y37" s="54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</row>
    <row r="38" spans="1:45" ht="14.25" customHeight="1">
      <c r="A38" s="84"/>
      <c r="B38" s="84"/>
      <c r="C38" s="84"/>
      <c r="D38" s="84"/>
      <c r="E38" s="84"/>
      <c r="F38" s="84"/>
      <c r="G38" s="84"/>
      <c r="H38" s="84"/>
      <c r="I38" s="84"/>
      <c r="J38" s="54"/>
      <c r="K38" s="54"/>
      <c r="L38" s="54"/>
      <c r="M38" s="21"/>
      <c r="N38" s="405"/>
      <c r="O38" s="406"/>
      <c r="P38" s="407"/>
      <c r="Q38" s="21"/>
      <c r="R38" s="405"/>
      <c r="S38" s="406"/>
      <c r="T38" s="407"/>
      <c r="U38" s="21"/>
      <c r="V38" s="405"/>
      <c r="W38" s="406"/>
      <c r="X38" s="407"/>
      <c r="Y38" s="54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</row>
    <row r="39" spans="1:45" ht="14.25" customHeight="1">
      <c r="A39" s="84"/>
      <c r="B39" s="84"/>
      <c r="C39" s="84"/>
      <c r="D39" s="84"/>
      <c r="E39" s="84"/>
      <c r="F39" s="84"/>
      <c r="G39" s="84"/>
      <c r="H39" s="84"/>
      <c r="I39" s="84"/>
      <c r="J39" s="54"/>
      <c r="K39" s="54"/>
      <c r="L39" s="54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54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</row>
    <row r="40" spans="1:45" ht="14.25" customHeight="1">
      <c r="A40" s="84"/>
      <c r="B40" s="84"/>
      <c r="C40" s="84"/>
      <c r="D40" s="84"/>
      <c r="E40" s="84"/>
      <c r="F40" s="84"/>
      <c r="G40" s="84"/>
      <c r="H40" s="84"/>
      <c r="I40" s="8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</row>
    <row r="41" spans="1:45" ht="14.25" customHeight="1">
      <c r="A41" s="1"/>
      <c r="B41" s="1"/>
      <c r="C41" s="1"/>
      <c r="D41" s="1"/>
      <c r="E41" s="1"/>
      <c r="F41" s="1"/>
      <c r="G41" s="1"/>
      <c r="H41" s="1"/>
      <c r="I41" s="1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</row>
    <row r="42" spans="1:45" ht="14.25" customHeight="1">
      <c r="A42" s="1"/>
      <c r="B42" s="1"/>
      <c r="C42" s="1"/>
      <c r="D42" s="1"/>
      <c r="E42" s="1"/>
      <c r="F42" s="1"/>
      <c r="G42" s="1"/>
      <c r="H42" s="1"/>
      <c r="I42" s="1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</row>
    <row r="43" spans="1:45" ht="14.25" customHeight="1">
      <c r="A43" s="1"/>
      <c r="B43" s="1"/>
      <c r="C43" s="1"/>
      <c r="D43" s="1"/>
      <c r="E43" s="1"/>
      <c r="F43" s="1"/>
      <c r="G43" s="1"/>
      <c r="H43" s="1"/>
      <c r="I43" s="1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</row>
    <row r="44" spans="1:45" ht="14.25" customHeight="1">
      <c r="A44" s="1"/>
      <c r="B44" s="1"/>
      <c r="C44" s="1"/>
      <c r="D44" s="1"/>
      <c r="E44" s="1"/>
      <c r="F44" s="1"/>
      <c r="G44" s="1"/>
      <c r="H44" s="1"/>
      <c r="I44" s="1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</row>
    <row r="45" spans="1:45" ht="14.25" customHeight="1">
      <c r="A45" s="1"/>
      <c r="B45" s="1"/>
      <c r="C45" s="1"/>
      <c r="D45" s="1"/>
      <c r="E45" s="1"/>
      <c r="F45" s="1"/>
      <c r="G45" s="1"/>
      <c r="H45" s="1"/>
      <c r="I45" s="1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</row>
    <row r="46" spans="1:45" ht="14.25" customHeight="1">
      <c r="A46" s="1"/>
      <c r="B46" s="1"/>
      <c r="C46" s="1"/>
      <c r="D46" s="1"/>
      <c r="E46" s="1"/>
      <c r="F46" s="1"/>
      <c r="G46" s="1"/>
      <c r="H46" s="1"/>
      <c r="I46" s="1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</row>
    <row r="47" spans="1:45" ht="14.25" customHeight="1">
      <c r="A47" s="1"/>
      <c r="B47" s="1"/>
      <c r="C47" s="1"/>
      <c r="D47" s="1"/>
      <c r="E47" s="1"/>
      <c r="F47" s="1"/>
      <c r="G47" s="1"/>
      <c r="H47" s="1"/>
      <c r="I47" s="1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</row>
    <row r="48" spans="1:45" ht="14.25" customHeight="1">
      <c r="A48" s="1"/>
      <c r="B48" s="1"/>
      <c r="C48" s="1"/>
      <c r="D48" s="1"/>
      <c r="E48" s="1"/>
      <c r="F48" s="1"/>
      <c r="G48" s="1"/>
      <c r="H48" s="1"/>
      <c r="I48" s="1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</row>
    <row r="49" spans="1:45" ht="14.25" customHeight="1">
      <c r="A49" s="1"/>
      <c r="B49" s="1"/>
      <c r="C49" s="1"/>
      <c r="D49" s="1"/>
      <c r="E49" s="1"/>
      <c r="F49" s="1"/>
      <c r="G49" s="1"/>
      <c r="H49" s="1"/>
      <c r="I49" s="1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</row>
    <row r="50" spans="1:45" ht="14.25" customHeight="1">
      <c r="A50" s="1"/>
      <c r="B50" s="1"/>
      <c r="C50" s="1"/>
      <c r="D50" s="1"/>
      <c r="E50" s="1"/>
      <c r="F50" s="1"/>
      <c r="G50" s="1"/>
      <c r="H50" s="1"/>
      <c r="I50" s="1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</row>
    <row r="51" spans="1:45" ht="14.25" customHeight="1">
      <c r="A51" s="1"/>
      <c r="B51" s="1"/>
      <c r="C51" s="1"/>
      <c r="D51" s="1"/>
      <c r="E51" s="1"/>
      <c r="F51" s="1"/>
      <c r="G51" s="1"/>
      <c r="H51" s="1"/>
      <c r="I51" s="1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</row>
    <row r="52" spans="1:45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</row>
    <row r="53" spans="1:45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</row>
    <row r="54" spans="1:45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</row>
    <row r="55" spans="1:45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</row>
    <row r="56" spans="1:45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</row>
    <row r="57" spans="1:45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</row>
    <row r="58" spans="1:45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</row>
    <row r="59" spans="1:45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</row>
    <row r="60" spans="1:45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</row>
    <row r="61" spans="1:45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</row>
    <row r="62" spans="1:45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</row>
    <row r="63" spans="1:45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</row>
    <row r="64" spans="1:45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</row>
    <row r="65" spans="1:45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</row>
    <row r="66" spans="1:45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</row>
    <row r="67" spans="1:45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</row>
    <row r="68" spans="1:45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</row>
    <row r="69" spans="1:45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</row>
    <row r="70" spans="1:45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</row>
    <row r="71" spans="1:45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</row>
    <row r="72" spans="1:45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</row>
    <row r="73" spans="1:45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</row>
    <row r="74" spans="1:45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</row>
    <row r="75" spans="1:4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</row>
    <row r="76" spans="1:45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</row>
    <row r="77" spans="1:45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</row>
    <row r="78" spans="1:45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</row>
    <row r="79" spans="1:45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</row>
    <row r="80" spans="1:45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</row>
    <row r="81" spans="1:45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</row>
    <row r="82" spans="1:45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</row>
    <row r="83" spans="1:45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</row>
    <row r="84" spans="1:45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</row>
    <row r="85" spans="1:4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</row>
    <row r="86" spans="1:45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</row>
    <row r="87" spans="1:45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</row>
    <row r="88" spans="1:45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</row>
    <row r="89" spans="1:45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</row>
    <row r="90" spans="1:45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</row>
    <row r="91" spans="1:45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</row>
    <row r="92" spans="1:45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</row>
    <row r="93" spans="1:45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</row>
    <row r="94" spans="1:45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</row>
    <row r="95" spans="1:4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</row>
    <row r="96" spans="1:45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</row>
    <row r="97" spans="1:45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</row>
    <row r="98" spans="1:45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</row>
    <row r="99" spans="1:45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</row>
    <row r="100" spans="1:45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</row>
    <row r="101" spans="1:45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</row>
    <row r="102" spans="1:45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</row>
    <row r="103" spans="1:45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</row>
    <row r="104" spans="1:45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</row>
    <row r="105" spans="1:4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</row>
    <row r="106" spans="1:45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</row>
    <row r="107" spans="1:45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</row>
    <row r="108" spans="1:45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</row>
    <row r="109" spans="1:45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</row>
    <row r="110" spans="1:45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</row>
    <row r="111" spans="1:45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</row>
    <row r="112" spans="1:45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</row>
    <row r="113" spans="1:45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</row>
    <row r="114" spans="1:45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</row>
    <row r="115" spans="1:4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</row>
    <row r="116" spans="1:45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</row>
    <row r="117" spans="1:45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</row>
    <row r="118" spans="1:45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</row>
    <row r="119" spans="1:45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</row>
    <row r="120" spans="1:45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</row>
    <row r="121" spans="1:45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</row>
    <row r="122" spans="1:45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</row>
    <row r="123" spans="1:45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</row>
    <row r="124" spans="1:45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</row>
    <row r="125" spans="1:4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</row>
    <row r="126" spans="1:45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</row>
    <row r="127" spans="1:45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</row>
    <row r="128" spans="1:45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</row>
    <row r="129" spans="1:45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</row>
    <row r="130" spans="1:45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</row>
    <row r="131" spans="1:45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</row>
    <row r="132" spans="1:45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</row>
    <row r="133" spans="1:45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</row>
    <row r="134" spans="1:45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</row>
    <row r="135" spans="1:4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</row>
    <row r="136" spans="1:45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</row>
    <row r="137" spans="1:45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</row>
    <row r="138" spans="1:45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</row>
    <row r="139" spans="1:45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</row>
    <row r="140" spans="1:45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</row>
    <row r="141" spans="1:45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</row>
    <row r="142" spans="1:45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</row>
    <row r="143" spans="1:45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</row>
    <row r="144" spans="1:45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</row>
    <row r="145" spans="1: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</row>
    <row r="146" spans="1:45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</row>
    <row r="147" spans="1:45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</row>
    <row r="148" spans="1:45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</row>
    <row r="149" spans="1:45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</row>
    <row r="150" spans="1:45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</row>
    <row r="151" spans="1:45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</row>
    <row r="152" spans="1:45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</row>
    <row r="153" spans="1:45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</row>
    <row r="154" spans="1:45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</row>
    <row r="155" spans="1:4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</row>
    <row r="156" spans="1:45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</row>
    <row r="157" spans="1:45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</row>
    <row r="158" spans="1:45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</row>
    <row r="159" spans="1:45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</row>
    <row r="160" spans="1:45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</row>
    <row r="161" spans="1:45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</row>
    <row r="162" spans="1:45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</row>
    <row r="163" spans="1:45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</row>
    <row r="164" spans="1:45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</row>
    <row r="165" spans="1:4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</row>
    <row r="166" spans="1:45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</row>
    <row r="167" spans="1:45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</row>
    <row r="168" spans="1:45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</row>
    <row r="169" spans="1:45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</row>
    <row r="170" spans="1:45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</row>
    <row r="171" spans="1:45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</row>
    <row r="172" spans="1:45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</row>
    <row r="173" spans="1:45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</row>
    <row r="174" spans="1:45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</row>
    <row r="175" spans="1:4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</row>
    <row r="176" spans="1:45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</row>
    <row r="177" spans="1:45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</row>
    <row r="178" spans="1:45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</row>
    <row r="179" spans="1:45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</row>
    <row r="180" spans="1:45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</row>
    <row r="181" spans="1:45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</row>
    <row r="182" spans="1:45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</row>
    <row r="183" spans="1:45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</row>
    <row r="184" spans="1:45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</row>
    <row r="185" spans="1:4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</row>
    <row r="186" spans="1:45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</row>
    <row r="187" spans="1:45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</row>
    <row r="188" spans="1:45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</row>
    <row r="189" spans="1:45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</row>
    <row r="190" spans="1:45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</row>
    <row r="191" spans="1:45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</row>
    <row r="192" spans="1:45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</row>
    <row r="193" spans="1:45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</row>
    <row r="194" spans="1:45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</row>
    <row r="195" spans="1:4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</row>
    <row r="196" spans="1:45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</row>
    <row r="197" spans="1:45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</row>
    <row r="198" spans="1:45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</row>
    <row r="199" spans="1:45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</row>
    <row r="200" spans="1:45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</row>
    <row r="201" spans="1:45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</row>
    <row r="202" spans="1:45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</row>
    <row r="203" spans="1:45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</row>
    <row r="204" spans="1:45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</row>
    <row r="205" spans="1:4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</row>
    <row r="206" spans="1:45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</row>
    <row r="207" spans="1:45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</row>
    <row r="208" spans="1:45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</row>
    <row r="209" spans="1:45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</row>
    <row r="210" spans="1:45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</row>
    <row r="211" spans="1:45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</row>
    <row r="212" spans="1:45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</row>
    <row r="213" spans="1:45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</row>
    <row r="214" spans="1:45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</row>
    <row r="215" spans="1:4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</row>
    <row r="216" spans="1:45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</row>
    <row r="217" spans="1:45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</row>
    <row r="218" spans="1:45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</row>
    <row r="219" spans="1:45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</row>
    <row r="220" spans="1:45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</row>
    <row r="221" spans="1:45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</row>
    <row r="222" spans="1:45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</row>
    <row r="223" spans="1:45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</row>
    <row r="224" spans="1:45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</row>
    <row r="225" spans="1:4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</row>
    <row r="226" spans="1:45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</row>
    <row r="227" spans="1:45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</row>
    <row r="228" spans="1:45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</row>
    <row r="229" spans="1:45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</row>
    <row r="230" spans="1:45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</row>
    <row r="231" spans="1:45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</row>
    <row r="232" spans="1:45" ht="15.75" customHeight="1"/>
    <row r="233" spans="1:45" ht="15.75" customHeight="1"/>
    <row r="234" spans="1:45" ht="15.75" customHeight="1"/>
    <row r="235" spans="1:45" ht="15.75" customHeight="1"/>
    <row r="236" spans="1:45" ht="15.75" customHeight="1"/>
    <row r="237" spans="1:45" ht="15.75" customHeight="1"/>
    <row r="238" spans="1:45" ht="15.75" customHeight="1"/>
    <row r="239" spans="1:45" ht="15.75" customHeight="1"/>
    <row r="240" spans="1:4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3">
    <mergeCell ref="N15:U16"/>
    <mergeCell ref="N17:U18"/>
    <mergeCell ref="Q26:S26"/>
    <mergeCell ref="T26:U26"/>
    <mergeCell ref="V26:W26"/>
    <mergeCell ref="N5:U6"/>
    <mergeCell ref="N7:U8"/>
    <mergeCell ref="L9:Q9"/>
    <mergeCell ref="L10:Q10"/>
    <mergeCell ref="L11:Q12"/>
    <mergeCell ref="A5:A8"/>
    <mergeCell ref="H5:J6"/>
    <mergeCell ref="L5:M6"/>
    <mergeCell ref="L7:M8"/>
    <mergeCell ref="H9:J9"/>
    <mergeCell ref="E5:G6"/>
    <mergeCell ref="L17:M18"/>
    <mergeCell ref="E19:G20"/>
    <mergeCell ref="H19:J20"/>
    <mergeCell ref="A9:A12"/>
    <mergeCell ref="A15:A18"/>
    <mergeCell ref="A19:A20"/>
    <mergeCell ref="E9:G9"/>
    <mergeCell ref="E15:G16"/>
    <mergeCell ref="H15:J16"/>
    <mergeCell ref="L15:M16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T4:U4"/>
    <mergeCell ref="X4:Y4"/>
    <mergeCell ref="Z4:AA4"/>
    <mergeCell ref="AB4:AC4"/>
    <mergeCell ref="V37:X38"/>
    <mergeCell ref="D30:J30"/>
    <mergeCell ref="D31:J31"/>
    <mergeCell ref="D32:J32"/>
    <mergeCell ref="D33:J33"/>
    <mergeCell ref="R34:T35"/>
    <mergeCell ref="V34:X35"/>
    <mergeCell ref="C35:G35"/>
    <mergeCell ref="D29:J29"/>
    <mergeCell ref="N29:O29"/>
    <mergeCell ref="N34:P35"/>
    <mergeCell ref="N37:P38"/>
    <mergeCell ref="R37:T38"/>
    <mergeCell ref="Z26:Z27"/>
    <mergeCell ref="AA26:AA27"/>
    <mergeCell ref="D27:J27"/>
    <mergeCell ref="N27:O27"/>
    <mergeCell ref="D28:J28"/>
    <mergeCell ref="X26:X27"/>
    <mergeCell ref="Y26:Y27"/>
  </mergeCells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AP1005"/>
  <sheetViews>
    <sheetView workbookViewId="0">
      <selection activeCell="L15" sqref="L15:Q16"/>
    </sheetView>
  </sheetViews>
  <sheetFormatPr baseColWidth="10" defaultColWidth="14.3984375" defaultRowHeight="15" customHeight="1"/>
  <cols>
    <col min="1" max="1" width="21.796875" customWidth="1"/>
    <col min="2" max="2" width="7.59765625" customWidth="1"/>
    <col min="3" max="3" width="10.19921875" customWidth="1"/>
    <col min="4" max="10" width="7.59765625" customWidth="1"/>
    <col min="11" max="11" width="12" customWidth="1"/>
    <col min="12" max="12" width="13.3984375" customWidth="1"/>
    <col min="13" max="13" width="16.796875" customWidth="1"/>
    <col min="14" max="14" width="13.3984375" customWidth="1"/>
    <col min="15" max="23" width="7.59765625" customWidth="1"/>
    <col min="24" max="25" width="5.796875" customWidth="1"/>
    <col min="26" max="26" width="9" customWidth="1"/>
    <col min="27" max="27" width="8.796875" customWidth="1"/>
    <col min="28" max="28" width="8.3984375" customWidth="1"/>
    <col min="29" max="29" width="8.19921875" customWidth="1"/>
    <col min="30" max="30" width="10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15" t="s">
        <v>77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97" t="s">
        <v>1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16" t="s">
        <v>78</v>
      </c>
      <c r="J3" s="406"/>
      <c r="K3" s="406"/>
      <c r="L3" s="406"/>
      <c r="M3" s="406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17" t="s">
        <v>3</v>
      </c>
      <c r="C4" s="418"/>
      <c r="D4" s="419" t="s">
        <v>4</v>
      </c>
      <c r="E4" s="404"/>
      <c r="F4" s="419" t="s">
        <v>5</v>
      </c>
      <c r="G4" s="404"/>
      <c r="H4" s="417" t="s">
        <v>6</v>
      </c>
      <c r="I4" s="418"/>
      <c r="J4" s="417" t="s">
        <v>7</v>
      </c>
      <c r="K4" s="418"/>
      <c r="L4" s="417" t="s">
        <v>8</v>
      </c>
      <c r="M4" s="418"/>
      <c r="N4" s="417" t="s">
        <v>9</v>
      </c>
      <c r="O4" s="418"/>
      <c r="P4" s="419" t="s">
        <v>10</v>
      </c>
      <c r="Q4" s="420"/>
      <c r="R4" s="419" t="s">
        <v>11</v>
      </c>
      <c r="S4" s="420"/>
      <c r="T4" s="443" t="s">
        <v>12</v>
      </c>
      <c r="U4" s="444"/>
      <c r="V4" s="417" t="s">
        <v>13</v>
      </c>
      <c r="W4" s="418"/>
      <c r="X4" s="445"/>
      <c r="Y4" s="398"/>
      <c r="Z4" s="401"/>
      <c r="AA4" s="398"/>
      <c r="AB4" s="401"/>
      <c r="AC4" s="39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52.5" customHeight="1">
      <c r="A5" s="433" t="s">
        <v>14</v>
      </c>
      <c r="B5" s="448" t="s">
        <v>79</v>
      </c>
      <c r="C5" s="403"/>
      <c r="D5" s="420"/>
      <c r="E5" s="449" t="s">
        <v>80</v>
      </c>
      <c r="F5" s="403"/>
      <c r="G5" s="420"/>
      <c r="H5" s="450" t="s">
        <v>463</v>
      </c>
      <c r="I5" s="403"/>
      <c r="J5" s="420"/>
      <c r="K5" s="13"/>
      <c r="L5" s="12"/>
      <c r="M5" s="20"/>
      <c r="N5" s="20"/>
      <c r="O5" s="20"/>
      <c r="P5" s="20"/>
      <c r="Q5" s="20"/>
      <c r="R5" s="20"/>
      <c r="S5" s="20"/>
      <c r="T5" s="12"/>
      <c r="U5" s="12"/>
      <c r="V5" s="14"/>
      <c r="W5" s="15"/>
      <c r="X5" s="88"/>
      <c r="Y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59.25" customHeight="1">
      <c r="A6" s="396"/>
      <c r="B6" s="405"/>
      <c r="C6" s="406"/>
      <c r="D6" s="423"/>
      <c r="E6" s="405"/>
      <c r="F6" s="406"/>
      <c r="G6" s="423"/>
      <c r="H6" s="406"/>
      <c r="I6" s="406"/>
      <c r="J6" s="423"/>
      <c r="K6" s="17"/>
      <c r="L6" s="16" t="s">
        <v>81</v>
      </c>
      <c r="M6" s="16"/>
      <c r="N6" s="16"/>
      <c r="O6" s="16"/>
      <c r="P6" s="16"/>
      <c r="Q6" s="16"/>
      <c r="R6" s="16"/>
      <c r="S6" s="16"/>
      <c r="T6" s="16"/>
      <c r="U6" s="16"/>
      <c r="V6" s="18"/>
      <c r="W6" s="19"/>
      <c r="X6" s="88"/>
      <c r="Y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2.5" customHeight="1">
      <c r="A7" s="425" t="s">
        <v>21</v>
      </c>
      <c r="B7" s="89"/>
      <c r="C7" s="28"/>
      <c r="D7" s="90"/>
      <c r="E7" s="89"/>
      <c r="F7" s="28"/>
      <c r="G7" s="90"/>
      <c r="H7" s="446" t="s">
        <v>82</v>
      </c>
      <c r="I7" s="403"/>
      <c r="J7" s="420"/>
      <c r="K7" s="14"/>
      <c r="L7" s="447" t="s">
        <v>83</v>
      </c>
      <c r="M7" s="403"/>
      <c r="N7" s="403"/>
      <c r="O7" s="403"/>
      <c r="P7" s="403"/>
      <c r="Q7" s="404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396"/>
      <c r="B8" s="91"/>
      <c r="C8" s="32"/>
      <c r="D8" s="92"/>
      <c r="E8" s="91"/>
      <c r="F8" s="32"/>
      <c r="G8" s="92"/>
      <c r="H8" s="405"/>
      <c r="I8" s="406"/>
      <c r="J8" s="423"/>
      <c r="K8" s="18"/>
      <c r="L8" s="405"/>
      <c r="M8" s="406"/>
      <c r="N8" s="406"/>
      <c r="O8" s="406"/>
      <c r="P8" s="406"/>
      <c r="Q8" s="407"/>
      <c r="V8" s="32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451" t="s">
        <v>27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93"/>
      <c r="M9" s="93"/>
      <c r="N9" s="93"/>
      <c r="O9" s="93"/>
      <c r="P9" s="93"/>
      <c r="Q9" s="93"/>
      <c r="R9" s="93"/>
      <c r="S9" s="93"/>
      <c r="T9" s="93"/>
      <c r="U9" s="93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7.25" customHeight="1">
      <c r="A10" s="426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7.25" customHeight="1">
      <c r="A11" s="426"/>
      <c r="B11" s="95"/>
      <c r="C11" s="14"/>
      <c r="D11" s="14"/>
      <c r="E11" s="14"/>
      <c r="F11" s="14"/>
      <c r="G11" s="14"/>
      <c r="H11" s="14"/>
      <c r="I11" s="14"/>
      <c r="J11" s="14"/>
      <c r="K11" s="14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1" customHeight="1">
      <c r="A12" s="396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7.25" customHeight="1">
      <c r="A13" s="427" t="s">
        <v>28</v>
      </c>
      <c r="B13" s="448" t="s">
        <v>84</v>
      </c>
      <c r="C13" s="403"/>
      <c r="D13" s="420"/>
      <c r="E13" s="449" t="s">
        <v>85</v>
      </c>
      <c r="F13" s="403"/>
      <c r="G13" s="420"/>
      <c r="H13" s="450" t="s">
        <v>86</v>
      </c>
      <c r="I13" s="403"/>
      <c r="J13" s="420"/>
      <c r="K13" s="14"/>
      <c r="L13" s="452" t="s">
        <v>87</v>
      </c>
      <c r="M13" s="420"/>
      <c r="N13" s="432" t="s">
        <v>88</v>
      </c>
      <c r="O13" s="403"/>
      <c r="P13" s="403"/>
      <c r="Q13" s="403"/>
      <c r="R13" s="403"/>
      <c r="S13" s="403"/>
      <c r="T13" s="403"/>
      <c r="U13" s="420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4.75" customHeight="1">
      <c r="A14" s="396"/>
      <c r="B14" s="405"/>
      <c r="C14" s="406"/>
      <c r="D14" s="423"/>
      <c r="E14" s="405"/>
      <c r="F14" s="406"/>
      <c r="G14" s="423"/>
      <c r="H14" s="406"/>
      <c r="I14" s="406"/>
      <c r="J14" s="423"/>
      <c r="K14" s="18"/>
      <c r="L14" s="405"/>
      <c r="M14" s="423"/>
      <c r="N14" s="405"/>
      <c r="O14" s="406"/>
      <c r="P14" s="406"/>
      <c r="Q14" s="406"/>
      <c r="R14" s="406"/>
      <c r="S14" s="406"/>
      <c r="T14" s="406"/>
      <c r="U14" s="423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6.5" customHeight="1">
      <c r="A15" s="453" t="s">
        <v>35</v>
      </c>
      <c r="B15" s="28"/>
      <c r="C15" s="28"/>
      <c r="D15" s="28"/>
      <c r="E15" s="89"/>
      <c r="F15" s="28"/>
      <c r="G15" s="90"/>
      <c r="H15" s="446" t="s">
        <v>89</v>
      </c>
      <c r="I15" s="403"/>
      <c r="J15" s="420"/>
      <c r="K15" s="11"/>
      <c r="L15" s="439" t="s">
        <v>90</v>
      </c>
      <c r="M15" s="403"/>
      <c r="N15" s="403"/>
      <c r="O15" s="403"/>
      <c r="P15" s="403"/>
      <c r="Q15" s="404"/>
      <c r="R15" s="11"/>
      <c r="S15" s="11"/>
      <c r="T15" s="11"/>
      <c r="U15" s="11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54" customHeight="1">
      <c r="A16" s="396"/>
      <c r="B16" s="32"/>
      <c r="C16" s="32"/>
      <c r="D16" s="32"/>
      <c r="E16" s="91"/>
      <c r="F16" s="32"/>
      <c r="G16" s="92"/>
      <c r="H16" s="405"/>
      <c r="I16" s="406"/>
      <c r="J16" s="423"/>
      <c r="K16" s="16"/>
      <c r="L16" s="405"/>
      <c r="M16" s="406"/>
      <c r="N16" s="406"/>
      <c r="O16" s="406"/>
      <c r="P16" s="406"/>
      <c r="Q16" s="407"/>
      <c r="R16" s="16"/>
      <c r="S16" s="16"/>
      <c r="T16" s="16"/>
      <c r="U16" s="16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97"/>
      <c r="B17" s="32"/>
      <c r="C17" s="32"/>
      <c r="D17" s="32"/>
      <c r="E17" s="32"/>
      <c r="F17" s="32"/>
      <c r="G17" s="32"/>
      <c r="H17" s="32"/>
      <c r="I17" s="32"/>
      <c r="J17" s="32"/>
      <c r="K17" s="16"/>
      <c r="L17" s="16"/>
      <c r="M17" s="16"/>
      <c r="N17" s="98"/>
      <c r="O17" s="98"/>
      <c r="P17" s="98"/>
      <c r="Q17" s="42"/>
      <c r="R17" s="42"/>
      <c r="S17" s="42"/>
      <c r="T17" s="17"/>
      <c r="U17" s="35"/>
      <c r="V17" s="35"/>
      <c r="W17" s="36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97"/>
      <c r="B18" s="99"/>
      <c r="C18" s="99"/>
      <c r="D18" s="99"/>
      <c r="E18" s="99"/>
      <c r="F18" s="99"/>
      <c r="G18" s="99"/>
      <c r="H18" s="18"/>
      <c r="I18" s="18"/>
      <c r="J18" s="18"/>
      <c r="K18" s="16"/>
      <c r="L18" s="16"/>
      <c r="M18" s="16"/>
      <c r="N18" s="98"/>
      <c r="O18" s="98"/>
      <c r="P18" s="98"/>
      <c r="Q18" s="42"/>
      <c r="R18" s="42"/>
      <c r="S18" s="42"/>
      <c r="T18" s="17"/>
      <c r="U18" s="35"/>
      <c r="V18" s="35"/>
      <c r="W18" s="36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45" t="s">
        <v>39</v>
      </c>
      <c r="B19" s="46"/>
      <c r="C19" s="47"/>
      <c r="D19" s="47"/>
      <c r="E19" s="47"/>
      <c r="F19" s="47"/>
      <c r="G19" s="47"/>
      <c r="H19" s="47"/>
      <c r="I19" s="47"/>
      <c r="J19" s="4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7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45" t="s">
        <v>40</v>
      </c>
      <c r="B20" s="4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40"/>
      <c r="T21" s="398"/>
      <c r="U21" s="398"/>
      <c r="V21" s="398"/>
      <c r="W21" s="39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61"/>
      <c r="T22" s="61"/>
      <c r="U22" s="61"/>
      <c r="V22" s="61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61"/>
      <c r="T23" s="61"/>
      <c r="U23" s="61"/>
      <c r="V23" s="61"/>
      <c r="W23" s="6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51" t="s">
        <v>48</v>
      </c>
      <c r="B24" s="457" t="s">
        <v>51</v>
      </c>
      <c r="C24" s="398"/>
      <c r="D24" s="398"/>
      <c r="E24" s="398"/>
      <c r="F24" s="398"/>
      <c r="G24" s="398"/>
      <c r="H24" s="398"/>
      <c r="I24" s="398"/>
      <c r="J24" s="398"/>
      <c r="K24" s="100" t="s">
        <v>52</v>
      </c>
      <c r="L24" s="101" t="s">
        <v>91</v>
      </c>
      <c r="M24" s="101" t="s">
        <v>92</v>
      </c>
      <c r="N24" s="102" t="s">
        <v>55</v>
      </c>
      <c r="O24" s="102"/>
      <c r="P24" s="103"/>
      <c r="Q24" s="103"/>
      <c r="R24" s="103"/>
      <c r="S24" s="104"/>
      <c r="T24" s="104"/>
      <c r="U24" s="441" t="s">
        <v>41</v>
      </c>
      <c r="V24" s="438"/>
      <c r="W24" s="421"/>
      <c r="X24" s="442" t="s">
        <v>42</v>
      </c>
      <c r="Y24" s="421"/>
      <c r="Z24" s="441" t="s">
        <v>43</v>
      </c>
      <c r="AA24" s="421"/>
      <c r="AB24" s="395" t="s">
        <v>44</v>
      </c>
      <c r="AC24" s="395" t="s">
        <v>45</v>
      </c>
      <c r="AD24" s="395" t="s">
        <v>46</v>
      </c>
      <c r="AE24" s="395" t="s">
        <v>47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21" t="s">
        <v>63</v>
      </c>
      <c r="B25" s="105">
        <v>1</v>
      </c>
      <c r="C25" s="106" t="s">
        <v>93</v>
      </c>
      <c r="D25" s="107" t="str">
        <f>VLOOKUP($C25,'DG2562V1.2Courses'!$B$4:$F$99,3,FALSE)</f>
        <v>Critical Reading and Effective Writing</v>
      </c>
      <c r="E25" s="108"/>
      <c r="F25" s="108"/>
      <c r="G25" s="108"/>
      <c r="H25" s="108"/>
      <c r="I25" s="108"/>
      <c r="J25" s="108"/>
      <c r="K25" s="109">
        <f>VLOOKUP($C25,'DG2562V1.2Courses'!$B$4:$F$99,4,FALSE)</f>
        <v>3</v>
      </c>
      <c r="L25" s="51"/>
      <c r="M25" s="51"/>
      <c r="N25" s="103"/>
      <c r="O25" s="103"/>
      <c r="P25" s="103"/>
      <c r="Q25" s="103"/>
      <c r="R25" s="103"/>
      <c r="S25" s="103"/>
      <c r="T25" s="103"/>
      <c r="U25" s="55" t="s">
        <v>56</v>
      </c>
      <c r="V25" s="55" t="s">
        <v>57</v>
      </c>
      <c r="W25" s="55" t="s">
        <v>58</v>
      </c>
      <c r="X25" s="55" t="s">
        <v>59</v>
      </c>
      <c r="Y25" s="55" t="s">
        <v>60</v>
      </c>
      <c r="Z25" s="55" t="s">
        <v>61</v>
      </c>
      <c r="AA25" s="55" t="s">
        <v>62</v>
      </c>
      <c r="AB25" s="396"/>
      <c r="AC25" s="396"/>
      <c r="AD25" s="396"/>
      <c r="AE25" s="396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 t="s">
        <v>63</v>
      </c>
      <c r="B26" s="110">
        <v>2</v>
      </c>
      <c r="C26" s="111" t="s">
        <v>94</v>
      </c>
      <c r="D26" s="458" t="str">
        <f>VLOOKUP($C26,'DG2562V1.2Courses'!$B$4:$F$99,3,FALSE)</f>
        <v>Introduction to Digital Business</v>
      </c>
      <c r="E26" s="438"/>
      <c r="F26" s="438"/>
      <c r="G26" s="438"/>
      <c r="H26" s="438"/>
      <c r="I26" s="438"/>
      <c r="J26" s="421"/>
      <c r="K26" s="112">
        <f>VLOOKUP($C26,'DG2562V1.2Courses'!$B$4:$F$99,4,FALSE)</f>
        <v>2</v>
      </c>
      <c r="L26" s="51"/>
      <c r="M26" s="51"/>
      <c r="N26" s="459"/>
      <c r="O26" s="398"/>
      <c r="P26" s="398"/>
      <c r="Q26" s="103"/>
      <c r="R26" s="103"/>
      <c r="S26" s="103"/>
      <c r="T26" s="114"/>
      <c r="U26" s="115"/>
      <c r="V26" s="116"/>
      <c r="W26" s="116"/>
      <c r="X26" s="116"/>
      <c r="Y26" s="116"/>
      <c r="Z26" s="117"/>
      <c r="AA26" s="116"/>
      <c r="AB26" s="116"/>
      <c r="AC26" s="118"/>
      <c r="AD26" s="116"/>
      <c r="AE26" s="11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 t="s">
        <v>63</v>
      </c>
      <c r="B27" s="120">
        <v>3</v>
      </c>
      <c r="C27" s="121" t="s">
        <v>95</v>
      </c>
      <c r="D27" s="460" t="str">
        <f>VLOOKUP($C27,'DG2562V1.2Courses'!$B$4:$F$99,3,FALSE)</f>
        <v>Mathematics for Computer Graphics and Game</v>
      </c>
      <c r="E27" s="438"/>
      <c r="F27" s="438"/>
      <c r="G27" s="438"/>
      <c r="H27" s="438"/>
      <c r="I27" s="438"/>
      <c r="J27" s="421"/>
      <c r="K27" s="112">
        <f>VLOOKUP($C27,'DG2562V1.2Courses'!$B$4:$F$99,4,FALSE)</f>
        <v>3</v>
      </c>
      <c r="L27" s="60" t="s">
        <v>69</v>
      </c>
      <c r="M27" s="51" t="s">
        <v>96</v>
      </c>
      <c r="N27" s="122"/>
      <c r="O27" s="122"/>
      <c r="P27" s="122"/>
      <c r="Q27" s="103"/>
      <c r="R27" s="103"/>
      <c r="S27" s="103"/>
      <c r="T27" s="114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23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24">
        <v>4</v>
      </c>
      <c r="C28" s="125" t="s">
        <v>97</v>
      </c>
      <c r="D28" s="461" t="str">
        <f>VLOOKUP($C28,'DG2562V1.2Courses'!$B$4:$F$99,3,FALSE)</f>
        <v>Game Development 1</v>
      </c>
      <c r="E28" s="438"/>
      <c r="F28" s="438"/>
      <c r="G28" s="438"/>
      <c r="H28" s="438"/>
      <c r="I28" s="438"/>
      <c r="J28" s="421"/>
      <c r="K28" s="112">
        <f>VLOOKUP($C28,'DG2562V1.2Courses'!$B$4:$F$99,4,FALSE)</f>
        <v>3</v>
      </c>
      <c r="L28" s="126" t="s">
        <v>98</v>
      </c>
      <c r="M28" s="51" t="s">
        <v>99</v>
      </c>
      <c r="N28" s="122"/>
      <c r="O28" s="122"/>
      <c r="P28" s="122"/>
      <c r="Q28" s="103"/>
      <c r="R28" s="103"/>
      <c r="S28" s="103"/>
      <c r="T28" s="114"/>
      <c r="U28" s="127"/>
      <c r="V28" s="127"/>
      <c r="W28" s="127"/>
      <c r="X28" s="128"/>
      <c r="Y28" s="128"/>
      <c r="Z28" s="128"/>
      <c r="AA28" s="128" t="s">
        <v>100</v>
      </c>
      <c r="AB28" s="128"/>
      <c r="AC28" s="128"/>
      <c r="AD28" s="12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3.75" customHeight="1">
      <c r="A29" s="21" t="s">
        <v>63</v>
      </c>
      <c r="B29" s="129">
        <v>5</v>
      </c>
      <c r="C29" s="130" t="s">
        <v>101</v>
      </c>
      <c r="D29" s="454" t="str">
        <f>VLOOKUP($C29,'DG2562V1.2Courses'!$B$4:$F$99,3,FALSE)</f>
        <v>Digital Game Production</v>
      </c>
      <c r="E29" s="438"/>
      <c r="F29" s="438"/>
      <c r="G29" s="438"/>
      <c r="H29" s="438"/>
      <c r="I29" s="438"/>
      <c r="J29" s="421"/>
      <c r="K29" s="112">
        <f>VLOOKUP($C29,'DG2562V1.2Courses'!$B$4:$F$99,4,FALSE)</f>
        <v>3</v>
      </c>
      <c r="L29" s="51" t="s">
        <v>102</v>
      </c>
      <c r="M29" s="131" t="s">
        <v>103</v>
      </c>
      <c r="N29" s="455"/>
      <c r="O29" s="398"/>
      <c r="P29" s="398"/>
      <c r="Q29" s="398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21" t="s">
        <v>63</v>
      </c>
      <c r="B30" s="134">
        <v>6</v>
      </c>
      <c r="C30" s="135" t="s">
        <v>104</v>
      </c>
      <c r="D30" s="456" t="str">
        <f>VLOOKUP($C30,'DG2562V1.2Courses'!$B$4:$F$99,3,FALSE)</f>
        <v>Graphics Design for Two Dimensional Games</v>
      </c>
      <c r="E30" s="438"/>
      <c r="F30" s="438"/>
      <c r="G30" s="438"/>
      <c r="H30" s="438"/>
      <c r="I30" s="438"/>
      <c r="J30" s="421"/>
      <c r="K30" s="112">
        <f>VLOOKUP($C30,'DG2562V1.2Courses'!$B$4:$F$99,4,FALSE)</f>
        <v>3</v>
      </c>
      <c r="L30" s="51" t="s">
        <v>105</v>
      </c>
      <c r="M30" s="51"/>
      <c r="N30" s="136"/>
      <c r="O30" s="136"/>
      <c r="P30" s="136"/>
      <c r="Q30" s="136"/>
      <c r="R30" s="136"/>
      <c r="S30" s="136"/>
      <c r="T30" s="136"/>
      <c r="U30" s="137"/>
      <c r="V30" s="137"/>
      <c r="W30" s="137"/>
      <c r="X30" s="138">
        <v>1</v>
      </c>
      <c r="Y30" s="138">
        <v>1</v>
      </c>
      <c r="Z30" s="138"/>
      <c r="AA30" s="138"/>
      <c r="AB30" s="138"/>
      <c r="AC30" s="138"/>
      <c r="AD30" s="138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B31" s="139"/>
      <c r="C31" s="462" t="s">
        <v>106</v>
      </c>
      <c r="D31" s="421"/>
      <c r="E31" s="140"/>
      <c r="F31" s="140"/>
      <c r="G31" s="140"/>
      <c r="H31" s="140"/>
      <c r="I31" s="140"/>
      <c r="J31" s="140"/>
      <c r="K31" s="141">
        <v>3</v>
      </c>
      <c r="L31" s="51"/>
      <c r="M31" s="51"/>
      <c r="N31" s="142" t="s">
        <v>107</v>
      </c>
      <c r="O31" s="122"/>
      <c r="P31" s="122"/>
      <c r="Q31" s="103"/>
      <c r="R31" s="103"/>
      <c r="S31" s="103"/>
      <c r="T31" s="114"/>
      <c r="U31" s="132"/>
      <c r="V31" s="132"/>
      <c r="W31" s="132"/>
      <c r="X31" s="133"/>
      <c r="Y31" s="133"/>
      <c r="Z31" s="133"/>
      <c r="AA31" s="133"/>
      <c r="AB31" s="133"/>
      <c r="AC31" s="133"/>
      <c r="AD31" s="13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20">
      <c r="A32" s="21" t="s">
        <v>63</v>
      </c>
      <c r="B32" s="143">
        <v>7</v>
      </c>
      <c r="C32" s="144" t="s">
        <v>108</v>
      </c>
      <c r="D32" s="463" t="str">
        <f>VLOOKUP($C32,'DG2562V1.2Courses'!$B$4:$F$99,3,FALSE)</f>
        <v>Gamification</v>
      </c>
      <c r="E32" s="398"/>
      <c r="F32" s="398"/>
      <c r="G32" s="398"/>
      <c r="H32" s="398"/>
      <c r="I32" s="398"/>
      <c r="J32" s="398"/>
      <c r="K32" s="145">
        <v>3</v>
      </c>
      <c r="L32" s="146" t="s">
        <v>109</v>
      </c>
      <c r="M32" s="51" t="s">
        <v>96</v>
      </c>
      <c r="O32" s="113"/>
      <c r="P32" s="113"/>
      <c r="Q32" s="113"/>
      <c r="R32" s="113"/>
      <c r="S32" s="113"/>
      <c r="T32" s="113"/>
      <c r="U32" s="132"/>
      <c r="V32" s="132"/>
      <c r="W32" s="132"/>
      <c r="X32" s="133"/>
      <c r="Y32" s="133"/>
      <c r="Z32" s="133"/>
      <c r="AA32" s="133"/>
      <c r="AB32" s="133"/>
      <c r="AC32" s="133"/>
      <c r="AD32" s="133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147"/>
      <c r="C33" s="148"/>
      <c r="D33" s="464"/>
      <c r="E33" s="398"/>
      <c r="F33" s="398"/>
      <c r="G33" s="398"/>
      <c r="H33" s="398"/>
      <c r="I33" s="398"/>
      <c r="J33" s="398"/>
      <c r="K33" s="103">
        <v>3</v>
      </c>
      <c r="L33" s="51" t="s">
        <v>110</v>
      </c>
      <c r="M33" s="21" t="s">
        <v>111</v>
      </c>
      <c r="N33" s="149"/>
      <c r="O33" s="149"/>
      <c r="P33" s="150"/>
      <c r="R33" s="103"/>
      <c r="S33" s="103"/>
      <c r="T33" s="114"/>
      <c r="U33" s="151"/>
      <c r="V33" s="151" t="s">
        <v>112</v>
      </c>
      <c r="W33" s="151"/>
      <c r="X33" s="152"/>
      <c r="Y33" s="153"/>
      <c r="Z33" s="153"/>
      <c r="AA33" s="153"/>
      <c r="AB33" s="153"/>
      <c r="AC33" s="153"/>
      <c r="AD33" s="153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81" t="s">
        <v>76</v>
      </c>
      <c r="D34" s="465"/>
      <c r="E34" s="398"/>
      <c r="F34" s="398"/>
      <c r="G34" s="398"/>
      <c r="H34" s="398"/>
      <c r="I34" s="398"/>
      <c r="J34" s="398"/>
      <c r="K34" s="154">
        <f>SUM(K25:K31)</f>
        <v>20</v>
      </c>
      <c r="L34" s="155"/>
      <c r="M34" s="61"/>
      <c r="N34" s="61"/>
      <c r="O34" s="61"/>
      <c r="P34" s="61"/>
      <c r="Q34" s="61"/>
      <c r="R34" s="61"/>
      <c r="S34" s="61"/>
      <c r="T34" s="54"/>
      <c r="U34" s="54"/>
      <c r="V34" s="54"/>
      <c r="W34" s="54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5.75" customHeight="1">
      <c r="A35" s="21"/>
      <c r="B35" s="21"/>
      <c r="C35" s="466" t="s">
        <v>113</v>
      </c>
      <c r="D35" s="398"/>
      <c r="E35" s="398"/>
      <c r="F35" s="398"/>
      <c r="G35" s="398"/>
      <c r="H35" s="142"/>
      <c r="I35" s="142"/>
      <c r="J35" s="21"/>
      <c r="K35" s="21"/>
      <c r="L35" s="54"/>
      <c r="M35" s="54"/>
      <c r="N35" s="54"/>
      <c r="O35" s="54"/>
      <c r="P35" s="54"/>
      <c r="Q35" s="61"/>
      <c r="R35" s="61"/>
      <c r="S35" s="61"/>
      <c r="T35" s="54"/>
      <c r="U35" s="54"/>
      <c r="V35" s="54"/>
      <c r="W35" s="54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/>
      <c r="B36" s="21"/>
      <c r="C36" s="20"/>
      <c r="D36" s="20"/>
      <c r="E36" s="20"/>
      <c r="F36" s="20"/>
      <c r="G36" s="20"/>
      <c r="H36" s="20"/>
      <c r="I36" s="142"/>
      <c r="J36" s="21"/>
      <c r="K36" s="21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L37" s="146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"/>
      <c r="B38" s="5"/>
      <c r="C38" s="85"/>
      <c r="D38" s="85"/>
      <c r="E38" s="85"/>
      <c r="F38" s="85"/>
      <c r="G38" s="85"/>
      <c r="H38" s="85"/>
      <c r="I38" s="5"/>
      <c r="J38" s="10"/>
      <c r="K38" s="10"/>
      <c r="L38" s="126"/>
      <c r="N38" s="113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10"/>
      <c r="B39" s="5"/>
      <c r="C39" s="5"/>
      <c r="D39" s="5"/>
      <c r="E39" s="5"/>
      <c r="F39" s="5"/>
      <c r="G39" s="5"/>
      <c r="H39" s="5"/>
      <c r="I39" s="5"/>
      <c r="J39" s="10"/>
      <c r="K39" s="10"/>
      <c r="L39" s="1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4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4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5">
    <mergeCell ref="C31:D31"/>
    <mergeCell ref="D32:J32"/>
    <mergeCell ref="D33:J33"/>
    <mergeCell ref="D34:J34"/>
    <mergeCell ref="C35:G35"/>
    <mergeCell ref="N13:U14"/>
    <mergeCell ref="A15:A16"/>
    <mergeCell ref="D29:J29"/>
    <mergeCell ref="N29:Q29"/>
    <mergeCell ref="D30:J30"/>
    <mergeCell ref="H13:J14"/>
    <mergeCell ref="H15:J16"/>
    <mergeCell ref="B24:J24"/>
    <mergeCell ref="D26:J26"/>
    <mergeCell ref="N26:P26"/>
    <mergeCell ref="D27:J27"/>
    <mergeCell ref="D28:J28"/>
    <mergeCell ref="A9:A12"/>
    <mergeCell ref="A13:A14"/>
    <mergeCell ref="B13:D14"/>
    <mergeCell ref="E13:G14"/>
    <mergeCell ref="L13:M14"/>
    <mergeCell ref="H7:J8"/>
    <mergeCell ref="L7:Q8"/>
    <mergeCell ref="J4:K4"/>
    <mergeCell ref="L4:M4"/>
    <mergeCell ref="A5:A6"/>
    <mergeCell ref="B5:D6"/>
    <mergeCell ref="E5:G6"/>
    <mergeCell ref="H5:J6"/>
    <mergeCell ref="A7:A8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AD24:AD25"/>
    <mergeCell ref="AE24:AE25"/>
    <mergeCell ref="L15:Q16"/>
    <mergeCell ref="S21:W21"/>
    <mergeCell ref="U24:W24"/>
    <mergeCell ref="X24:Y24"/>
    <mergeCell ref="Z24:AA24"/>
    <mergeCell ref="AB24:AB25"/>
    <mergeCell ref="AC24:AC25"/>
  </mergeCells>
  <pageMargins left="0.25" right="0.25" top="0.75" bottom="0.75" header="0" footer="0"/>
  <pageSetup paperSize="9"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08"/>
  <sheetViews>
    <sheetView workbookViewId="0">
      <selection activeCell="L19" sqref="L19:M20"/>
    </sheetView>
  </sheetViews>
  <sheetFormatPr baseColWidth="10" defaultColWidth="14.3984375" defaultRowHeight="15" customHeight="1"/>
  <cols>
    <col min="1" max="1" width="22" customWidth="1"/>
    <col min="2" max="2" width="10.19921875" customWidth="1"/>
    <col min="3" max="3" width="12.19921875" customWidth="1"/>
    <col min="4" max="4" width="15.796875" customWidth="1"/>
    <col min="5" max="5" width="11.59765625" customWidth="1"/>
    <col min="6" max="9" width="10.19921875" customWidth="1"/>
    <col min="10" max="10" width="15.59765625" customWidth="1"/>
    <col min="11" max="11" width="18.796875" customWidth="1"/>
    <col min="12" max="12" width="14.796875" customWidth="1"/>
    <col min="13" max="13" width="22" customWidth="1"/>
    <col min="14" max="14" width="10.796875" customWidth="1"/>
    <col min="15" max="15" width="21" customWidth="1"/>
    <col min="16" max="18" width="7.59765625" customWidth="1"/>
    <col min="19" max="29" width="9.39843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15" t="s">
        <v>114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97" t="s">
        <v>1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115</v>
      </c>
      <c r="B3" s="158"/>
      <c r="C3" s="158"/>
      <c r="D3" s="158"/>
      <c r="E3" s="158"/>
      <c r="F3" s="158"/>
      <c r="G3" s="416" t="s">
        <v>2</v>
      </c>
      <c r="H3" s="406"/>
      <c r="I3" s="406"/>
      <c r="J3" s="406"/>
      <c r="K3" s="406"/>
      <c r="L3" s="406"/>
      <c r="M3" s="406"/>
      <c r="N3" s="406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17" t="s">
        <v>3</v>
      </c>
      <c r="C4" s="418"/>
      <c r="D4" s="417" t="s">
        <v>4</v>
      </c>
      <c r="E4" s="418"/>
      <c r="F4" s="417" t="s">
        <v>5</v>
      </c>
      <c r="G4" s="418"/>
      <c r="H4" s="417" t="s">
        <v>6</v>
      </c>
      <c r="I4" s="418"/>
      <c r="J4" s="417" t="s">
        <v>7</v>
      </c>
      <c r="K4" s="418"/>
      <c r="L4" s="417" t="s">
        <v>8</v>
      </c>
      <c r="M4" s="418"/>
      <c r="N4" s="417" t="s">
        <v>9</v>
      </c>
      <c r="O4" s="418"/>
      <c r="P4" s="417" t="s">
        <v>10</v>
      </c>
      <c r="Q4" s="421"/>
      <c r="R4" s="443" t="s">
        <v>11</v>
      </c>
      <c r="S4" s="479"/>
      <c r="T4" s="443" t="s">
        <v>12</v>
      </c>
      <c r="U4" s="444"/>
      <c r="V4" s="417" t="s">
        <v>13</v>
      </c>
      <c r="W4" s="418"/>
      <c r="X4" s="445"/>
      <c r="Y4" s="398"/>
      <c r="Z4" s="401"/>
      <c r="AA4" s="398"/>
      <c r="AB4" s="401"/>
      <c r="AC4" s="39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33" t="s">
        <v>14</v>
      </c>
      <c r="K5" s="13"/>
      <c r="L5" s="481" t="str">
        <f>C28 &amp; "/001
" &amp; D28 &amp; "
" &amp; L28 &amp; "
" &amp; M28 &amp; "
" &amp; N28 &amp; " คน
" &amp;O28</f>
        <v xml:space="preserve">958325/001
Artificial Intelligence for Game Development
อ.ดร.ปฏิสนธิ์
C204 - C206
60 คน
 </v>
      </c>
      <c r="M5" s="403"/>
      <c r="N5" s="403"/>
      <c r="O5" s="403"/>
      <c r="P5" s="403"/>
      <c r="Q5" s="420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96"/>
      <c r="K6" s="21"/>
      <c r="L6" s="405"/>
      <c r="M6" s="406"/>
      <c r="N6" s="406"/>
      <c r="O6" s="406"/>
      <c r="P6" s="406"/>
      <c r="Q6" s="423"/>
      <c r="R6" s="20"/>
      <c r="S6" s="20"/>
      <c r="T6" s="20"/>
      <c r="U6" s="20"/>
      <c r="V6" s="26"/>
      <c r="W6" s="27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37.5" customHeight="1">
      <c r="A7" s="425" t="s">
        <v>21</v>
      </c>
      <c r="B7" s="430" t="s">
        <v>116</v>
      </c>
      <c r="C7" s="403"/>
      <c r="D7" s="430" t="s">
        <v>117</v>
      </c>
      <c r="E7" s="403"/>
      <c r="F7" s="403"/>
      <c r="G7" s="403"/>
      <c r="H7" s="403"/>
      <c r="I7" s="403"/>
      <c r="J7" s="403"/>
      <c r="K7" s="403"/>
      <c r="L7" s="480" t="s">
        <v>118</v>
      </c>
      <c r="M7" s="420"/>
      <c r="N7" s="480" t="s">
        <v>119</v>
      </c>
      <c r="O7" s="403"/>
      <c r="P7" s="403"/>
      <c r="Q7" s="403"/>
      <c r="R7" s="403"/>
      <c r="S7" s="403"/>
      <c r="T7" s="403"/>
      <c r="U7" s="420"/>
      <c r="V7" s="13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0.25" customHeight="1">
      <c r="A8" s="426"/>
      <c r="B8" s="405"/>
      <c r="C8" s="406"/>
      <c r="D8" s="405"/>
      <c r="E8" s="406"/>
      <c r="F8" s="406"/>
      <c r="G8" s="406"/>
      <c r="H8" s="406"/>
      <c r="I8" s="406"/>
      <c r="J8" s="406"/>
      <c r="K8" s="406"/>
      <c r="L8" s="405"/>
      <c r="M8" s="423"/>
      <c r="N8" s="405"/>
      <c r="O8" s="406"/>
      <c r="P8" s="406"/>
      <c r="Q8" s="406"/>
      <c r="R8" s="406"/>
      <c r="S8" s="406"/>
      <c r="T8" s="406"/>
      <c r="U8" s="423"/>
      <c r="V8" s="17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8.25" customHeight="1">
      <c r="A9" s="426"/>
      <c r="B9" s="159"/>
      <c r="C9" s="160"/>
      <c r="D9" s="160"/>
      <c r="E9" s="160"/>
      <c r="F9" s="160"/>
      <c r="G9" s="160"/>
      <c r="H9" s="160"/>
      <c r="I9" s="160"/>
      <c r="J9" s="160"/>
      <c r="K9" s="27"/>
      <c r="L9" s="482" t="s">
        <v>120</v>
      </c>
      <c r="M9" s="403"/>
      <c r="N9" s="403"/>
      <c r="O9" s="403"/>
      <c r="P9" s="403"/>
      <c r="Q9" s="403"/>
      <c r="R9" s="160"/>
      <c r="S9" s="160"/>
      <c r="T9" s="160"/>
      <c r="U9" s="160"/>
      <c r="V9" s="21"/>
      <c r="W9" s="2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8.25" customHeight="1">
      <c r="A10" s="396"/>
      <c r="B10" s="41"/>
      <c r="C10" s="42"/>
      <c r="D10" s="42"/>
      <c r="E10" s="42"/>
      <c r="F10" s="42"/>
      <c r="G10" s="42"/>
      <c r="H10" s="42"/>
      <c r="I10" s="42"/>
      <c r="J10" s="42"/>
      <c r="K10" s="161"/>
      <c r="L10" s="405"/>
      <c r="M10" s="406"/>
      <c r="N10" s="406"/>
      <c r="O10" s="406"/>
      <c r="P10" s="406"/>
      <c r="Q10" s="406"/>
      <c r="R10" s="42"/>
      <c r="S10" s="42"/>
      <c r="T10" s="42"/>
      <c r="U10" s="42"/>
      <c r="V10" s="21"/>
      <c r="W10" s="2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51.75" customHeight="1">
      <c r="A11" s="451" t="s">
        <v>27</v>
      </c>
      <c r="D11" s="483" t="s">
        <v>121</v>
      </c>
      <c r="E11" s="403"/>
      <c r="F11" s="403"/>
      <c r="G11" s="403"/>
      <c r="H11" s="403"/>
      <c r="I11" s="403"/>
      <c r="L11" s="89"/>
      <c r="M11" s="28"/>
      <c r="N11" s="28"/>
      <c r="O11" s="28"/>
      <c r="P11" s="28"/>
      <c r="Q11" s="28"/>
      <c r="R11" s="28"/>
      <c r="S11" s="28"/>
      <c r="T11" s="14"/>
      <c r="U11" s="15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6.75" customHeight="1">
      <c r="A12" s="396"/>
      <c r="D12" s="405"/>
      <c r="E12" s="406"/>
      <c r="F12" s="406"/>
      <c r="G12" s="406"/>
      <c r="H12" s="406"/>
      <c r="I12" s="406"/>
      <c r="L12" s="91"/>
      <c r="M12" s="32"/>
      <c r="N12" s="32"/>
      <c r="O12" s="32"/>
      <c r="P12" s="32"/>
      <c r="Q12" s="32"/>
      <c r="R12" s="32"/>
      <c r="S12" s="32"/>
      <c r="T12" s="18"/>
      <c r="U12" s="19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27" t="s">
        <v>28</v>
      </c>
      <c r="B13" s="482" t="s">
        <v>122</v>
      </c>
      <c r="C13" s="403"/>
      <c r="D13" s="403"/>
      <c r="E13" s="403"/>
      <c r="F13" s="403"/>
      <c r="G13" s="403"/>
      <c r="H13" s="403"/>
      <c r="I13" s="403"/>
      <c r="J13" s="403"/>
      <c r="K13" s="403"/>
      <c r="L13" s="432" t="str">
        <f>C27 &amp; "/sec.001 
" &amp; D27 &amp; " 
" &amp;L27 &amp; "
" &amp; N27 &amp; " คน
" &amp; M27 &amp; "
" &amp; O27</f>
        <v xml:space="preserve">958321/sec.001 
Game Development 3 
อ.ดร.เกียรติกร
60 คน
ILC - C204+C206
 </v>
      </c>
      <c r="M13" s="420"/>
      <c r="N13" s="452" t="s">
        <v>123</v>
      </c>
      <c r="O13" s="403"/>
      <c r="P13" s="403"/>
      <c r="Q13" s="403"/>
      <c r="R13" s="403"/>
      <c r="S13" s="403"/>
      <c r="T13" s="403"/>
      <c r="U13" s="420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1.25" customHeight="1">
      <c r="A14" s="426"/>
      <c r="B14" s="405"/>
      <c r="C14" s="406"/>
      <c r="D14" s="406"/>
      <c r="E14" s="406"/>
      <c r="F14" s="406"/>
      <c r="G14" s="406"/>
      <c r="H14" s="406"/>
      <c r="I14" s="406"/>
      <c r="J14" s="406"/>
      <c r="K14" s="406"/>
      <c r="L14" s="405"/>
      <c r="M14" s="423"/>
      <c r="N14" s="405"/>
      <c r="O14" s="406"/>
      <c r="P14" s="406"/>
      <c r="Q14" s="406"/>
      <c r="R14" s="406"/>
      <c r="S14" s="406"/>
      <c r="T14" s="406"/>
      <c r="U14" s="423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3.25" customHeight="1">
      <c r="A15" s="426"/>
      <c r="B15" s="89"/>
      <c r="C15" s="28"/>
      <c r="D15" s="28"/>
      <c r="E15" s="28"/>
      <c r="F15" s="28"/>
      <c r="G15" s="28"/>
      <c r="H15" s="28"/>
      <c r="I15" s="28"/>
      <c r="J15" s="28"/>
      <c r="K15" s="28"/>
      <c r="L15" s="89"/>
      <c r="M15" s="28"/>
      <c r="N15" s="28"/>
      <c r="O15" s="28"/>
      <c r="P15" s="28"/>
      <c r="Q15" s="28"/>
      <c r="R15" s="28"/>
      <c r="S15" s="28"/>
      <c r="T15" s="14"/>
      <c r="U15" s="15"/>
      <c r="V15" s="89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8.75" customHeight="1">
      <c r="A16" s="396"/>
      <c r="B16" s="91"/>
      <c r="C16" s="32"/>
      <c r="D16" s="32"/>
      <c r="E16" s="32"/>
      <c r="F16" s="32"/>
      <c r="G16" s="32"/>
      <c r="H16" s="32"/>
      <c r="I16" s="32"/>
      <c r="J16" s="32"/>
      <c r="K16" s="32"/>
      <c r="L16" s="91"/>
      <c r="M16" s="32"/>
      <c r="N16" s="32"/>
      <c r="O16" s="32"/>
      <c r="P16" s="32"/>
      <c r="Q16" s="32"/>
      <c r="R16" s="32"/>
      <c r="S16" s="32"/>
      <c r="T16" s="18"/>
      <c r="U16" s="19"/>
      <c r="V16" s="91"/>
      <c r="W16" s="38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3" customHeight="1">
      <c r="A17" s="453" t="s">
        <v>35</v>
      </c>
      <c r="B17" s="160"/>
      <c r="C17" s="160"/>
      <c r="D17" s="160"/>
      <c r="E17" s="162"/>
      <c r="F17" s="163"/>
      <c r="G17" s="163"/>
      <c r="H17" s="163"/>
      <c r="I17" s="163"/>
      <c r="J17" s="164"/>
      <c r="M17" s="484" t="s">
        <v>124</v>
      </c>
      <c r="N17" s="403"/>
      <c r="O17" s="403"/>
      <c r="P17" s="403"/>
      <c r="Q17" s="403"/>
      <c r="R17" s="403"/>
      <c r="S17" s="13"/>
      <c r="T17" s="13"/>
      <c r="U17" s="33"/>
      <c r="V17" s="89"/>
      <c r="W17" s="90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8.75" customHeight="1">
      <c r="A18" s="426"/>
      <c r="B18" s="160"/>
      <c r="C18" s="160"/>
      <c r="D18" s="160"/>
      <c r="E18" s="165"/>
      <c r="F18" s="166"/>
      <c r="G18" s="166"/>
      <c r="H18" s="166"/>
      <c r="I18" s="166"/>
      <c r="J18" s="167"/>
      <c r="M18" s="405"/>
      <c r="N18" s="406"/>
      <c r="O18" s="406"/>
      <c r="P18" s="406"/>
      <c r="Q18" s="406"/>
      <c r="R18" s="406"/>
      <c r="S18" s="17"/>
      <c r="T18" s="17"/>
      <c r="U18" s="35"/>
      <c r="V18" s="168"/>
      <c r="W18" s="169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28.5" customHeight="1">
      <c r="A19" s="426"/>
      <c r="B19" s="485" t="s">
        <v>125</v>
      </c>
      <c r="C19" s="403"/>
      <c r="D19" s="403"/>
      <c r="E19" s="403"/>
      <c r="F19" s="403"/>
      <c r="G19" s="403"/>
      <c r="H19" s="403"/>
      <c r="I19" s="403"/>
      <c r="J19" s="403"/>
      <c r="K19" s="403"/>
      <c r="L19" s="486" t="s">
        <v>469</v>
      </c>
      <c r="M19" s="403"/>
      <c r="N19" s="467" t="s">
        <v>126</v>
      </c>
      <c r="O19" s="403"/>
      <c r="P19" s="403"/>
      <c r="Q19" s="403"/>
      <c r="R19" s="403"/>
      <c r="S19" s="403"/>
      <c r="T19" s="403"/>
      <c r="U19" s="404"/>
      <c r="V19" s="168"/>
      <c r="W19" s="169"/>
      <c r="X19" s="9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6.5" customHeight="1">
      <c r="A20" s="396"/>
      <c r="B20" s="405"/>
      <c r="C20" s="406"/>
      <c r="D20" s="406"/>
      <c r="E20" s="406"/>
      <c r="F20" s="406"/>
      <c r="G20" s="406"/>
      <c r="H20" s="406"/>
      <c r="I20" s="406"/>
      <c r="J20" s="406"/>
      <c r="K20" s="406"/>
      <c r="L20" s="406"/>
      <c r="M20" s="406"/>
      <c r="N20" s="405"/>
      <c r="O20" s="406"/>
      <c r="P20" s="406"/>
      <c r="Q20" s="406"/>
      <c r="R20" s="406"/>
      <c r="S20" s="406"/>
      <c r="T20" s="406"/>
      <c r="U20" s="407"/>
      <c r="V20" s="91"/>
      <c r="W20" s="92"/>
      <c r="X20" s="9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5" t="s">
        <v>39</v>
      </c>
      <c r="B21" s="46"/>
      <c r="C21" s="47"/>
      <c r="D21" s="47"/>
      <c r="E21" s="47"/>
      <c r="F21" s="47"/>
      <c r="G21" s="47"/>
      <c r="H21" s="47"/>
      <c r="I21" s="47"/>
      <c r="J21" s="47"/>
      <c r="K21" s="47"/>
      <c r="L21" s="7"/>
      <c r="M21" s="7"/>
      <c r="N21" s="7"/>
      <c r="O21" s="7"/>
      <c r="P21" s="7"/>
      <c r="Q21" s="7"/>
      <c r="R21" s="7"/>
      <c r="S21" s="7"/>
      <c r="T21" s="7"/>
      <c r="U21" s="7"/>
      <c r="V21" s="47"/>
      <c r="W21" s="47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5" t="s">
        <v>40</v>
      </c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437" t="s">
        <v>41</v>
      </c>
      <c r="T25" s="438"/>
      <c r="U25" s="421"/>
      <c r="V25" s="437" t="s">
        <v>42</v>
      </c>
      <c r="W25" s="421"/>
      <c r="X25" s="437" t="s">
        <v>43</v>
      </c>
      <c r="Y25" s="421"/>
      <c r="Z25" s="395" t="s">
        <v>44</v>
      </c>
      <c r="AA25" s="395" t="s">
        <v>45</v>
      </c>
      <c r="AB25" s="395" t="s">
        <v>46</v>
      </c>
      <c r="AC25" s="395" t="s">
        <v>47</v>
      </c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</row>
    <row r="26" spans="1:42" ht="30.75" customHeight="1">
      <c r="A26" s="51" t="s">
        <v>48</v>
      </c>
      <c r="D26" s="170" t="s">
        <v>127</v>
      </c>
      <c r="E26" s="457" t="s">
        <v>51</v>
      </c>
      <c r="F26" s="398"/>
      <c r="G26" s="398"/>
      <c r="H26" s="398"/>
      <c r="I26" s="398"/>
      <c r="J26" s="100"/>
      <c r="K26" s="100"/>
      <c r="L26" s="101" t="s">
        <v>91</v>
      </c>
      <c r="M26" s="101" t="s">
        <v>92</v>
      </c>
      <c r="N26" s="171" t="s">
        <v>128</v>
      </c>
      <c r="O26" s="102" t="s">
        <v>55</v>
      </c>
      <c r="P26" s="102"/>
      <c r="R26" s="61"/>
      <c r="S26" s="55" t="s">
        <v>56</v>
      </c>
      <c r="T26" s="55" t="s">
        <v>57</v>
      </c>
      <c r="U26" s="55" t="s">
        <v>58</v>
      </c>
      <c r="V26" s="55" t="s">
        <v>59</v>
      </c>
      <c r="W26" s="55" t="s">
        <v>60</v>
      </c>
      <c r="X26" s="55" t="s">
        <v>61</v>
      </c>
      <c r="Y26" s="55" t="s">
        <v>62</v>
      </c>
      <c r="Z26" s="396"/>
      <c r="AA26" s="396"/>
      <c r="AB26" s="396"/>
      <c r="AC26" s="396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9.5" customHeight="1">
      <c r="A27" s="21" t="s">
        <v>63</v>
      </c>
      <c r="B27" s="172">
        <v>1</v>
      </c>
      <c r="C27" s="173">
        <v>958321</v>
      </c>
      <c r="D27" s="474" t="s">
        <v>129</v>
      </c>
      <c r="E27" s="398"/>
      <c r="F27" s="398"/>
      <c r="G27" s="398"/>
      <c r="H27" s="398"/>
      <c r="I27" s="398"/>
      <c r="J27" s="174">
        <v>3</v>
      </c>
      <c r="K27" s="175" t="s">
        <v>130</v>
      </c>
      <c r="L27" s="146" t="s">
        <v>131</v>
      </c>
      <c r="M27" s="176" t="s">
        <v>132</v>
      </c>
      <c r="N27" s="113">
        <v>60</v>
      </c>
      <c r="O27" s="177" t="s">
        <v>133</v>
      </c>
      <c r="P27" s="178"/>
      <c r="S27" s="116"/>
      <c r="T27" s="116"/>
      <c r="U27" s="116"/>
      <c r="V27" s="116"/>
      <c r="W27" s="116"/>
      <c r="X27" s="117"/>
      <c r="Y27" s="116"/>
      <c r="Z27" s="116"/>
      <c r="AA27" s="118"/>
      <c r="AB27" s="118"/>
      <c r="AC27" s="119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79">
        <v>2</v>
      </c>
      <c r="C28" s="180">
        <v>958325</v>
      </c>
      <c r="D28" s="475" t="s">
        <v>134</v>
      </c>
      <c r="E28" s="398"/>
      <c r="F28" s="398"/>
      <c r="G28" s="398"/>
      <c r="H28" s="398"/>
      <c r="I28" s="398"/>
      <c r="J28" s="181">
        <v>3</v>
      </c>
      <c r="K28" s="182" t="s">
        <v>130</v>
      </c>
      <c r="L28" s="126" t="s">
        <v>98</v>
      </c>
      <c r="M28" s="183" t="s">
        <v>135</v>
      </c>
      <c r="N28" s="113">
        <v>60</v>
      </c>
      <c r="O28" s="177" t="s">
        <v>133</v>
      </c>
      <c r="P28" s="178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2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49">
      <c r="A29" s="21" t="s">
        <v>63</v>
      </c>
      <c r="B29" s="184">
        <v>3</v>
      </c>
      <c r="C29" s="185">
        <v>958331</v>
      </c>
      <c r="D29" s="476" t="s">
        <v>136</v>
      </c>
      <c r="E29" s="398"/>
      <c r="F29" s="398"/>
      <c r="G29" s="398"/>
      <c r="H29" s="398"/>
      <c r="I29" s="398"/>
      <c r="J29" s="186">
        <v>3</v>
      </c>
      <c r="K29" s="187" t="s">
        <v>130</v>
      </c>
      <c r="L29" s="126" t="s">
        <v>137</v>
      </c>
      <c r="M29" s="183" t="s">
        <v>138</v>
      </c>
      <c r="N29" s="113" t="s">
        <v>139</v>
      </c>
      <c r="O29" s="177" t="s">
        <v>140</v>
      </c>
      <c r="P29" s="178"/>
      <c r="S29" s="188"/>
      <c r="T29" s="188" t="s">
        <v>141</v>
      </c>
      <c r="U29" s="188"/>
      <c r="V29" s="188"/>
      <c r="W29" s="188"/>
      <c r="X29" s="188"/>
      <c r="Y29" s="188"/>
      <c r="Z29" s="188"/>
      <c r="AA29" s="188"/>
      <c r="AB29" s="188"/>
      <c r="AC29" s="138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B30" s="477" t="s">
        <v>107</v>
      </c>
      <c r="C30" s="398"/>
      <c r="D30" s="189" t="s">
        <v>106</v>
      </c>
      <c r="E30" s="478"/>
      <c r="F30" s="398"/>
      <c r="G30" s="398"/>
      <c r="H30" s="398"/>
      <c r="I30" s="398"/>
      <c r="J30" s="190">
        <v>6</v>
      </c>
      <c r="K30" s="191"/>
      <c r="L30" s="146"/>
      <c r="M30" s="183"/>
      <c r="N30" s="113"/>
      <c r="O30" s="192"/>
      <c r="P30" s="178"/>
      <c r="R30" s="150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3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 t="s">
        <v>63</v>
      </c>
      <c r="B31" s="193" t="s">
        <v>133</v>
      </c>
      <c r="C31" s="194">
        <v>958341</v>
      </c>
      <c r="D31" s="468" t="s">
        <v>142</v>
      </c>
      <c r="E31" s="398"/>
      <c r="F31" s="398"/>
      <c r="G31" s="398"/>
      <c r="H31" s="398"/>
      <c r="I31" s="398"/>
      <c r="J31" s="195">
        <v>3</v>
      </c>
      <c r="K31" s="196" t="s">
        <v>130</v>
      </c>
      <c r="L31" s="146" t="s">
        <v>131</v>
      </c>
      <c r="M31" s="183" t="s">
        <v>143</v>
      </c>
      <c r="N31" s="113">
        <v>30</v>
      </c>
      <c r="O31" s="192" t="s">
        <v>144</v>
      </c>
      <c r="P31" s="178"/>
      <c r="R31" s="150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33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 t="s">
        <v>63</v>
      </c>
      <c r="B32" s="193">
        <v>4</v>
      </c>
      <c r="C32" s="197">
        <v>958481</v>
      </c>
      <c r="D32" s="469" t="s">
        <v>133</v>
      </c>
      <c r="E32" s="398"/>
      <c r="F32" s="398"/>
      <c r="G32" s="398"/>
      <c r="H32" s="398"/>
      <c r="I32" s="398"/>
      <c r="J32" s="198">
        <v>3</v>
      </c>
      <c r="K32" s="199" t="s">
        <v>145</v>
      </c>
      <c r="L32" s="146" t="s">
        <v>131</v>
      </c>
      <c r="M32" s="183" t="s">
        <v>143</v>
      </c>
      <c r="N32" s="113">
        <v>30</v>
      </c>
      <c r="O32" s="192" t="s">
        <v>146</v>
      </c>
      <c r="P32" s="178"/>
      <c r="R32" s="15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200">
        <v>5</v>
      </c>
      <c r="C33" s="201">
        <v>958441</v>
      </c>
      <c r="D33" s="470" t="s">
        <v>147</v>
      </c>
      <c r="E33" s="398"/>
      <c r="F33" s="398"/>
      <c r="G33" s="398"/>
      <c r="H33" s="398"/>
      <c r="I33" s="398"/>
      <c r="J33" s="202">
        <v>3</v>
      </c>
      <c r="K33" s="203" t="s">
        <v>130</v>
      </c>
      <c r="L33" s="146" t="s">
        <v>109</v>
      </c>
      <c r="M33" s="183" t="s">
        <v>148</v>
      </c>
      <c r="N33" s="113">
        <v>30</v>
      </c>
      <c r="O33" s="192"/>
      <c r="P33" s="178"/>
      <c r="R33" s="150"/>
      <c r="S33" s="204"/>
      <c r="T33" s="204" t="s">
        <v>149</v>
      </c>
      <c r="U33" s="204"/>
      <c r="V33" s="204"/>
      <c r="W33" s="204"/>
      <c r="X33" s="204"/>
      <c r="Y33" s="204"/>
      <c r="Z33" s="204"/>
      <c r="AA33" s="204"/>
      <c r="AB33" s="204"/>
      <c r="AC33" s="205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 t="s">
        <v>150</v>
      </c>
      <c r="B34" s="206">
        <v>6</v>
      </c>
      <c r="C34" s="207">
        <v>958481</v>
      </c>
      <c r="D34" s="471" t="s">
        <v>151</v>
      </c>
      <c r="E34" s="398"/>
      <c r="F34" s="398"/>
      <c r="G34" s="398"/>
      <c r="H34" s="398"/>
      <c r="I34" s="398"/>
      <c r="J34" s="208">
        <v>3</v>
      </c>
      <c r="K34" s="209" t="s">
        <v>130</v>
      </c>
      <c r="L34" s="146" t="s">
        <v>110</v>
      </c>
      <c r="M34" s="210" t="s">
        <v>152</v>
      </c>
      <c r="N34" s="113">
        <v>25</v>
      </c>
      <c r="O34" s="192"/>
      <c r="P34" s="178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21" t="s">
        <v>63</v>
      </c>
      <c r="B35" s="211">
        <v>7</v>
      </c>
      <c r="C35" s="212">
        <v>958481</v>
      </c>
      <c r="D35" s="472" t="s">
        <v>153</v>
      </c>
      <c r="E35" s="398"/>
      <c r="F35" s="398"/>
      <c r="G35" s="398"/>
      <c r="H35" s="398"/>
      <c r="I35" s="398"/>
      <c r="J35" s="213">
        <v>3</v>
      </c>
      <c r="K35" s="214" t="s">
        <v>154</v>
      </c>
      <c r="L35" s="215" t="s">
        <v>105</v>
      </c>
      <c r="M35" s="210" t="s">
        <v>155</v>
      </c>
      <c r="N35" s="113">
        <v>60</v>
      </c>
      <c r="O35" s="192"/>
      <c r="P35" s="178"/>
      <c r="S35" s="216"/>
      <c r="T35" s="216"/>
      <c r="U35" s="216"/>
      <c r="V35" s="216"/>
      <c r="W35" s="216"/>
      <c r="X35" s="216" t="s">
        <v>156</v>
      </c>
      <c r="Y35" s="216"/>
      <c r="Z35" s="216"/>
      <c r="AA35" s="216"/>
      <c r="AB35" s="216"/>
      <c r="AC35" s="21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 t="s">
        <v>63</v>
      </c>
      <c r="B36" s="218">
        <v>8</v>
      </c>
      <c r="C36" s="219">
        <v>951212</v>
      </c>
      <c r="D36" s="473" t="s">
        <v>157</v>
      </c>
      <c r="E36" s="398"/>
      <c r="F36" s="398"/>
      <c r="G36" s="398"/>
      <c r="H36" s="398"/>
      <c r="I36" s="398"/>
      <c r="J36" s="220">
        <v>3</v>
      </c>
      <c r="K36" s="221" t="s">
        <v>130</v>
      </c>
      <c r="L36" s="146" t="s">
        <v>158</v>
      </c>
      <c r="M36" s="183" t="s">
        <v>159</v>
      </c>
      <c r="N36" s="113">
        <v>25</v>
      </c>
      <c r="O36" s="222" t="s">
        <v>160</v>
      </c>
      <c r="P36" s="223"/>
      <c r="Q36" s="223"/>
      <c r="S36" s="224"/>
      <c r="T36" s="115"/>
      <c r="U36" s="115"/>
      <c r="V36" s="115"/>
      <c r="W36" s="115"/>
      <c r="X36" s="115"/>
      <c r="Y36" s="115"/>
      <c r="Z36" s="115"/>
      <c r="AA36" s="115"/>
      <c r="AB36" s="115"/>
      <c r="AC36" s="133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21"/>
      <c r="B37" s="21"/>
      <c r="C37" s="81" t="s">
        <v>76</v>
      </c>
      <c r="E37" s="83"/>
      <c r="F37" s="83"/>
      <c r="G37" s="83"/>
      <c r="H37" s="83"/>
      <c r="I37" s="83"/>
      <c r="J37" s="83">
        <f>SUM(J27:J30)</f>
        <v>15</v>
      </c>
      <c r="L37" s="155"/>
      <c r="M37" s="61"/>
      <c r="N37" s="61"/>
      <c r="O37" s="61"/>
      <c r="P37" s="61"/>
      <c r="Q37" s="61"/>
      <c r="R37" s="61"/>
      <c r="S37" s="61"/>
      <c r="T37" s="54"/>
      <c r="U37" s="54"/>
      <c r="V37" s="54"/>
      <c r="W37" s="54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5.75" customHeight="1">
      <c r="A38" s="21"/>
      <c r="B38" s="21"/>
      <c r="C38" s="466" t="s">
        <v>113</v>
      </c>
      <c r="D38" s="398"/>
      <c r="E38" s="398"/>
      <c r="F38" s="398"/>
      <c r="G38" s="398"/>
      <c r="H38" s="142"/>
      <c r="I38" s="142"/>
      <c r="J38" s="21"/>
      <c r="K38" s="21"/>
      <c r="L38" s="54"/>
      <c r="M38" s="54"/>
      <c r="N38" s="54"/>
      <c r="O38" s="54"/>
      <c r="P38" s="54"/>
      <c r="Q38" s="61"/>
      <c r="R38" s="61"/>
      <c r="S38" s="61"/>
      <c r="T38" s="54"/>
      <c r="U38" s="54"/>
      <c r="V38" s="54"/>
      <c r="W38" s="54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21"/>
      <c r="B39" s="10"/>
      <c r="C39" s="156"/>
      <c r="D39" s="156"/>
      <c r="E39" s="156"/>
      <c r="F39" s="156"/>
      <c r="G39" s="156"/>
      <c r="H39" s="156"/>
      <c r="I39" s="156"/>
      <c r="J39" s="10"/>
      <c r="K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10"/>
      <c r="B40" s="10"/>
      <c r="C40" s="156"/>
      <c r="D40" s="156"/>
      <c r="E40" s="156"/>
      <c r="F40" s="156"/>
      <c r="G40" s="156"/>
      <c r="H40" s="156"/>
      <c r="I40" s="156"/>
      <c r="J40" s="10"/>
      <c r="K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5"/>
      <c r="B41" s="5"/>
      <c r="C41" s="85"/>
      <c r="D41" s="85"/>
      <c r="E41" s="85"/>
      <c r="F41" s="85"/>
      <c r="G41" s="85"/>
      <c r="H41" s="85"/>
      <c r="I41" s="5"/>
      <c r="J41" s="10"/>
      <c r="K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10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57"/>
      <c r="B43" s="157"/>
      <c r="C43" s="157"/>
      <c r="D43" s="157"/>
      <c r="E43" s="157"/>
      <c r="F43" s="157"/>
      <c r="G43" s="157"/>
      <c r="H43" s="157"/>
      <c r="I43" s="157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157"/>
      <c r="B44" s="157"/>
      <c r="C44" s="157"/>
      <c r="D44" s="157"/>
      <c r="E44" s="157"/>
      <c r="F44" s="157"/>
      <c r="G44" s="157"/>
      <c r="H44" s="157"/>
      <c r="I44" s="157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57"/>
      <c r="B45" s="157"/>
      <c r="C45" s="157" t="s">
        <v>161</v>
      </c>
      <c r="D45" s="225" t="str">
        <f>C27 &amp; " " &amp; D27</f>
        <v>958321 Game Development 3</v>
      </c>
      <c r="E45" s="157"/>
      <c r="F45" s="157"/>
      <c r="G45" s="157"/>
      <c r="H45" s="157"/>
      <c r="I45" s="157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</row>
    <row r="237" spans="1:42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</row>
    <row r="238" spans="1:42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</row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56">
    <mergeCell ref="A17:A20"/>
    <mergeCell ref="J4:K4"/>
    <mergeCell ref="L4:M4"/>
    <mergeCell ref="A5:A6"/>
    <mergeCell ref="L5:Q6"/>
    <mergeCell ref="B7:C8"/>
    <mergeCell ref="D7:K8"/>
    <mergeCell ref="L9:Q10"/>
    <mergeCell ref="D11:I12"/>
    <mergeCell ref="B13:K14"/>
    <mergeCell ref="L13:M14"/>
    <mergeCell ref="N13:U14"/>
    <mergeCell ref="M17:R18"/>
    <mergeCell ref="B19:K20"/>
    <mergeCell ref="L19:M20"/>
    <mergeCell ref="L7:M8"/>
    <mergeCell ref="N7:U8"/>
    <mergeCell ref="A7:A10"/>
    <mergeCell ref="A11:A12"/>
    <mergeCell ref="A13:A16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D34:I34"/>
    <mergeCell ref="D35:I35"/>
    <mergeCell ref="D36:I36"/>
    <mergeCell ref="C38:G38"/>
    <mergeCell ref="S25:U25"/>
    <mergeCell ref="E26:I26"/>
    <mergeCell ref="D27:I27"/>
    <mergeCell ref="D28:I28"/>
    <mergeCell ref="D29:I29"/>
    <mergeCell ref="B30:C30"/>
    <mergeCell ref="E30:I30"/>
    <mergeCell ref="AB25:AB26"/>
    <mergeCell ref="AC25:AC26"/>
    <mergeCell ref="D31:I31"/>
    <mergeCell ref="D32:I32"/>
    <mergeCell ref="D33:I33"/>
    <mergeCell ref="N19:U20"/>
    <mergeCell ref="V25:W25"/>
    <mergeCell ref="X25:Y25"/>
    <mergeCell ref="Z25:Z26"/>
    <mergeCell ref="AA25:AA26"/>
  </mergeCells>
  <pageMargins left="0.25" right="0.25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3"/>
  <sheetViews>
    <sheetView workbookViewId="0">
      <selection sqref="A1:W1"/>
    </sheetView>
  </sheetViews>
  <sheetFormatPr baseColWidth="10" defaultColWidth="14.3984375" defaultRowHeight="15" customHeight="1"/>
  <cols>
    <col min="1" max="2" width="10.19921875" customWidth="1"/>
    <col min="3" max="3" width="12.19921875" customWidth="1"/>
    <col min="4" max="4" width="15.796875" customWidth="1"/>
    <col min="5" max="5" width="11.59765625" customWidth="1"/>
    <col min="6" max="11" width="10.19921875" customWidth="1"/>
    <col min="12" max="12" width="14.796875" customWidth="1"/>
    <col min="13" max="14" width="10.19921875" customWidth="1"/>
    <col min="15" max="15" width="12" customWidth="1"/>
    <col min="16" max="23" width="7.59765625" customWidth="1"/>
    <col min="24" max="24" width="5.796875" customWidth="1"/>
    <col min="25" max="25" width="9.59765625" customWidth="1"/>
    <col min="26" max="26" width="8.796875" customWidth="1"/>
    <col min="27" max="27" width="10" customWidth="1"/>
    <col min="28" max="28" width="9.7968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15" t="s">
        <v>162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97" t="s">
        <v>163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7" t="s">
        <v>164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406"/>
      <c r="T3" s="406"/>
      <c r="U3" s="406"/>
      <c r="V3" s="406"/>
      <c r="W3" s="406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17" t="s">
        <v>3</v>
      </c>
      <c r="C4" s="418"/>
      <c r="D4" s="417" t="s">
        <v>4</v>
      </c>
      <c r="E4" s="418"/>
      <c r="F4" s="417" t="s">
        <v>5</v>
      </c>
      <c r="G4" s="418"/>
      <c r="H4" s="417" t="s">
        <v>6</v>
      </c>
      <c r="I4" s="418"/>
      <c r="J4" s="417" t="s">
        <v>7</v>
      </c>
      <c r="K4" s="418"/>
      <c r="L4" s="417" t="s">
        <v>8</v>
      </c>
      <c r="M4" s="418"/>
      <c r="N4" s="417" t="s">
        <v>9</v>
      </c>
      <c r="O4" s="418"/>
      <c r="P4" s="417" t="s">
        <v>10</v>
      </c>
      <c r="Q4" s="421"/>
      <c r="R4" s="419" t="s">
        <v>11</v>
      </c>
      <c r="S4" s="420"/>
      <c r="T4" s="419" t="s">
        <v>12</v>
      </c>
      <c r="U4" s="404"/>
      <c r="V4" s="417" t="s">
        <v>13</v>
      </c>
      <c r="W4" s="418"/>
      <c r="X4" s="445"/>
      <c r="Y4" s="398"/>
      <c r="Z4" s="401"/>
      <c r="AA4" s="398"/>
      <c r="AB4" s="401"/>
      <c r="AC4" s="39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33" t="s">
        <v>14</v>
      </c>
      <c r="L5" s="226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8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96"/>
      <c r="B6" s="32"/>
      <c r="C6" s="32"/>
      <c r="D6" s="32"/>
      <c r="E6" s="32"/>
      <c r="F6" s="32"/>
      <c r="G6" s="32"/>
      <c r="H6" s="32"/>
      <c r="I6" s="32"/>
      <c r="J6" s="32"/>
      <c r="K6" s="32"/>
      <c r="L6" s="229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1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25" t="s">
        <v>21</v>
      </c>
      <c r="B7" s="39"/>
      <c r="C7" s="24"/>
      <c r="D7" s="24"/>
      <c r="E7" s="24"/>
      <c r="F7" s="24"/>
      <c r="G7" s="24"/>
      <c r="H7" s="24"/>
      <c r="I7" s="24"/>
      <c r="J7" s="24"/>
      <c r="K7" s="24"/>
      <c r="L7" s="39"/>
      <c r="M7" s="24"/>
      <c r="N7" s="24"/>
      <c r="O7" s="24"/>
      <c r="P7" s="24"/>
      <c r="Q7" s="24"/>
      <c r="R7" s="24"/>
      <c r="S7" s="24"/>
      <c r="T7" s="24"/>
      <c r="U7" s="24"/>
      <c r="V7" s="24"/>
      <c r="W7" s="23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396"/>
      <c r="B8" s="41"/>
      <c r="C8" s="42"/>
      <c r="D8" s="42"/>
      <c r="E8" s="42"/>
      <c r="F8" s="42"/>
      <c r="G8" s="42"/>
      <c r="H8" s="42"/>
      <c r="I8" s="42"/>
      <c r="J8" s="42"/>
      <c r="K8" s="42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161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51" t="s">
        <v>27</v>
      </c>
      <c r="B9" s="95"/>
      <c r="C9" s="14"/>
      <c r="D9" s="14"/>
      <c r="E9" s="14"/>
      <c r="F9" s="14"/>
      <c r="G9" s="14"/>
      <c r="H9" s="14"/>
      <c r="I9" s="14"/>
      <c r="J9" s="14"/>
      <c r="K9" s="15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396"/>
      <c r="B10" s="31"/>
      <c r="C10" s="18"/>
      <c r="D10" s="18"/>
      <c r="E10" s="18"/>
      <c r="F10" s="18"/>
      <c r="G10" s="18"/>
      <c r="H10" s="18"/>
      <c r="I10" s="18"/>
      <c r="J10" s="18"/>
      <c r="K10" s="19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427" t="s">
        <v>28</v>
      </c>
      <c r="B11" s="20"/>
      <c r="C11" s="20"/>
      <c r="D11" s="20"/>
      <c r="E11" s="20"/>
      <c r="F11" s="14"/>
      <c r="G11" s="14"/>
      <c r="H11" s="14"/>
      <c r="I11" s="14"/>
      <c r="J11" s="14"/>
      <c r="K11" s="15"/>
      <c r="V11" s="33"/>
      <c r="W11" s="3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7.25" customHeight="1">
      <c r="A12" s="426"/>
      <c r="B12" s="16"/>
      <c r="C12" s="16"/>
      <c r="D12" s="16"/>
      <c r="E12" s="16"/>
      <c r="F12" s="18"/>
      <c r="G12" s="18"/>
      <c r="H12" s="18"/>
      <c r="I12" s="18"/>
      <c r="J12" s="18"/>
      <c r="K12" s="19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5"/>
      <c r="W12" s="36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4" customHeight="1">
      <c r="A13" s="426"/>
      <c r="B13" s="233"/>
      <c r="C13" s="234"/>
      <c r="D13" s="234"/>
      <c r="E13" s="234"/>
      <c r="F13" s="14"/>
      <c r="G13" s="14"/>
      <c r="H13" s="14"/>
      <c r="I13" s="14"/>
      <c r="J13" s="14"/>
      <c r="K13" s="15"/>
      <c r="W13" s="169"/>
      <c r="X13" s="96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2" customHeight="1">
      <c r="A14" s="396"/>
      <c r="B14" s="235"/>
      <c r="C14" s="236"/>
      <c r="D14" s="236"/>
      <c r="E14" s="236"/>
      <c r="F14" s="236"/>
      <c r="G14" s="236"/>
      <c r="H14" s="236"/>
      <c r="I14" s="236"/>
      <c r="J14" s="236"/>
      <c r="K14" s="237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92"/>
      <c r="X14" s="96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88" t="s">
        <v>35</v>
      </c>
      <c r="B15" s="39"/>
      <c r="C15" s="24"/>
      <c r="K15" s="238"/>
      <c r="R15" s="24"/>
      <c r="S15" s="24"/>
      <c r="T15" s="13"/>
      <c r="U15" s="33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29"/>
      <c r="B16" s="41"/>
      <c r="C16" s="42"/>
      <c r="K16" s="239"/>
      <c r="L16" s="32"/>
      <c r="M16" s="32"/>
      <c r="N16" s="32"/>
      <c r="O16" s="32"/>
      <c r="P16" s="32"/>
      <c r="Q16" s="32"/>
      <c r="R16" s="42"/>
      <c r="S16" s="42"/>
      <c r="T16" s="17"/>
      <c r="U16" s="35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5" t="s">
        <v>39</v>
      </c>
      <c r="B17" s="46"/>
      <c r="C17" s="47"/>
      <c r="D17" s="47"/>
      <c r="E17" s="47"/>
      <c r="F17" s="47"/>
      <c r="G17" s="47"/>
      <c r="H17" s="47"/>
      <c r="I17" s="47"/>
      <c r="J17" s="4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7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45" t="s">
        <v>40</v>
      </c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8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 t="s">
        <v>165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437" t="s">
        <v>41</v>
      </c>
      <c r="S21" s="438"/>
      <c r="T21" s="421"/>
      <c r="U21" s="437" t="s">
        <v>42</v>
      </c>
      <c r="V21" s="421"/>
      <c r="W21" s="437" t="s">
        <v>43</v>
      </c>
      <c r="X21" s="421"/>
      <c r="Y21" s="395" t="s">
        <v>44</v>
      </c>
      <c r="Z21" s="395" t="s">
        <v>45</v>
      </c>
      <c r="AA21" s="395" t="s">
        <v>46</v>
      </c>
      <c r="AB21" s="395" t="s">
        <v>47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61"/>
      <c r="B22" s="457" t="s">
        <v>51</v>
      </c>
      <c r="C22" s="398"/>
      <c r="D22" s="398"/>
      <c r="E22" s="398"/>
      <c r="F22" s="398"/>
      <c r="G22" s="398"/>
      <c r="H22" s="398"/>
      <c r="I22" s="398"/>
      <c r="J22" s="398"/>
      <c r="K22" s="100" t="s">
        <v>52</v>
      </c>
      <c r="L22" s="101" t="s">
        <v>91</v>
      </c>
      <c r="M22" s="101" t="s">
        <v>92</v>
      </c>
      <c r="N22" s="240" t="s">
        <v>166</v>
      </c>
      <c r="O22" s="457" t="s">
        <v>55</v>
      </c>
      <c r="P22" s="398"/>
      <c r="R22" s="55" t="s">
        <v>56</v>
      </c>
      <c r="S22" s="55" t="s">
        <v>57</v>
      </c>
      <c r="T22" s="55" t="s">
        <v>58</v>
      </c>
      <c r="U22" s="55" t="s">
        <v>59</v>
      </c>
      <c r="V22" s="55" t="s">
        <v>60</v>
      </c>
      <c r="W22" s="55" t="s">
        <v>61</v>
      </c>
      <c r="X22" s="55" t="s">
        <v>62</v>
      </c>
      <c r="Y22" s="396"/>
      <c r="Z22" s="396"/>
      <c r="AA22" s="396"/>
      <c r="AB22" s="396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241"/>
      <c r="B23" s="172">
        <v>1</v>
      </c>
      <c r="C23" s="173">
        <v>958491</v>
      </c>
      <c r="D23" s="474" t="s">
        <v>167</v>
      </c>
      <c r="E23" s="398"/>
      <c r="F23" s="398"/>
      <c r="G23" s="398"/>
      <c r="H23" s="398"/>
      <c r="I23" s="398"/>
      <c r="J23" s="398"/>
      <c r="K23" s="174">
        <v>9</v>
      </c>
      <c r="L23" s="146" t="s">
        <v>168</v>
      </c>
      <c r="M23" s="146" t="s">
        <v>133</v>
      </c>
      <c r="N23" s="242">
        <v>10</v>
      </c>
      <c r="O23" s="150"/>
      <c r="P23" s="145"/>
      <c r="R23" s="116"/>
      <c r="S23" s="116"/>
      <c r="T23" s="116"/>
      <c r="U23" s="116"/>
      <c r="V23" s="116"/>
      <c r="W23" s="117"/>
      <c r="X23" s="116"/>
      <c r="Y23" s="116"/>
      <c r="Z23" s="118"/>
      <c r="AA23" s="118"/>
      <c r="AB23" s="119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243"/>
      <c r="B24" s="172">
        <v>2</v>
      </c>
      <c r="C24" s="173">
        <v>958491</v>
      </c>
      <c r="D24" s="475"/>
      <c r="E24" s="398"/>
      <c r="F24" s="398"/>
      <c r="G24" s="398"/>
      <c r="H24" s="398"/>
      <c r="I24" s="398"/>
      <c r="J24" s="398"/>
      <c r="K24" s="181"/>
      <c r="L24" s="126" t="s">
        <v>169</v>
      </c>
      <c r="M24" s="146"/>
      <c r="N24" s="242">
        <v>10</v>
      </c>
      <c r="O24" s="150"/>
      <c r="P24" s="145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23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21"/>
      <c r="B25" s="172">
        <v>3</v>
      </c>
      <c r="C25" s="173">
        <v>958491</v>
      </c>
      <c r="D25" s="476"/>
      <c r="E25" s="398"/>
      <c r="F25" s="398"/>
      <c r="G25" s="398"/>
      <c r="H25" s="398"/>
      <c r="I25" s="398"/>
      <c r="J25" s="398"/>
      <c r="K25" s="186"/>
      <c r="L25" s="126" t="s">
        <v>170</v>
      </c>
      <c r="M25" s="146"/>
      <c r="N25" s="242">
        <v>10</v>
      </c>
      <c r="O25" s="150"/>
      <c r="P25" s="145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/>
      <c r="B26" s="172">
        <v>4</v>
      </c>
      <c r="C26" s="173">
        <v>958491</v>
      </c>
      <c r="D26" s="469"/>
      <c r="E26" s="398"/>
      <c r="F26" s="398"/>
      <c r="G26" s="398"/>
      <c r="H26" s="398"/>
      <c r="I26" s="398"/>
      <c r="J26" s="398"/>
      <c r="K26" s="198"/>
      <c r="L26" s="146" t="s">
        <v>171</v>
      </c>
      <c r="M26" s="146"/>
      <c r="N26" s="242">
        <v>10</v>
      </c>
      <c r="O26" s="244"/>
      <c r="P26" s="145"/>
      <c r="R26" s="15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/>
      <c r="B27" s="172">
        <v>5</v>
      </c>
      <c r="C27" s="173">
        <v>958491</v>
      </c>
      <c r="D27" s="470"/>
      <c r="E27" s="398"/>
      <c r="F27" s="398"/>
      <c r="G27" s="398"/>
      <c r="H27" s="398"/>
      <c r="I27" s="398"/>
      <c r="J27" s="398"/>
      <c r="K27" s="202"/>
      <c r="L27" s="146" t="s">
        <v>172</v>
      </c>
      <c r="M27" s="146"/>
      <c r="N27" s="242">
        <v>10</v>
      </c>
      <c r="O27" s="244"/>
      <c r="P27" s="145"/>
      <c r="R27" s="15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/>
      <c r="B28" s="172">
        <v>7</v>
      </c>
      <c r="C28" s="173">
        <v>958491</v>
      </c>
      <c r="D28" s="489"/>
      <c r="E28" s="398"/>
      <c r="F28" s="398"/>
      <c r="G28" s="398"/>
      <c r="H28" s="398"/>
      <c r="I28" s="398"/>
      <c r="J28" s="398"/>
      <c r="K28" s="245"/>
      <c r="L28" s="146" t="s">
        <v>173</v>
      </c>
      <c r="M28" s="146"/>
      <c r="N28" s="242">
        <v>10</v>
      </c>
      <c r="O28" s="244"/>
      <c r="S28" s="24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21"/>
      <c r="B29" s="172">
        <v>8</v>
      </c>
      <c r="C29" s="173">
        <v>958491</v>
      </c>
      <c r="D29" s="247"/>
      <c r="E29" s="247"/>
      <c r="F29" s="247"/>
      <c r="G29" s="247"/>
      <c r="H29" s="247"/>
      <c r="I29" s="247"/>
      <c r="J29" s="247"/>
      <c r="K29" s="247"/>
      <c r="L29" s="155" t="s">
        <v>174</v>
      </c>
      <c r="M29" s="61"/>
      <c r="N29" s="242">
        <v>10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1"/>
      <c r="B30" s="172">
        <v>9</v>
      </c>
      <c r="C30" s="173">
        <v>958491</v>
      </c>
      <c r="D30" s="248"/>
      <c r="E30" s="248"/>
      <c r="F30" s="248"/>
      <c r="G30" s="248"/>
      <c r="H30" s="248"/>
      <c r="I30" s="248"/>
      <c r="J30" s="248"/>
      <c r="K30" s="248"/>
      <c r="L30" s="249" t="s">
        <v>102</v>
      </c>
      <c r="M30" s="54"/>
      <c r="N30" s="242">
        <v>10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/>
      <c r="B31" s="21"/>
      <c r="C31" s="37"/>
      <c r="D31" s="490"/>
      <c r="E31" s="398"/>
      <c r="F31" s="398"/>
      <c r="G31" s="398"/>
      <c r="H31" s="398"/>
      <c r="I31" s="398"/>
      <c r="J31" s="398"/>
      <c r="K31" s="37"/>
      <c r="L31" s="155"/>
      <c r="M31" s="61"/>
      <c r="N31" s="61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/>
      <c r="B32" s="21"/>
      <c r="C32" s="81" t="s">
        <v>76</v>
      </c>
      <c r="D32" s="465"/>
      <c r="E32" s="398"/>
      <c r="F32" s="398"/>
      <c r="G32" s="398"/>
      <c r="H32" s="398"/>
      <c r="I32" s="398"/>
      <c r="J32" s="398"/>
      <c r="K32" s="83">
        <f>SUM(K23:K31)</f>
        <v>9</v>
      </c>
      <c r="L32" s="155"/>
      <c r="M32" s="61"/>
      <c r="N32" s="61"/>
      <c r="O32" s="61"/>
      <c r="P32" s="61"/>
      <c r="Q32" s="61"/>
      <c r="R32" s="61"/>
      <c r="S32" s="61"/>
      <c r="T32" s="54"/>
      <c r="U32" s="54"/>
      <c r="V32" s="54"/>
      <c r="W32" s="54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21"/>
      <c r="B33" s="21"/>
      <c r="C33" s="466" t="s">
        <v>113</v>
      </c>
      <c r="D33" s="398"/>
      <c r="E33" s="398"/>
      <c r="F33" s="398"/>
      <c r="G33" s="398"/>
      <c r="H33" s="142"/>
      <c r="I33" s="142"/>
      <c r="J33" s="21"/>
      <c r="K33" s="21"/>
      <c r="L33" s="54"/>
      <c r="M33" s="54"/>
      <c r="N33" s="54"/>
      <c r="O33" s="54"/>
      <c r="P33" s="54"/>
      <c r="Q33" s="61"/>
      <c r="R33" s="61"/>
      <c r="S33" s="61"/>
      <c r="T33" s="54"/>
      <c r="U33" s="54"/>
      <c r="V33" s="54"/>
      <c r="W33" s="54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20"/>
      <c r="D34" s="20"/>
      <c r="E34" s="20"/>
      <c r="F34" s="20"/>
      <c r="G34" s="20"/>
      <c r="H34" s="20"/>
      <c r="I34" s="142"/>
      <c r="J34" s="21"/>
      <c r="K34" s="21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85"/>
      <c r="D36" s="85"/>
      <c r="E36" s="85"/>
      <c r="F36" s="85"/>
      <c r="G36" s="85"/>
      <c r="H36" s="85"/>
      <c r="I36" s="5"/>
      <c r="J36" s="10"/>
      <c r="K36" s="10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0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0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A11:A14"/>
    <mergeCell ref="A15:A16"/>
    <mergeCell ref="C33:G33"/>
    <mergeCell ref="AA21:AA22"/>
    <mergeCell ref="AB21:AB22"/>
    <mergeCell ref="B22:J22"/>
    <mergeCell ref="O22:P22"/>
    <mergeCell ref="D23:J23"/>
    <mergeCell ref="D24:J24"/>
    <mergeCell ref="D25:J25"/>
    <mergeCell ref="D26:J26"/>
    <mergeCell ref="D27:J27"/>
    <mergeCell ref="D28:J28"/>
    <mergeCell ref="D31:J31"/>
    <mergeCell ref="D32:J32"/>
    <mergeCell ref="R21:T21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X4:Y4"/>
    <mergeCell ref="J4:K4"/>
    <mergeCell ref="L4:M4"/>
    <mergeCell ref="Y21:Y22"/>
    <mergeCell ref="Z21:Z22"/>
    <mergeCell ref="Z4:AA4"/>
    <mergeCell ref="U21:V21"/>
    <mergeCell ref="W21:X21"/>
    <mergeCell ref="A5:A6"/>
    <mergeCell ref="A7:A8"/>
    <mergeCell ref="A9:A10"/>
    <mergeCell ref="R4:S4"/>
    <mergeCell ref="T4:U4"/>
  </mergeCells>
  <pageMargins left="0.25" right="0.25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Q1009"/>
  <sheetViews>
    <sheetView workbookViewId="0">
      <selection sqref="A1:G1"/>
    </sheetView>
  </sheetViews>
  <sheetFormatPr baseColWidth="10" defaultColWidth="14.3984375" defaultRowHeight="15" customHeight="1"/>
  <cols>
    <col min="1" max="1" width="26.796875" customWidth="1"/>
    <col min="2" max="2" width="22.796875" customWidth="1"/>
    <col min="3" max="3" width="85.796875" customWidth="1"/>
    <col min="4" max="5" width="19.59765625" customWidth="1"/>
    <col min="6" max="7" width="21.19921875" customWidth="1"/>
  </cols>
  <sheetData>
    <row r="1" spans="1:17" ht="33.75" customHeight="1">
      <c r="A1" s="491" t="s">
        <v>175</v>
      </c>
      <c r="B1" s="398"/>
      <c r="C1" s="398"/>
      <c r="D1" s="398"/>
      <c r="E1" s="398"/>
      <c r="F1" s="398"/>
      <c r="G1" s="398"/>
      <c r="H1" s="250"/>
      <c r="I1" s="250"/>
      <c r="J1" s="250"/>
      <c r="K1" s="250"/>
      <c r="L1" s="250"/>
      <c r="M1" s="250"/>
      <c r="N1" s="250"/>
      <c r="O1" s="250"/>
      <c r="P1" s="250"/>
      <c r="Q1" s="250"/>
    </row>
    <row r="2" spans="1:17" ht="24">
      <c r="A2" s="250"/>
      <c r="B2" s="250"/>
      <c r="C2" s="250"/>
      <c r="D2" s="251"/>
      <c r="E2" s="251"/>
      <c r="F2" s="251"/>
      <c r="G2" s="251"/>
      <c r="H2" s="250"/>
      <c r="I2" s="250"/>
      <c r="J2" s="250"/>
      <c r="K2" s="250"/>
      <c r="L2" s="250"/>
      <c r="M2" s="250"/>
      <c r="N2" s="250"/>
      <c r="O2" s="250"/>
      <c r="P2" s="250"/>
      <c r="Q2" s="250"/>
    </row>
    <row r="3" spans="1:17" ht="24.75" customHeight="1">
      <c r="A3" s="252" t="s">
        <v>176</v>
      </c>
      <c r="B3" s="252" t="s">
        <v>177</v>
      </c>
      <c r="C3" s="252" t="s">
        <v>178</v>
      </c>
      <c r="D3" s="252" t="s">
        <v>179</v>
      </c>
      <c r="E3" s="252" t="s">
        <v>180</v>
      </c>
      <c r="F3" s="252" t="s">
        <v>181</v>
      </c>
      <c r="G3" s="252" t="s">
        <v>182</v>
      </c>
      <c r="H3" s="250"/>
      <c r="I3" s="250"/>
      <c r="J3" s="253" t="s">
        <v>183</v>
      </c>
      <c r="K3" s="254" t="s">
        <v>109</v>
      </c>
      <c r="L3" s="254" t="s">
        <v>66</v>
      </c>
      <c r="M3" s="254" t="s">
        <v>69</v>
      </c>
      <c r="N3" s="254" t="s">
        <v>184</v>
      </c>
      <c r="O3" s="254" t="s">
        <v>185</v>
      </c>
      <c r="P3" s="254" t="s">
        <v>110</v>
      </c>
      <c r="Q3" s="254" t="s">
        <v>186</v>
      </c>
    </row>
    <row r="4" spans="1:17" ht="26.25" customHeight="1">
      <c r="A4" s="492" t="s">
        <v>183</v>
      </c>
      <c r="B4" s="493">
        <v>2</v>
      </c>
      <c r="C4" s="255" t="s">
        <v>187</v>
      </c>
      <c r="D4" s="256" t="s">
        <v>188</v>
      </c>
      <c r="E4" s="256">
        <v>2</v>
      </c>
      <c r="F4" s="256">
        <v>56</v>
      </c>
      <c r="G4" s="256" t="s">
        <v>189</v>
      </c>
      <c r="H4" s="250"/>
      <c r="I4" s="257" t="s">
        <v>190</v>
      </c>
      <c r="J4" s="257">
        <f>B4</f>
        <v>2</v>
      </c>
      <c r="K4" s="257">
        <f>B6</f>
        <v>2</v>
      </c>
      <c r="L4" s="258">
        <f>B8</f>
        <v>2</v>
      </c>
      <c r="M4" s="257">
        <f>B11</f>
        <v>1</v>
      </c>
      <c r="N4" s="257">
        <f>B13</f>
        <v>2</v>
      </c>
      <c r="O4" s="257">
        <f>B15</f>
        <v>2</v>
      </c>
      <c r="P4" s="257">
        <f>B18</f>
        <v>2</v>
      </c>
      <c r="Q4" s="257">
        <f>B20</f>
        <v>2</v>
      </c>
    </row>
    <row r="5" spans="1:17" ht="25.5" customHeight="1">
      <c r="A5" s="396"/>
      <c r="B5" s="396"/>
      <c r="C5" s="255" t="s">
        <v>191</v>
      </c>
      <c r="D5" s="256" t="s">
        <v>192</v>
      </c>
      <c r="E5" s="256">
        <v>3</v>
      </c>
      <c r="F5" s="256">
        <v>55</v>
      </c>
      <c r="G5" s="256" t="s">
        <v>193</v>
      </c>
      <c r="H5" s="250"/>
      <c r="I5" s="257" t="s">
        <v>194</v>
      </c>
      <c r="J5" s="257">
        <v>1</v>
      </c>
      <c r="K5" s="257">
        <v>1</v>
      </c>
      <c r="L5" s="257">
        <v>1</v>
      </c>
      <c r="M5" s="257">
        <v>1</v>
      </c>
      <c r="N5" s="257">
        <v>1</v>
      </c>
      <c r="O5" s="257">
        <v>1</v>
      </c>
      <c r="P5" s="257">
        <v>1</v>
      </c>
      <c r="Q5" s="257">
        <v>1</v>
      </c>
    </row>
    <row r="6" spans="1:17" ht="26.25" customHeight="1">
      <c r="A6" s="494" t="s">
        <v>109</v>
      </c>
      <c r="B6" s="495">
        <v>2</v>
      </c>
      <c r="C6" s="259" t="s">
        <v>195</v>
      </c>
      <c r="D6" s="260" t="s">
        <v>196</v>
      </c>
      <c r="E6" s="260">
        <v>1</v>
      </c>
      <c r="F6" s="260">
        <v>30</v>
      </c>
      <c r="G6" s="260" t="s">
        <v>189</v>
      </c>
      <c r="H6" s="250"/>
      <c r="I6" s="257" t="s">
        <v>76</v>
      </c>
      <c r="J6" s="257">
        <f t="shared" ref="J6:Q6" si="0">J4+J5</f>
        <v>3</v>
      </c>
      <c r="K6" s="257">
        <f t="shared" si="0"/>
        <v>3</v>
      </c>
      <c r="L6" s="257">
        <f t="shared" si="0"/>
        <v>3</v>
      </c>
      <c r="M6" s="257">
        <f t="shared" si="0"/>
        <v>2</v>
      </c>
      <c r="N6" s="257">
        <f t="shared" si="0"/>
        <v>3</v>
      </c>
      <c r="O6" s="257">
        <f t="shared" si="0"/>
        <v>3</v>
      </c>
      <c r="P6" s="257">
        <f t="shared" si="0"/>
        <v>3</v>
      </c>
      <c r="Q6" s="257">
        <f t="shared" si="0"/>
        <v>3</v>
      </c>
    </row>
    <row r="7" spans="1:17" ht="29.25" customHeight="1">
      <c r="A7" s="396"/>
      <c r="B7" s="396"/>
      <c r="C7" s="259" t="s">
        <v>197</v>
      </c>
      <c r="D7" s="260" t="s">
        <v>198</v>
      </c>
      <c r="E7" s="260">
        <v>3</v>
      </c>
      <c r="F7" s="260">
        <v>20</v>
      </c>
      <c r="G7" s="260" t="s">
        <v>199</v>
      </c>
      <c r="H7" s="250"/>
      <c r="I7" s="250"/>
      <c r="J7" s="250"/>
      <c r="K7" s="250"/>
      <c r="L7" s="250"/>
      <c r="M7" s="250"/>
      <c r="N7" s="250"/>
      <c r="O7" s="250"/>
      <c r="P7" s="250"/>
      <c r="Q7" s="250"/>
    </row>
    <row r="8" spans="1:17" ht="27.75" customHeight="1">
      <c r="A8" s="492" t="s">
        <v>66</v>
      </c>
      <c r="B8" s="493">
        <v>2</v>
      </c>
      <c r="C8" s="255" t="s">
        <v>200</v>
      </c>
      <c r="D8" s="261" t="s">
        <v>196</v>
      </c>
      <c r="E8" s="261">
        <v>1</v>
      </c>
      <c r="F8" s="261">
        <v>30</v>
      </c>
      <c r="G8" s="261" t="s">
        <v>189</v>
      </c>
      <c r="H8" s="250"/>
      <c r="I8" s="250"/>
      <c r="J8" s="250"/>
      <c r="K8" s="250"/>
      <c r="L8" s="250"/>
      <c r="M8" s="250"/>
      <c r="N8" s="250"/>
      <c r="O8" s="250"/>
      <c r="P8" s="250"/>
      <c r="Q8" s="250"/>
    </row>
    <row r="9" spans="1:17" ht="29.25" customHeight="1">
      <c r="A9" s="426"/>
      <c r="B9" s="426"/>
      <c r="C9" s="255" t="s">
        <v>201</v>
      </c>
      <c r="D9" s="256" t="s">
        <v>202</v>
      </c>
      <c r="E9" s="256">
        <v>1</v>
      </c>
      <c r="F9" s="256">
        <v>17</v>
      </c>
      <c r="G9" s="261" t="s">
        <v>189</v>
      </c>
      <c r="H9" s="250"/>
      <c r="I9" s="250"/>
      <c r="J9" s="250"/>
      <c r="K9" s="250"/>
      <c r="L9" s="250"/>
      <c r="M9" s="250"/>
      <c r="N9" s="250"/>
      <c r="O9" s="250"/>
      <c r="P9" s="250"/>
      <c r="Q9" s="250"/>
    </row>
    <row r="10" spans="1:17" ht="32.25" customHeight="1">
      <c r="A10" s="396"/>
      <c r="B10" s="396"/>
      <c r="C10" s="255" t="s">
        <v>203</v>
      </c>
      <c r="D10" s="256" t="s">
        <v>204</v>
      </c>
      <c r="E10" s="256">
        <v>2</v>
      </c>
      <c r="F10" s="256">
        <v>55</v>
      </c>
      <c r="G10" s="256" t="s">
        <v>193</v>
      </c>
      <c r="H10" s="250"/>
      <c r="I10" s="250"/>
      <c r="J10" s="250"/>
      <c r="K10" s="250"/>
      <c r="L10" s="250"/>
      <c r="M10" s="250"/>
      <c r="N10" s="250"/>
      <c r="O10" s="250"/>
      <c r="P10" s="250"/>
      <c r="Q10" s="250"/>
    </row>
    <row r="11" spans="1:17" ht="26.25" customHeight="1">
      <c r="A11" s="494" t="s">
        <v>69</v>
      </c>
      <c r="B11" s="495">
        <v>1</v>
      </c>
      <c r="C11" s="259" t="s">
        <v>205</v>
      </c>
      <c r="D11" s="260" t="s">
        <v>206</v>
      </c>
      <c r="E11" s="260">
        <v>2</v>
      </c>
      <c r="F11" s="260">
        <v>40</v>
      </c>
      <c r="G11" s="260" t="s">
        <v>189</v>
      </c>
      <c r="H11" s="250"/>
      <c r="I11" s="250"/>
      <c r="J11" s="250"/>
      <c r="K11" s="250"/>
      <c r="L11" s="250"/>
      <c r="M11" s="250"/>
      <c r="N11" s="250"/>
      <c r="O11" s="250"/>
      <c r="P11" s="250"/>
      <c r="Q11" s="250"/>
    </row>
    <row r="12" spans="1:17" ht="27.75" customHeight="1">
      <c r="A12" s="396"/>
      <c r="B12" s="396"/>
      <c r="C12" s="259" t="s">
        <v>207</v>
      </c>
      <c r="D12" s="260" t="s">
        <v>208</v>
      </c>
      <c r="E12" s="260">
        <v>2</v>
      </c>
      <c r="F12" s="260">
        <v>25</v>
      </c>
      <c r="G12" s="260" t="s">
        <v>189</v>
      </c>
      <c r="H12" s="250"/>
      <c r="I12" s="250"/>
      <c r="J12" s="250"/>
      <c r="K12" s="250"/>
      <c r="L12" s="250"/>
      <c r="M12" s="250"/>
      <c r="N12" s="250"/>
      <c r="O12" s="250"/>
      <c r="P12" s="250"/>
      <c r="Q12" s="250"/>
    </row>
    <row r="13" spans="1:17" ht="29.25" customHeight="1">
      <c r="A13" s="492" t="s">
        <v>184</v>
      </c>
      <c r="B13" s="493">
        <v>2</v>
      </c>
      <c r="C13" s="255" t="s">
        <v>209</v>
      </c>
      <c r="D13" s="256" t="s">
        <v>192</v>
      </c>
      <c r="E13" s="256">
        <v>2</v>
      </c>
      <c r="F13" s="256">
        <v>56</v>
      </c>
      <c r="G13" s="256" t="s">
        <v>193</v>
      </c>
      <c r="H13" s="250"/>
      <c r="I13" s="250"/>
      <c r="J13" s="250"/>
      <c r="K13" s="250"/>
      <c r="L13" s="250"/>
      <c r="M13" s="250"/>
      <c r="N13" s="250"/>
      <c r="O13" s="250"/>
      <c r="P13" s="250"/>
      <c r="Q13" s="250"/>
    </row>
    <row r="14" spans="1:17" ht="28.5" customHeight="1">
      <c r="A14" s="396"/>
      <c r="B14" s="396"/>
      <c r="C14" s="255" t="s">
        <v>210</v>
      </c>
      <c r="D14" s="256" t="s">
        <v>211</v>
      </c>
      <c r="E14" s="256" t="s">
        <v>212</v>
      </c>
      <c r="F14" s="256">
        <v>60</v>
      </c>
      <c r="G14" s="256" t="s">
        <v>213</v>
      </c>
      <c r="H14" s="250"/>
      <c r="I14" s="250"/>
      <c r="J14" s="250"/>
      <c r="K14" s="250"/>
      <c r="L14" s="250"/>
      <c r="M14" s="250"/>
      <c r="N14" s="250"/>
      <c r="O14" s="250"/>
      <c r="P14" s="250"/>
      <c r="Q14" s="250"/>
    </row>
    <row r="15" spans="1:17" ht="27.75" customHeight="1">
      <c r="A15" s="494" t="s">
        <v>185</v>
      </c>
      <c r="B15" s="495">
        <v>2</v>
      </c>
      <c r="C15" s="259" t="s">
        <v>214</v>
      </c>
      <c r="D15" s="260" t="s">
        <v>196</v>
      </c>
      <c r="E15" s="260">
        <v>3</v>
      </c>
      <c r="F15" s="260">
        <v>30</v>
      </c>
      <c r="G15" s="260" t="s">
        <v>193</v>
      </c>
      <c r="H15" s="250"/>
      <c r="I15" s="250"/>
      <c r="J15" s="250"/>
      <c r="K15" s="250"/>
      <c r="L15" s="250"/>
      <c r="M15" s="250"/>
      <c r="N15" s="250"/>
      <c r="O15" s="250"/>
      <c r="P15" s="250"/>
      <c r="Q15" s="250"/>
    </row>
    <row r="16" spans="1:17" ht="30.75" customHeight="1">
      <c r="A16" s="426"/>
      <c r="B16" s="426"/>
      <c r="C16" s="259" t="s">
        <v>215</v>
      </c>
      <c r="D16" s="260" t="s">
        <v>192</v>
      </c>
      <c r="E16" s="260">
        <v>3</v>
      </c>
      <c r="F16" s="260">
        <v>30</v>
      </c>
      <c r="G16" s="260" t="s">
        <v>193</v>
      </c>
      <c r="H16" s="250"/>
      <c r="I16" s="250"/>
      <c r="J16" s="250"/>
      <c r="K16" s="250"/>
      <c r="L16" s="250"/>
      <c r="M16" s="250"/>
      <c r="N16" s="250"/>
      <c r="O16" s="250"/>
      <c r="P16" s="250"/>
      <c r="Q16" s="250"/>
    </row>
    <row r="17" spans="1:17" ht="30.75" customHeight="1">
      <c r="A17" s="396"/>
      <c r="B17" s="396"/>
      <c r="C17" s="259" t="s">
        <v>216</v>
      </c>
      <c r="D17" s="260" t="s">
        <v>217</v>
      </c>
      <c r="E17" s="260">
        <v>3</v>
      </c>
      <c r="F17" s="260">
        <v>56</v>
      </c>
      <c r="G17" s="260" t="s">
        <v>193</v>
      </c>
      <c r="H17" s="250"/>
      <c r="I17" s="250"/>
      <c r="J17" s="250"/>
      <c r="K17" s="250"/>
      <c r="L17" s="250"/>
      <c r="M17" s="250"/>
      <c r="N17" s="250"/>
      <c r="O17" s="250"/>
      <c r="P17" s="250"/>
      <c r="Q17" s="250"/>
    </row>
    <row r="18" spans="1:17" ht="28.5" customHeight="1">
      <c r="A18" s="492" t="s">
        <v>110</v>
      </c>
      <c r="B18" s="493">
        <v>2</v>
      </c>
      <c r="C18" s="255" t="s">
        <v>218</v>
      </c>
      <c r="D18" s="256" t="s">
        <v>219</v>
      </c>
      <c r="E18" s="256">
        <v>3</v>
      </c>
      <c r="F18" s="256">
        <v>30</v>
      </c>
      <c r="G18" s="256" t="s">
        <v>199</v>
      </c>
      <c r="H18" s="250"/>
      <c r="I18" s="250"/>
      <c r="J18" s="250"/>
      <c r="K18" s="250"/>
      <c r="L18" s="250"/>
      <c r="M18" s="250"/>
      <c r="N18" s="250"/>
      <c r="O18" s="250"/>
      <c r="P18" s="250"/>
      <c r="Q18" s="250"/>
    </row>
    <row r="19" spans="1:17" ht="27.75" customHeight="1">
      <c r="A19" s="396"/>
      <c r="B19" s="396"/>
      <c r="C19" s="255" t="s">
        <v>220</v>
      </c>
      <c r="D19" s="256" t="s">
        <v>198</v>
      </c>
      <c r="E19" s="256">
        <v>3</v>
      </c>
      <c r="F19" s="256">
        <v>30</v>
      </c>
      <c r="G19" s="256" t="s">
        <v>199</v>
      </c>
      <c r="H19" s="250"/>
      <c r="I19" s="250"/>
      <c r="J19" s="250"/>
      <c r="K19" s="250"/>
      <c r="L19" s="250"/>
      <c r="M19" s="250"/>
      <c r="N19" s="250"/>
      <c r="O19" s="250"/>
      <c r="P19" s="250"/>
      <c r="Q19" s="250"/>
    </row>
    <row r="20" spans="1:17" ht="26.25" customHeight="1">
      <c r="A20" s="494" t="s">
        <v>186</v>
      </c>
      <c r="B20" s="495">
        <v>2</v>
      </c>
      <c r="C20" s="259" t="s">
        <v>221</v>
      </c>
      <c r="D20" s="260" t="s">
        <v>211</v>
      </c>
      <c r="E20" s="260">
        <v>1</v>
      </c>
      <c r="F20" s="260">
        <v>30</v>
      </c>
      <c r="G20" s="260" t="s">
        <v>189</v>
      </c>
      <c r="H20" s="250"/>
      <c r="I20" s="250"/>
      <c r="J20" s="250"/>
      <c r="K20" s="250"/>
      <c r="L20" s="250"/>
      <c r="M20" s="250"/>
      <c r="N20" s="250"/>
      <c r="O20" s="250"/>
      <c r="P20" s="250"/>
      <c r="Q20" s="250"/>
    </row>
    <row r="21" spans="1:17" ht="27.75" customHeight="1">
      <c r="A21" s="426"/>
      <c r="B21" s="426"/>
      <c r="C21" s="259" t="s">
        <v>222</v>
      </c>
      <c r="D21" s="260" t="s">
        <v>192</v>
      </c>
      <c r="E21" s="260">
        <v>1</v>
      </c>
      <c r="F21" s="260">
        <v>30</v>
      </c>
      <c r="G21" s="260" t="s">
        <v>189</v>
      </c>
      <c r="H21" s="250"/>
      <c r="I21" s="250"/>
      <c r="J21" s="250"/>
      <c r="K21" s="250"/>
      <c r="L21" s="250"/>
      <c r="M21" s="250"/>
      <c r="N21" s="250"/>
      <c r="O21" s="250"/>
      <c r="P21" s="250"/>
      <c r="Q21" s="250"/>
    </row>
    <row r="22" spans="1:17" ht="27.75" customHeight="1">
      <c r="A22" s="396"/>
      <c r="B22" s="396"/>
      <c r="C22" s="259" t="s">
        <v>223</v>
      </c>
      <c r="D22" s="260" t="s">
        <v>196</v>
      </c>
      <c r="E22" s="260">
        <v>2</v>
      </c>
      <c r="F22" s="260">
        <v>56</v>
      </c>
      <c r="G22" s="260" t="s">
        <v>193</v>
      </c>
      <c r="H22" s="250"/>
      <c r="I22" s="250"/>
      <c r="J22" s="250"/>
      <c r="K22" s="250"/>
      <c r="L22" s="250"/>
      <c r="M22" s="250"/>
      <c r="N22" s="250"/>
      <c r="O22" s="250"/>
      <c r="P22" s="250"/>
      <c r="Q22" s="250"/>
    </row>
    <row r="23" spans="1:17" ht="24">
      <c r="A23" s="250"/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</row>
    <row r="24" spans="1:17" ht="24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</row>
    <row r="25" spans="1:17" ht="24">
      <c r="A25" s="250"/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</row>
    <row r="26" spans="1:17" ht="24">
      <c r="A26" s="250"/>
      <c r="B26" s="250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</row>
    <row r="27" spans="1:17" ht="24">
      <c r="A27" s="250"/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</row>
    <row r="28" spans="1:17" ht="24">
      <c r="A28" s="250"/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</row>
    <row r="29" spans="1:17" ht="24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</row>
    <row r="30" spans="1:17" ht="24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</row>
    <row r="31" spans="1:17" ht="24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</row>
    <row r="32" spans="1:17" ht="24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</row>
    <row r="33" spans="1:17" ht="24">
      <c r="A33" s="250"/>
      <c r="B33" s="250"/>
      <c r="C33" s="250"/>
      <c r="D33" s="250"/>
      <c r="E33" s="250"/>
      <c r="F33" s="250"/>
      <c r="G33" s="250"/>
      <c r="H33" s="250"/>
      <c r="I33" s="250"/>
      <c r="J33" s="250"/>
      <c r="K33" s="250"/>
      <c r="L33" s="250"/>
      <c r="M33" s="250"/>
      <c r="N33" s="250"/>
      <c r="O33" s="250"/>
      <c r="P33" s="250"/>
      <c r="Q33" s="250"/>
    </row>
    <row r="34" spans="1:17" ht="24">
      <c r="A34" s="250"/>
      <c r="B34" s="250"/>
      <c r="C34" s="250"/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50"/>
    </row>
    <row r="35" spans="1:17" ht="24">
      <c r="A35" s="250"/>
      <c r="B35" s="250"/>
      <c r="C35" s="250"/>
      <c r="D35" s="250"/>
      <c r="E35" s="250"/>
      <c r="F35" s="250"/>
      <c r="G35" s="250"/>
      <c r="H35" s="250"/>
      <c r="I35" s="250"/>
      <c r="J35" s="250"/>
      <c r="K35" s="250"/>
      <c r="L35" s="250"/>
      <c r="M35" s="250"/>
      <c r="N35" s="250"/>
      <c r="O35" s="250"/>
      <c r="P35" s="250"/>
      <c r="Q35" s="250"/>
    </row>
    <row r="36" spans="1:17" ht="24">
      <c r="A36" s="250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</row>
    <row r="37" spans="1:17" ht="24">
      <c r="A37" s="250"/>
      <c r="B37" s="250"/>
      <c r="C37" s="250"/>
      <c r="D37" s="250"/>
      <c r="E37" s="250"/>
      <c r="F37" s="250"/>
      <c r="G37" s="250"/>
      <c r="H37" s="250"/>
      <c r="I37" s="250"/>
      <c r="J37" s="250"/>
      <c r="K37" s="250"/>
      <c r="L37" s="250"/>
      <c r="M37" s="250"/>
      <c r="N37" s="250"/>
      <c r="O37" s="250"/>
      <c r="P37" s="250"/>
      <c r="Q37" s="250"/>
    </row>
    <row r="38" spans="1:17" ht="24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0"/>
      <c r="N38" s="250"/>
      <c r="O38" s="250"/>
      <c r="P38" s="250"/>
      <c r="Q38" s="250"/>
    </row>
    <row r="39" spans="1:17" ht="24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</row>
    <row r="40" spans="1:17" ht="24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  <c r="P40" s="250"/>
      <c r="Q40" s="250"/>
    </row>
    <row r="41" spans="1:17" ht="24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  <c r="P41" s="250"/>
      <c r="Q41" s="250"/>
    </row>
    <row r="42" spans="1:17" ht="24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</row>
    <row r="43" spans="1:17" ht="24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  <c r="N43" s="250"/>
      <c r="O43" s="250"/>
      <c r="P43" s="250"/>
      <c r="Q43" s="250"/>
    </row>
    <row r="44" spans="1:17" ht="24">
      <c r="A44" s="250"/>
      <c r="B44" s="250"/>
      <c r="C44" s="250"/>
      <c r="D44" s="250"/>
      <c r="E44" s="250"/>
      <c r="F44" s="250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</row>
    <row r="45" spans="1:17" ht="24">
      <c r="A45" s="250"/>
      <c r="B45" s="250"/>
      <c r="C45" s="250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0"/>
      <c r="O45" s="250"/>
      <c r="P45" s="250"/>
      <c r="Q45" s="250"/>
    </row>
    <row r="46" spans="1:17" ht="24">
      <c r="A46" s="250"/>
      <c r="B46" s="250"/>
      <c r="C46" s="250"/>
      <c r="D46" s="250"/>
      <c r="E46" s="250"/>
      <c r="F46" s="250"/>
      <c r="G46" s="250"/>
      <c r="H46" s="250"/>
      <c r="I46" s="250"/>
      <c r="J46" s="250"/>
      <c r="K46" s="250"/>
      <c r="L46" s="250"/>
      <c r="M46" s="250"/>
      <c r="N46" s="250"/>
      <c r="O46" s="250"/>
      <c r="P46" s="250"/>
      <c r="Q46" s="250"/>
    </row>
    <row r="47" spans="1:17" ht="24">
      <c r="A47" s="250"/>
      <c r="B47" s="250"/>
      <c r="C47" s="250"/>
      <c r="D47" s="250"/>
      <c r="E47" s="250"/>
      <c r="F47" s="250"/>
      <c r="G47" s="250"/>
      <c r="H47" s="250"/>
      <c r="I47" s="250"/>
      <c r="J47" s="250"/>
      <c r="K47" s="250"/>
      <c r="L47" s="250"/>
      <c r="M47" s="250"/>
      <c r="N47" s="250"/>
      <c r="O47" s="250"/>
      <c r="P47" s="250"/>
      <c r="Q47" s="250"/>
    </row>
    <row r="48" spans="1:17" ht="24">
      <c r="A48" s="250"/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0"/>
      <c r="N48" s="250"/>
      <c r="O48" s="250"/>
      <c r="P48" s="250"/>
      <c r="Q48" s="250"/>
    </row>
    <row r="49" spans="1:17" ht="24">
      <c r="A49" s="250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</row>
    <row r="50" spans="1:17" ht="24">
      <c r="A50" s="250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250"/>
      <c r="P50" s="250"/>
      <c r="Q50" s="250"/>
    </row>
    <row r="51" spans="1:17" ht="24">
      <c r="A51" s="250"/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250"/>
    </row>
    <row r="52" spans="1:17" ht="24">
      <c r="A52" s="250"/>
      <c r="B52" s="250"/>
      <c r="C52" s="250"/>
      <c r="D52" s="250"/>
      <c r="E52" s="250"/>
      <c r="F52" s="250"/>
      <c r="G52" s="250"/>
      <c r="H52" s="250"/>
      <c r="I52" s="250"/>
      <c r="J52" s="250"/>
      <c r="K52" s="250"/>
      <c r="L52" s="250"/>
      <c r="M52" s="250"/>
      <c r="N52" s="250"/>
      <c r="O52" s="250"/>
      <c r="P52" s="250"/>
      <c r="Q52" s="250"/>
    </row>
    <row r="53" spans="1:17" ht="24">
      <c r="A53" s="250"/>
      <c r="B53" s="250"/>
      <c r="C53" s="250"/>
      <c r="D53" s="250"/>
      <c r="E53" s="250"/>
      <c r="F53" s="250"/>
      <c r="G53" s="250"/>
      <c r="H53" s="250"/>
      <c r="I53" s="250"/>
      <c r="J53" s="250"/>
      <c r="K53" s="250"/>
      <c r="L53" s="250"/>
      <c r="M53" s="250"/>
      <c r="N53" s="250"/>
      <c r="O53" s="250"/>
      <c r="P53" s="250"/>
      <c r="Q53" s="250"/>
    </row>
    <row r="54" spans="1:17" ht="24">
      <c r="A54" s="250"/>
      <c r="B54" s="250"/>
      <c r="C54" s="250"/>
      <c r="D54" s="250"/>
      <c r="E54" s="250"/>
      <c r="F54" s="250"/>
      <c r="G54" s="250"/>
      <c r="H54" s="250"/>
      <c r="I54" s="250"/>
      <c r="J54" s="250"/>
      <c r="K54" s="250"/>
      <c r="L54" s="250"/>
      <c r="M54" s="250"/>
      <c r="N54" s="250"/>
      <c r="O54" s="250"/>
      <c r="P54" s="250"/>
      <c r="Q54" s="250"/>
    </row>
    <row r="55" spans="1:17" ht="24">
      <c r="A55" s="250"/>
      <c r="B55" s="250"/>
      <c r="C55" s="250"/>
      <c r="D55" s="250"/>
      <c r="E55" s="250"/>
      <c r="F55" s="250"/>
      <c r="G55" s="250"/>
      <c r="H55" s="250"/>
      <c r="I55" s="250"/>
      <c r="J55" s="250"/>
      <c r="K55" s="250"/>
      <c r="L55" s="250"/>
      <c r="M55" s="250"/>
      <c r="N55" s="250"/>
      <c r="O55" s="250"/>
      <c r="P55" s="250"/>
      <c r="Q55" s="250"/>
    </row>
    <row r="56" spans="1:17" ht="24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</row>
    <row r="57" spans="1:17" ht="24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</row>
    <row r="58" spans="1:17" ht="24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  <c r="M58" s="250"/>
      <c r="N58" s="250"/>
      <c r="O58" s="250"/>
      <c r="P58" s="250"/>
      <c r="Q58" s="250"/>
    </row>
    <row r="59" spans="1:17" ht="24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  <c r="M59" s="250"/>
      <c r="N59" s="250"/>
      <c r="O59" s="250"/>
      <c r="P59" s="250"/>
      <c r="Q59" s="250"/>
    </row>
    <row r="60" spans="1:17" ht="24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  <c r="M60" s="250"/>
      <c r="N60" s="250"/>
      <c r="O60" s="250"/>
      <c r="P60" s="250"/>
      <c r="Q60" s="250"/>
    </row>
    <row r="61" spans="1:17" ht="24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  <c r="N61" s="250"/>
      <c r="O61" s="250"/>
      <c r="P61" s="250"/>
      <c r="Q61" s="250"/>
    </row>
    <row r="62" spans="1:17" ht="24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  <c r="M62" s="250"/>
      <c r="N62" s="250"/>
      <c r="O62" s="250"/>
      <c r="P62" s="250"/>
      <c r="Q62" s="250"/>
    </row>
    <row r="63" spans="1:17" ht="24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</row>
    <row r="64" spans="1:17" ht="24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0"/>
      <c r="N64" s="250"/>
      <c r="O64" s="250"/>
      <c r="P64" s="250"/>
      <c r="Q64" s="250"/>
    </row>
    <row r="65" spans="1:17" ht="24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</row>
    <row r="66" spans="1:17" ht="24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  <c r="M66" s="250"/>
      <c r="N66" s="250"/>
      <c r="O66" s="250"/>
      <c r="P66" s="250"/>
      <c r="Q66" s="250"/>
    </row>
    <row r="67" spans="1:17" ht="24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  <c r="M67" s="250"/>
      <c r="N67" s="250"/>
      <c r="O67" s="250"/>
      <c r="P67" s="250"/>
      <c r="Q67" s="250"/>
    </row>
    <row r="68" spans="1:17" ht="24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  <c r="M68" s="250"/>
      <c r="N68" s="250"/>
      <c r="O68" s="250"/>
      <c r="P68" s="250"/>
      <c r="Q68" s="250"/>
    </row>
    <row r="69" spans="1:17" ht="24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</row>
    <row r="70" spans="1:17" ht="24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  <c r="M70" s="250"/>
      <c r="N70" s="250"/>
      <c r="O70" s="250"/>
      <c r="P70" s="250"/>
      <c r="Q70" s="250"/>
    </row>
    <row r="71" spans="1:17" ht="24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  <c r="M71" s="250"/>
      <c r="N71" s="250"/>
      <c r="O71" s="250"/>
      <c r="P71" s="250"/>
      <c r="Q71" s="250"/>
    </row>
    <row r="72" spans="1:17" ht="24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</row>
    <row r="73" spans="1:17" ht="24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  <c r="M73" s="250"/>
      <c r="N73" s="250"/>
      <c r="O73" s="250"/>
      <c r="P73" s="250"/>
      <c r="Q73" s="250"/>
    </row>
    <row r="74" spans="1:17" ht="2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</row>
    <row r="75" spans="1:17" ht="24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  <c r="M75" s="250"/>
      <c r="N75" s="250"/>
      <c r="O75" s="250"/>
      <c r="P75" s="250"/>
      <c r="Q75" s="250"/>
    </row>
    <row r="76" spans="1:17" ht="24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  <c r="M76" s="250"/>
      <c r="N76" s="250"/>
      <c r="O76" s="250"/>
      <c r="P76" s="250"/>
      <c r="Q76" s="250"/>
    </row>
    <row r="77" spans="1:17" ht="24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  <c r="M77" s="250"/>
      <c r="N77" s="250"/>
      <c r="O77" s="250"/>
      <c r="P77" s="250"/>
      <c r="Q77" s="250"/>
    </row>
    <row r="78" spans="1:17" ht="24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  <c r="M78" s="250"/>
      <c r="N78" s="250"/>
      <c r="O78" s="250"/>
      <c r="P78" s="250"/>
      <c r="Q78" s="250"/>
    </row>
    <row r="79" spans="1:17" ht="24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</row>
    <row r="80" spans="1:17" ht="24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</row>
    <row r="81" spans="1:17" ht="24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</row>
    <row r="82" spans="1:17" ht="24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</row>
    <row r="83" spans="1:17" ht="24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</row>
    <row r="84" spans="1:17" ht="2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</row>
    <row r="85" spans="1:17" ht="24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</row>
    <row r="86" spans="1:17" ht="24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</row>
    <row r="87" spans="1:17" ht="24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</row>
    <row r="88" spans="1:17" ht="24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</row>
    <row r="89" spans="1:17" ht="24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</row>
    <row r="90" spans="1:17" ht="24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</row>
    <row r="91" spans="1:17" ht="24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</row>
    <row r="92" spans="1:17" ht="24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</row>
    <row r="93" spans="1:17" ht="24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</row>
    <row r="94" spans="1:17" ht="2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</row>
    <row r="95" spans="1:17" ht="24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</row>
    <row r="96" spans="1:17" ht="24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</row>
    <row r="97" spans="1:17" ht="24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</row>
    <row r="98" spans="1:17" ht="24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</row>
    <row r="99" spans="1:17" ht="24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</row>
    <row r="100" spans="1:17" ht="24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</row>
    <row r="101" spans="1:17" ht="24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</row>
    <row r="102" spans="1:17" ht="24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</row>
    <row r="103" spans="1:17" ht="24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</row>
    <row r="104" spans="1:17" ht="2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</row>
    <row r="105" spans="1:17" ht="24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</row>
    <row r="106" spans="1:17" ht="24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</row>
    <row r="107" spans="1:17" ht="24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</row>
    <row r="108" spans="1:17" ht="24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</row>
    <row r="109" spans="1:17" ht="24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</row>
    <row r="110" spans="1:17" ht="24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</row>
    <row r="111" spans="1:17" ht="24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</row>
    <row r="112" spans="1:17" ht="24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</row>
    <row r="113" spans="1:17" ht="24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</row>
    <row r="114" spans="1:17" ht="2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</row>
    <row r="115" spans="1:17" ht="24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</row>
    <row r="116" spans="1:17" ht="24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</row>
    <row r="117" spans="1:17" ht="24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</row>
    <row r="118" spans="1:17" ht="24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</row>
    <row r="119" spans="1:17" ht="24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</row>
    <row r="120" spans="1:17" ht="24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</row>
    <row r="121" spans="1:17" ht="24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</row>
    <row r="122" spans="1:17" ht="24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</row>
    <row r="123" spans="1:17" ht="24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</row>
    <row r="124" spans="1:17" ht="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</row>
    <row r="125" spans="1:17" ht="24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</row>
    <row r="126" spans="1:17" ht="24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</row>
    <row r="127" spans="1:17" ht="24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</row>
    <row r="128" spans="1:17" ht="24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</row>
    <row r="129" spans="1:17" ht="24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</row>
    <row r="130" spans="1:17" ht="24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</row>
    <row r="131" spans="1:17" ht="24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</row>
    <row r="132" spans="1:17" ht="24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</row>
    <row r="133" spans="1:17" ht="24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  <c r="M133" s="250"/>
      <c r="N133" s="250"/>
      <c r="O133" s="250"/>
      <c r="P133" s="250"/>
      <c r="Q133" s="250"/>
    </row>
    <row r="134" spans="1:17" ht="2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  <c r="M134" s="250"/>
      <c r="N134" s="250"/>
      <c r="O134" s="250"/>
      <c r="P134" s="250"/>
      <c r="Q134" s="250"/>
    </row>
    <row r="135" spans="1:17" ht="24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  <c r="M135" s="250"/>
      <c r="N135" s="250"/>
      <c r="O135" s="250"/>
      <c r="P135" s="250"/>
      <c r="Q135" s="250"/>
    </row>
    <row r="136" spans="1:17" ht="24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</row>
    <row r="137" spans="1:17" ht="24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  <c r="M137" s="250"/>
      <c r="N137" s="250"/>
      <c r="O137" s="250"/>
      <c r="P137" s="250"/>
      <c r="Q137" s="250"/>
    </row>
    <row r="138" spans="1:17" ht="24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  <c r="M138" s="250"/>
      <c r="N138" s="250"/>
      <c r="O138" s="250"/>
      <c r="P138" s="250"/>
      <c r="Q138" s="250"/>
    </row>
    <row r="139" spans="1:17" ht="24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  <c r="M139" s="250"/>
      <c r="N139" s="250"/>
      <c r="O139" s="250"/>
      <c r="P139" s="250"/>
      <c r="Q139" s="250"/>
    </row>
    <row r="140" spans="1:17" ht="24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  <c r="M140" s="250"/>
      <c r="N140" s="250"/>
      <c r="O140" s="250"/>
      <c r="P140" s="250"/>
      <c r="Q140" s="250"/>
    </row>
    <row r="141" spans="1:17" ht="24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  <c r="M141" s="250"/>
      <c r="N141" s="250"/>
      <c r="O141" s="250"/>
      <c r="P141" s="250"/>
      <c r="Q141" s="250"/>
    </row>
    <row r="142" spans="1:17" ht="24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  <c r="M142" s="250"/>
      <c r="N142" s="250"/>
      <c r="O142" s="250"/>
      <c r="P142" s="250"/>
      <c r="Q142" s="250"/>
    </row>
    <row r="143" spans="1:17" ht="24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</row>
    <row r="144" spans="1:17" ht="2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  <c r="M144" s="250"/>
      <c r="N144" s="250"/>
      <c r="O144" s="250"/>
      <c r="P144" s="250"/>
      <c r="Q144" s="250"/>
    </row>
    <row r="145" spans="1:17" ht="24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  <c r="M145" s="250"/>
      <c r="N145" s="250"/>
      <c r="O145" s="250"/>
      <c r="P145" s="250"/>
      <c r="Q145" s="250"/>
    </row>
    <row r="146" spans="1:17" ht="24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  <c r="M146" s="250"/>
      <c r="N146" s="250"/>
      <c r="O146" s="250"/>
      <c r="P146" s="250"/>
      <c r="Q146" s="250"/>
    </row>
    <row r="147" spans="1:17" ht="24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  <c r="M147" s="250"/>
      <c r="N147" s="250"/>
      <c r="O147" s="250"/>
      <c r="P147" s="250"/>
      <c r="Q147" s="250"/>
    </row>
    <row r="148" spans="1:17" ht="24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  <c r="M148" s="250"/>
      <c r="N148" s="250"/>
      <c r="O148" s="250"/>
      <c r="P148" s="250"/>
      <c r="Q148" s="250"/>
    </row>
    <row r="149" spans="1:17" ht="24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  <c r="M149" s="250"/>
      <c r="N149" s="250"/>
      <c r="O149" s="250"/>
      <c r="P149" s="250"/>
      <c r="Q149" s="250"/>
    </row>
    <row r="150" spans="1:17" ht="24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  <c r="M150" s="250"/>
      <c r="N150" s="250"/>
      <c r="O150" s="250"/>
      <c r="P150" s="250"/>
      <c r="Q150" s="250"/>
    </row>
    <row r="151" spans="1:17" ht="24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  <c r="M151" s="250"/>
      <c r="N151" s="250"/>
      <c r="O151" s="250"/>
      <c r="P151" s="250"/>
      <c r="Q151" s="250"/>
    </row>
    <row r="152" spans="1:17" ht="24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  <c r="M152" s="250"/>
      <c r="N152" s="250"/>
      <c r="O152" s="250"/>
      <c r="P152" s="250"/>
      <c r="Q152" s="250"/>
    </row>
    <row r="153" spans="1:17" ht="24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  <c r="M153" s="250"/>
      <c r="N153" s="250"/>
      <c r="O153" s="250"/>
      <c r="P153" s="250"/>
      <c r="Q153" s="250"/>
    </row>
    <row r="154" spans="1:17" ht="2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  <c r="N154" s="250"/>
      <c r="O154" s="250"/>
      <c r="P154" s="250"/>
      <c r="Q154" s="250"/>
    </row>
    <row r="155" spans="1:17" ht="24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  <c r="M155" s="250"/>
      <c r="N155" s="250"/>
      <c r="O155" s="250"/>
      <c r="P155" s="250"/>
      <c r="Q155" s="250"/>
    </row>
    <row r="156" spans="1:17" ht="24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  <c r="M156" s="250"/>
      <c r="N156" s="250"/>
      <c r="O156" s="250"/>
      <c r="P156" s="250"/>
      <c r="Q156" s="250"/>
    </row>
    <row r="157" spans="1:17" ht="24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  <c r="M157" s="250"/>
      <c r="N157" s="250"/>
      <c r="O157" s="250"/>
      <c r="P157" s="250"/>
      <c r="Q157" s="250"/>
    </row>
    <row r="158" spans="1:17" ht="24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  <c r="M158" s="250"/>
      <c r="N158" s="250"/>
      <c r="O158" s="250"/>
      <c r="P158" s="250"/>
      <c r="Q158" s="250"/>
    </row>
    <row r="159" spans="1:17" ht="24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  <c r="M159" s="250"/>
      <c r="N159" s="250"/>
      <c r="O159" s="250"/>
      <c r="P159" s="250"/>
      <c r="Q159" s="250"/>
    </row>
    <row r="160" spans="1:17" ht="24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  <c r="M160" s="250"/>
      <c r="N160" s="250"/>
      <c r="O160" s="250"/>
      <c r="P160" s="250"/>
      <c r="Q160" s="250"/>
    </row>
    <row r="161" spans="1:17" ht="24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</row>
    <row r="162" spans="1:17" ht="24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  <c r="M162" s="250"/>
      <c r="N162" s="250"/>
      <c r="O162" s="250"/>
      <c r="P162" s="250"/>
      <c r="Q162" s="250"/>
    </row>
    <row r="163" spans="1:17" ht="24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</row>
    <row r="164" spans="1:17" ht="2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</row>
    <row r="165" spans="1:17" ht="24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</row>
    <row r="166" spans="1:17" ht="24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</row>
    <row r="167" spans="1:17" ht="24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</row>
    <row r="168" spans="1:17" ht="24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</row>
    <row r="169" spans="1:17" ht="24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</row>
    <row r="170" spans="1:17" ht="24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</row>
    <row r="171" spans="1:17" ht="24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</row>
    <row r="172" spans="1:17" ht="24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</row>
    <row r="173" spans="1:17" ht="24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</row>
    <row r="174" spans="1:17" ht="2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</row>
    <row r="175" spans="1:17" ht="24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</row>
    <row r="176" spans="1:17" ht="24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</row>
    <row r="177" spans="1:17" ht="24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</row>
    <row r="178" spans="1:17" ht="24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</row>
    <row r="179" spans="1:17" ht="24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</row>
    <row r="180" spans="1:17" ht="24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</row>
    <row r="181" spans="1:17" ht="24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</row>
    <row r="182" spans="1:17" ht="24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</row>
    <row r="183" spans="1:17" ht="24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</row>
    <row r="184" spans="1:17" ht="2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</row>
    <row r="185" spans="1:17" ht="24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</row>
    <row r="186" spans="1:17" ht="24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</row>
    <row r="187" spans="1:17" ht="24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</row>
    <row r="188" spans="1:17" ht="24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</row>
    <row r="189" spans="1:17" ht="24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</row>
    <row r="190" spans="1:17" ht="24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</row>
    <row r="191" spans="1:17" ht="24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</row>
    <row r="192" spans="1:17" ht="24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</row>
    <row r="193" spans="1:17" ht="24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</row>
    <row r="194" spans="1:17" ht="2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</row>
    <row r="195" spans="1:17" ht="24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</row>
    <row r="196" spans="1:17" ht="24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</row>
    <row r="197" spans="1:17" ht="24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</row>
    <row r="198" spans="1:17" ht="24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</row>
    <row r="199" spans="1:17" ht="24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</row>
    <row r="200" spans="1:17" ht="24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</row>
    <row r="201" spans="1:17" ht="24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</row>
    <row r="202" spans="1:17" ht="24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</row>
    <row r="203" spans="1:17" ht="24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</row>
    <row r="204" spans="1:17" ht="2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</row>
    <row r="205" spans="1:17" ht="24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</row>
    <row r="206" spans="1:17" ht="24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</row>
    <row r="207" spans="1:17" ht="24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</row>
    <row r="208" spans="1:17" ht="24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</row>
    <row r="209" spans="1:17" ht="24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</row>
    <row r="210" spans="1:17" ht="24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</row>
    <row r="211" spans="1:17" ht="24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</row>
    <row r="212" spans="1:17" ht="24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</row>
    <row r="213" spans="1:17" ht="24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</row>
    <row r="214" spans="1:17" ht="2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</row>
    <row r="215" spans="1:17" ht="24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</row>
    <row r="216" spans="1:17" ht="24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</row>
    <row r="217" spans="1:17" ht="24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</row>
    <row r="218" spans="1:17" ht="24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</row>
    <row r="219" spans="1:17" ht="24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</row>
    <row r="220" spans="1:17" ht="24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</row>
    <row r="221" spans="1:17" ht="24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</row>
    <row r="222" spans="1:17" ht="24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</row>
    <row r="223" spans="1:17" ht="24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</row>
    <row r="224" spans="1:17" ht="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</row>
    <row r="225" spans="1:17" ht="24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</row>
    <row r="226" spans="1:17" ht="24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</row>
    <row r="227" spans="1:17" ht="24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</row>
    <row r="228" spans="1:17" ht="24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</row>
    <row r="229" spans="1:17" ht="24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</row>
    <row r="230" spans="1:17" ht="24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</row>
    <row r="231" spans="1:17" ht="24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</row>
    <row r="232" spans="1:17" ht="24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</row>
    <row r="233" spans="1:17" ht="24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</row>
    <row r="234" spans="1:17" ht="2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</row>
    <row r="235" spans="1:17" ht="24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</row>
    <row r="236" spans="1:17" ht="24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</row>
    <row r="237" spans="1:17" ht="24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</row>
    <row r="238" spans="1:17" ht="24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</row>
    <row r="239" spans="1:17" ht="24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</row>
    <row r="240" spans="1:17" ht="24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</row>
    <row r="241" spans="1:17" ht="24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</row>
    <row r="242" spans="1:17" ht="24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</row>
    <row r="243" spans="1:17" ht="24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</row>
    <row r="244" spans="1:17" ht="2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</row>
    <row r="245" spans="1:17" ht="24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</row>
    <row r="246" spans="1:17" ht="24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</row>
    <row r="247" spans="1:17" ht="24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</row>
    <row r="248" spans="1:17" ht="24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</row>
    <row r="249" spans="1:17" ht="24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</row>
    <row r="250" spans="1:17" ht="24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</row>
    <row r="251" spans="1:17" ht="24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</row>
    <row r="252" spans="1:17" ht="24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</row>
    <row r="253" spans="1:17" ht="24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</row>
    <row r="254" spans="1:17" ht="2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</row>
    <row r="255" spans="1:17" ht="24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</row>
    <row r="256" spans="1:17" ht="24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</row>
    <row r="257" spans="1:17" ht="24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</row>
    <row r="258" spans="1:17" ht="24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</row>
    <row r="259" spans="1:17" ht="24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</row>
    <row r="260" spans="1:17" ht="24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</row>
    <row r="261" spans="1:17" ht="24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</row>
    <row r="262" spans="1:17" ht="24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</row>
    <row r="263" spans="1:17" ht="24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</row>
    <row r="264" spans="1:17" ht="2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</row>
    <row r="265" spans="1:17" ht="24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</row>
    <row r="266" spans="1:17" ht="24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</row>
    <row r="267" spans="1:17" ht="24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</row>
    <row r="268" spans="1:17" ht="24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</row>
    <row r="269" spans="1:17" ht="24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</row>
    <row r="270" spans="1:17" ht="24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</row>
    <row r="271" spans="1:17" ht="24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</row>
    <row r="272" spans="1:17" ht="24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</row>
    <row r="273" spans="1:17" ht="24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</row>
    <row r="274" spans="1:17" ht="2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</row>
    <row r="275" spans="1:17" ht="24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</row>
    <row r="276" spans="1:17" ht="24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</row>
    <row r="277" spans="1:17" ht="24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</row>
    <row r="278" spans="1:17" ht="24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</row>
    <row r="279" spans="1:17" ht="24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</row>
    <row r="280" spans="1:17" ht="24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</row>
    <row r="281" spans="1:17" ht="24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</row>
    <row r="282" spans="1:17" ht="24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</row>
    <row r="283" spans="1:17" ht="24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</row>
    <row r="284" spans="1:17" ht="2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</row>
    <row r="285" spans="1:17" ht="24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</row>
    <row r="286" spans="1:17" ht="24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</row>
    <row r="287" spans="1:17" ht="24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</row>
    <row r="288" spans="1:17" ht="24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</row>
    <row r="289" spans="1:17" ht="24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</row>
    <row r="290" spans="1:17" ht="24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</row>
    <row r="291" spans="1:17" ht="24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</row>
    <row r="292" spans="1:17" ht="24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</row>
    <row r="293" spans="1:17" ht="24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</row>
    <row r="294" spans="1:17" ht="2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</row>
    <row r="295" spans="1:17" ht="24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</row>
    <row r="296" spans="1:17" ht="24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</row>
    <row r="297" spans="1:17" ht="24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</row>
    <row r="298" spans="1:17" ht="24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</row>
    <row r="299" spans="1:17" ht="24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</row>
    <row r="300" spans="1:17" ht="24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</row>
    <row r="301" spans="1:17" ht="24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</row>
    <row r="302" spans="1:17" ht="24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</row>
    <row r="303" spans="1:17" ht="24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</row>
    <row r="304" spans="1:17" ht="2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</row>
    <row r="305" spans="1:17" ht="24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</row>
    <row r="306" spans="1:17" ht="24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</row>
    <row r="307" spans="1:17" ht="24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</row>
    <row r="308" spans="1:17" ht="24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</row>
    <row r="309" spans="1:17" ht="24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</row>
    <row r="310" spans="1:17" ht="24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</row>
    <row r="311" spans="1:17" ht="24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</row>
    <row r="312" spans="1:17" ht="24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</row>
    <row r="313" spans="1:17" ht="24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</row>
    <row r="314" spans="1:17" ht="2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</row>
    <row r="315" spans="1:17" ht="24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</row>
    <row r="316" spans="1:17" ht="24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</row>
    <row r="317" spans="1:17" ht="24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</row>
    <row r="318" spans="1:17" ht="24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</row>
    <row r="319" spans="1:17" ht="24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</row>
    <row r="320" spans="1:17" ht="24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</row>
    <row r="321" spans="1:17" ht="24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</row>
    <row r="322" spans="1:17" ht="24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</row>
    <row r="323" spans="1:17" ht="24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</row>
    <row r="324" spans="1:17" ht="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</row>
    <row r="325" spans="1:17" ht="24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</row>
    <row r="326" spans="1:17" ht="24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</row>
    <row r="327" spans="1:17" ht="24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</row>
    <row r="328" spans="1:17" ht="24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</row>
    <row r="329" spans="1:17" ht="24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</row>
    <row r="330" spans="1:17" ht="24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</row>
    <row r="331" spans="1:17" ht="24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</row>
    <row r="332" spans="1:17" ht="24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</row>
    <row r="333" spans="1:17" ht="24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</row>
    <row r="334" spans="1:17" ht="2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</row>
    <row r="335" spans="1:17" ht="24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</row>
    <row r="336" spans="1:17" ht="24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</row>
    <row r="337" spans="1:17" ht="24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</row>
    <row r="338" spans="1:17" ht="24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</row>
    <row r="339" spans="1:17" ht="24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</row>
    <row r="340" spans="1:17" ht="24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</row>
    <row r="341" spans="1:17" ht="24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</row>
    <row r="342" spans="1:17" ht="24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</row>
    <row r="343" spans="1:17" ht="24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</row>
    <row r="344" spans="1:17" ht="2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</row>
    <row r="345" spans="1:17" ht="24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</row>
    <row r="346" spans="1:17" ht="24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</row>
    <row r="347" spans="1:17" ht="24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</row>
    <row r="348" spans="1:17" ht="24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</row>
    <row r="349" spans="1:17" ht="24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</row>
    <row r="350" spans="1:17" ht="24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</row>
    <row r="351" spans="1:17" ht="24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</row>
    <row r="352" spans="1:17" ht="24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</row>
    <row r="353" spans="1:17" ht="24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</row>
    <row r="354" spans="1:17" ht="2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</row>
    <row r="355" spans="1:17" ht="24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</row>
    <row r="356" spans="1:17" ht="24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</row>
    <row r="357" spans="1:17" ht="24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</row>
    <row r="358" spans="1:17" ht="24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</row>
    <row r="359" spans="1:17" ht="24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</row>
    <row r="360" spans="1:17" ht="24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</row>
    <row r="361" spans="1:17" ht="24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</row>
    <row r="362" spans="1:17" ht="24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</row>
    <row r="363" spans="1:17" ht="24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</row>
    <row r="364" spans="1:17" ht="2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</row>
    <row r="365" spans="1:17" ht="24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</row>
    <row r="366" spans="1:17" ht="24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</row>
    <row r="367" spans="1:17" ht="24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</row>
    <row r="368" spans="1:17" ht="24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</row>
    <row r="369" spans="1:17" ht="24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</row>
    <row r="370" spans="1:17" ht="24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</row>
    <row r="371" spans="1:17" ht="24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</row>
    <row r="372" spans="1:17" ht="24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</row>
    <row r="373" spans="1:17" ht="24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</row>
    <row r="374" spans="1:17" ht="2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</row>
    <row r="375" spans="1:17" ht="24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</row>
    <row r="376" spans="1:17" ht="24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</row>
    <row r="377" spans="1:17" ht="24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</row>
    <row r="378" spans="1:17" ht="24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</row>
    <row r="379" spans="1:17" ht="24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</row>
    <row r="380" spans="1:17" ht="24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</row>
    <row r="381" spans="1:17" ht="24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</row>
    <row r="382" spans="1:17" ht="24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</row>
    <row r="383" spans="1:17" ht="24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</row>
    <row r="384" spans="1:17" ht="2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</row>
    <row r="385" spans="1:17" ht="24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</row>
    <row r="386" spans="1:17" ht="24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</row>
    <row r="387" spans="1:17" ht="24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</row>
    <row r="388" spans="1:17" ht="24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</row>
    <row r="389" spans="1:17" ht="24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</row>
    <row r="390" spans="1:17" ht="24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</row>
    <row r="391" spans="1:17" ht="24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</row>
    <row r="392" spans="1:17" ht="24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</row>
    <row r="393" spans="1:17" ht="24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</row>
    <row r="394" spans="1:17" ht="2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</row>
    <row r="395" spans="1:17" ht="24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</row>
    <row r="396" spans="1:17" ht="24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</row>
    <row r="397" spans="1:17" ht="24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</row>
    <row r="398" spans="1:17" ht="24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</row>
    <row r="399" spans="1:17" ht="24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</row>
    <row r="400" spans="1:17" ht="24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</row>
    <row r="401" spans="1:17" ht="24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</row>
    <row r="402" spans="1:17" ht="24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</row>
    <row r="403" spans="1:17" ht="24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</row>
    <row r="404" spans="1:17" ht="2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</row>
    <row r="405" spans="1:17" ht="24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</row>
    <row r="406" spans="1:17" ht="24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</row>
    <row r="407" spans="1:17" ht="24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</row>
    <row r="408" spans="1:17" ht="24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</row>
    <row r="409" spans="1:17" ht="24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</row>
    <row r="410" spans="1:17" ht="24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</row>
    <row r="411" spans="1:17" ht="24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</row>
    <row r="412" spans="1:17" ht="24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</row>
    <row r="413" spans="1:17" ht="24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</row>
    <row r="414" spans="1:17" ht="2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</row>
    <row r="415" spans="1:17" ht="24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</row>
    <row r="416" spans="1:17" ht="24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</row>
    <row r="417" spans="1:17" ht="24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</row>
    <row r="418" spans="1:17" ht="24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</row>
    <row r="419" spans="1:17" ht="24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</row>
    <row r="420" spans="1:17" ht="24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</row>
    <row r="421" spans="1:17" ht="24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</row>
    <row r="422" spans="1:17" ht="24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</row>
    <row r="423" spans="1:17" ht="24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</row>
    <row r="424" spans="1:17" ht="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</row>
    <row r="425" spans="1:17" ht="24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</row>
    <row r="426" spans="1:17" ht="24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</row>
    <row r="427" spans="1:17" ht="24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</row>
    <row r="428" spans="1:17" ht="24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</row>
    <row r="429" spans="1:17" ht="24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</row>
    <row r="430" spans="1:17" ht="24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</row>
    <row r="431" spans="1:17" ht="24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</row>
    <row r="432" spans="1:17" ht="24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</row>
    <row r="433" spans="1:17" ht="24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</row>
    <row r="434" spans="1:17" ht="2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</row>
    <row r="435" spans="1:17" ht="24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</row>
    <row r="436" spans="1:17" ht="24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</row>
    <row r="437" spans="1:17" ht="24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</row>
    <row r="438" spans="1:17" ht="24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</row>
    <row r="439" spans="1:17" ht="24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</row>
    <row r="440" spans="1:17" ht="24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</row>
    <row r="441" spans="1:17" ht="24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</row>
    <row r="442" spans="1:17" ht="24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</row>
    <row r="443" spans="1:17" ht="24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</row>
    <row r="444" spans="1:17" ht="2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</row>
    <row r="445" spans="1:17" ht="24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</row>
    <row r="446" spans="1:17" ht="24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</row>
    <row r="447" spans="1:17" ht="24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</row>
    <row r="448" spans="1:17" ht="24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</row>
    <row r="449" spans="1:17" ht="24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</row>
    <row r="450" spans="1:17" ht="24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</row>
    <row r="451" spans="1:17" ht="24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</row>
    <row r="452" spans="1:17" ht="24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</row>
    <row r="453" spans="1:17" ht="24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</row>
    <row r="454" spans="1:17" ht="2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</row>
    <row r="455" spans="1:17" ht="24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</row>
    <row r="456" spans="1:17" ht="24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</row>
    <row r="457" spans="1:17" ht="24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</row>
    <row r="458" spans="1:17" ht="24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</row>
    <row r="459" spans="1:17" ht="24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</row>
    <row r="460" spans="1:17" ht="24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</row>
    <row r="461" spans="1:17" ht="24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</row>
    <row r="462" spans="1:17" ht="24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</row>
    <row r="463" spans="1:17" ht="24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</row>
    <row r="464" spans="1:17" ht="2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</row>
    <row r="465" spans="1:17" ht="24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</row>
    <row r="466" spans="1:17" ht="24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</row>
    <row r="467" spans="1:17" ht="24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</row>
    <row r="468" spans="1:17" ht="24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</row>
    <row r="469" spans="1:17" ht="24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</row>
    <row r="470" spans="1:17" ht="24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</row>
    <row r="471" spans="1:17" ht="24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</row>
    <row r="472" spans="1:17" ht="24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</row>
    <row r="473" spans="1:17" ht="24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</row>
    <row r="474" spans="1:17" ht="2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</row>
    <row r="475" spans="1:17" ht="24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</row>
    <row r="476" spans="1:17" ht="24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</row>
    <row r="477" spans="1:17" ht="24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</row>
    <row r="478" spans="1:17" ht="24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</row>
    <row r="479" spans="1:17" ht="24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</row>
    <row r="480" spans="1:17" ht="24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</row>
    <row r="481" spans="1:17" ht="24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</row>
    <row r="482" spans="1:17" ht="24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</row>
    <row r="483" spans="1:17" ht="24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</row>
    <row r="484" spans="1:17" ht="2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</row>
    <row r="485" spans="1:17" ht="24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</row>
    <row r="486" spans="1:17" ht="24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</row>
    <row r="487" spans="1:17" ht="24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</row>
    <row r="488" spans="1:17" ht="24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</row>
    <row r="489" spans="1:17" ht="24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</row>
    <row r="490" spans="1:17" ht="24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</row>
    <row r="491" spans="1:17" ht="24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</row>
    <row r="492" spans="1:17" ht="24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</row>
    <row r="493" spans="1:17" ht="24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</row>
    <row r="494" spans="1:17" ht="2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</row>
    <row r="495" spans="1:17" ht="24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</row>
    <row r="496" spans="1:17" ht="24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</row>
    <row r="497" spans="1:17" ht="24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</row>
    <row r="498" spans="1:17" ht="24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</row>
    <row r="499" spans="1:17" ht="24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</row>
    <row r="500" spans="1:17" ht="24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</row>
    <row r="501" spans="1:17" ht="24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</row>
    <row r="502" spans="1:17" ht="24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</row>
    <row r="503" spans="1:17" ht="24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  <c r="M503" s="250"/>
      <c r="N503" s="250"/>
      <c r="O503" s="250"/>
      <c r="P503" s="250"/>
      <c r="Q503" s="250"/>
    </row>
    <row r="504" spans="1:17" ht="2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  <c r="M504" s="250"/>
      <c r="N504" s="250"/>
      <c r="O504" s="250"/>
      <c r="P504" s="250"/>
      <c r="Q504" s="250"/>
    </row>
    <row r="505" spans="1:17" ht="24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  <c r="M505" s="250"/>
      <c r="N505" s="250"/>
      <c r="O505" s="250"/>
      <c r="P505" s="250"/>
      <c r="Q505" s="250"/>
    </row>
    <row r="506" spans="1:17" ht="24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  <c r="M506" s="250"/>
      <c r="N506" s="250"/>
      <c r="O506" s="250"/>
      <c r="P506" s="250"/>
      <c r="Q506" s="250"/>
    </row>
    <row r="507" spans="1:17" ht="24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  <c r="M507" s="250"/>
      <c r="N507" s="250"/>
      <c r="O507" s="250"/>
      <c r="P507" s="250"/>
      <c r="Q507" s="250"/>
    </row>
    <row r="508" spans="1:17" ht="24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  <c r="M508" s="250"/>
      <c r="N508" s="250"/>
      <c r="O508" s="250"/>
      <c r="P508" s="250"/>
      <c r="Q508" s="250"/>
    </row>
    <row r="509" spans="1:17" ht="24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  <c r="M509" s="250"/>
      <c r="N509" s="250"/>
      <c r="O509" s="250"/>
      <c r="P509" s="250"/>
      <c r="Q509" s="250"/>
    </row>
    <row r="510" spans="1:17" ht="24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  <c r="M510" s="250"/>
      <c r="N510" s="250"/>
      <c r="O510" s="250"/>
      <c r="P510" s="250"/>
      <c r="Q510" s="250"/>
    </row>
    <row r="511" spans="1:17" ht="24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</row>
    <row r="512" spans="1:17" ht="24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  <c r="M512" s="250"/>
      <c r="N512" s="250"/>
      <c r="O512" s="250"/>
      <c r="P512" s="250"/>
      <c r="Q512" s="250"/>
    </row>
    <row r="513" spans="1:17" ht="24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  <c r="M513" s="250"/>
      <c r="N513" s="250"/>
      <c r="O513" s="250"/>
      <c r="P513" s="250"/>
      <c r="Q513" s="250"/>
    </row>
    <row r="514" spans="1:17" ht="2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  <c r="M514" s="250"/>
      <c r="N514" s="250"/>
      <c r="O514" s="250"/>
      <c r="P514" s="250"/>
      <c r="Q514" s="250"/>
    </row>
    <row r="515" spans="1:17" ht="24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  <c r="M515" s="250"/>
      <c r="N515" s="250"/>
      <c r="O515" s="250"/>
      <c r="P515" s="250"/>
      <c r="Q515" s="250"/>
    </row>
    <row r="516" spans="1:17" ht="24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  <c r="M516" s="250"/>
      <c r="N516" s="250"/>
      <c r="O516" s="250"/>
      <c r="P516" s="250"/>
      <c r="Q516" s="250"/>
    </row>
    <row r="517" spans="1:17" ht="24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  <c r="M517" s="250"/>
      <c r="N517" s="250"/>
      <c r="O517" s="250"/>
      <c r="P517" s="250"/>
      <c r="Q517" s="250"/>
    </row>
    <row r="518" spans="1:17" ht="24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  <c r="M518" s="250"/>
      <c r="N518" s="250"/>
      <c r="O518" s="250"/>
      <c r="P518" s="250"/>
      <c r="Q518" s="250"/>
    </row>
    <row r="519" spans="1:17" ht="24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  <c r="M519" s="250"/>
      <c r="N519" s="250"/>
      <c r="O519" s="250"/>
      <c r="P519" s="250"/>
      <c r="Q519" s="250"/>
    </row>
    <row r="520" spans="1:17" ht="24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  <c r="M520" s="250"/>
      <c r="N520" s="250"/>
      <c r="O520" s="250"/>
      <c r="P520" s="250"/>
      <c r="Q520" s="250"/>
    </row>
    <row r="521" spans="1:17" ht="24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  <c r="M521" s="250"/>
      <c r="N521" s="250"/>
      <c r="O521" s="250"/>
      <c r="P521" s="250"/>
      <c r="Q521" s="250"/>
    </row>
    <row r="522" spans="1:17" ht="24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  <c r="M522" s="250"/>
      <c r="N522" s="250"/>
      <c r="O522" s="250"/>
      <c r="P522" s="250"/>
      <c r="Q522" s="250"/>
    </row>
    <row r="523" spans="1:17" ht="24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</row>
    <row r="524" spans="1:17" ht="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  <c r="M524" s="250"/>
      <c r="N524" s="250"/>
      <c r="O524" s="250"/>
      <c r="P524" s="250"/>
      <c r="Q524" s="250"/>
    </row>
    <row r="525" spans="1:17" ht="24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  <c r="M525" s="250"/>
      <c r="N525" s="250"/>
      <c r="O525" s="250"/>
      <c r="P525" s="250"/>
      <c r="Q525" s="250"/>
    </row>
    <row r="526" spans="1:17" ht="24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  <c r="M526" s="250"/>
      <c r="N526" s="250"/>
      <c r="O526" s="250"/>
      <c r="P526" s="250"/>
      <c r="Q526" s="250"/>
    </row>
    <row r="527" spans="1:17" ht="24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  <c r="M527" s="250"/>
      <c r="N527" s="250"/>
      <c r="O527" s="250"/>
      <c r="P527" s="250"/>
      <c r="Q527" s="250"/>
    </row>
    <row r="528" spans="1:17" ht="24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  <c r="M528" s="250"/>
      <c r="N528" s="250"/>
      <c r="O528" s="250"/>
      <c r="P528" s="250"/>
      <c r="Q528" s="250"/>
    </row>
    <row r="529" spans="1:17" ht="24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</row>
    <row r="530" spans="1:17" ht="24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  <c r="M530" s="250"/>
      <c r="N530" s="250"/>
      <c r="O530" s="250"/>
      <c r="P530" s="250"/>
      <c r="Q530" s="250"/>
    </row>
    <row r="531" spans="1:17" ht="24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  <c r="M531" s="250"/>
      <c r="N531" s="250"/>
      <c r="O531" s="250"/>
      <c r="P531" s="250"/>
      <c r="Q531" s="250"/>
    </row>
    <row r="532" spans="1:17" ht="24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  <c r="M532" s="250"/>
      <c r="N532" s="250"/>
      <c r="O532" s="250"/>
      <c r="P532" s="250"/>
      <c r="Q532" s="250"/>
    </row>
    <row r="533" spans="1:17" ht="24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  <c r="M533" s="250"/>
      <c r="N533" s="250"/>
      <c r="O533" s="250"/>
      <c r="P533" s="250"/>
      <c r="Q533" s="250"/>
    </row>
    <row r="534" spans="1:17" ht="2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  <c r="M534" s="250"/>
      <c r="N534" s="250"/>
      <c r="O534" s="250"/>
      <c r="P534" s="250"/>
      <c r="Q534" s="250"/>
    </row>
    <row r="535" spans="1:17" ht="24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  <c r="M535" s="250"/>
      <c r="N535" s="250"/>
      <c r="O535" s="250"/>
      <c r="P535" s="250"/>
      <c r="Q535" s="250"/>
    </row>
    <row r="536" spans="1:17" ht="24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  <c r="M536" s="250"/>
      <c r="N536" s="250"/>
      <c r="O536" s="250"/>
      <c r="P536" s="250"/>
      <c r="Q536" s="250"/>
    </row>
    <row r="537" spans="1:17" ht="24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  <c r="M537" s="250"/>
      <c r="N537" s="250"/>
      <c r="O537" s="250"/>
      <c r="P537" s="250"/>
      <c r="Q537" s="250"/>
    </row>
    <row r="538" spans="1:17" ht="24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  <c r="M538" s="250"/>
      <c r="N538" s="250"/>
      <c r="O538" s="250"/>
      <c r="P538" s="250"/>
      <c r="Q538" s="250"/>
    </row>
    <row r="539" spans="1:17" ht="24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  <c r="M539" s="250"/>
      <c r="N539" s="250"/>
      <c r="O539" s="250"/>
      <c r="P539" s="250"/>
      <c r="Q539" s="250"/>
    </row>
    <row r="540" spans="1:17" ht="24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  <c r="M540" s="250"/>
      <c r="N540" s="250"/>
      <c r="O540" s="250"/>
      <c r="P540" s="250"/>
      <c r="Q540" s="250"/>
    </row>
    <row r="541" spans="1:17" ht="24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  <c r="M541" s="250"/>
      <c r="N541" s="250"/>
      <c r="O541" s="250"/>
      <c r="P541" s="250"/>
      <c r="Q541" s="250"/>
    </row>
    <row r="542" spans="1:17" ht="24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  <c r="M542" s="250"/>
      <c r="N542" s="250"/>
      <c r="O542" s="250"/>
      <c r="P542" s="250"/>
      <c r="Q542" s="250"/>
    </row>
    <row r="543" spans="1:17" ht="24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  <c r="M543" s="250"/>
      <c r="N543" s="250"/>
      <c r="O543" s="250"/>
      <c r="P543" s="250"/>
      <c r="Q543" s="250"/>
    </row>
    <row r="544" spans="1:17" ht="2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  <c r="M544" s="250"/>
      <c r="N544" s="250"/>
      <c r="O544" s="250"/>
      <c r="P544" s="250"/>
      <c r="Q544" s="250"/>
    </row>
    <row r="545" spans="1:17" ht="24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  <c r="M545" s="250"/>
      <c r="N545" s="250"/>
      <c r="O545" s="250"/>
      <c r="P545" s="250"/>
      <c r="Q545" s="250"/>
    </row>
    <row r="546" spans="1:17" ht="24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  <c r="M546" s="250"/>
      <c r="N546" s="250"/>
      <c r="O546" s="250"/>
      <c r="P546" s="250"/>
      <c r="Q546" s="250"/>
    </row>
    <row r="547" spans="1:17" ht="24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  <c r="M547" s="250"/>
      <c r="N547" s="250"/>
      <c r="O547" s="250"/>
      <c r="P547" s="250"/>
      <c r="Q547" s="250"/>
    </row>
    <row r="548" spans="1:17" ht="24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  <c r="M548" s="250"/>
      <c r="N548" s="250"/>
      <c r="O548" s="250"/>
      <c r="P548" s="250"/>
      <c r="Q548" s="250"/>
    </row>
    <row r="549" spans="1:17" ht="24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  <c r="M549" s="250"/>
      <c r="N549" s="250"/>
      <c r="O549" s="250"/>
      <c r="P549" s="250"/>
      <c r="Q549" s="250"/>
    </row>
    <row r="550" spans="1:17" ht="24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  <c r="M550" s="250"/>
      <c r="N550" s="250"/>
      <c r="O550" s="250"/>
      <c r="P550" s="250"/>
      <c r="Q550" s="250"/>
    </row>
    <row r="551" spans="1:17" ht="24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  <c r="M551" s="250"/>
      <c r="N551" s="250"/>
      <c r="O551" s="250"/>
      <c r="P551" s="250"/>
      <c r="Q551" s="250"/>
    </row>
    <row r="552" spans="1:17" ht="24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  <c r="M552" s="250"/>
      <c r="N552" s="250"/>
      <c r="O552" s="250"/>
      <c r="P552" s="250"/>
      <c r="Q552" s="250"/>
    </row>
    <row r="553" spans="1:17" ht="24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  <c r="M553" s="250"/>
      <c r="N553" s="250"/>
      <c r="O553" s="250"/>
      <c r="P553" s="250"/>
      <c r="Q553" s="250"/>
    </row>
    <row r="554" spans="1:17" ht="2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  <c r="M554" s="250"/>
      <c r="N554" s="250"/>
      <c r="O554" s="250"/>
      <c r="P554" s="250"/>
      <c r="Q554" s="250"/>
    </row>
    <row r="555" spans="1:17" ht="24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  <c r="M555" s="250"/>
      <c r="N555" s="250"/>
      <c r="O555" s="250"/>
      <c r="P555" s="250"/>
      <c r="Q555" s="250"/>
    </row>
    <row r="556" spans="1:17" ht="24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  <c r="M556" s="250"/>
      <c r="N556" s="250"/>
      <c r="O556" s="250"/>
      <c r="P556" s="250"/>
      <c r="Q556" s="250"/>
    </row>
    <row r="557" spans="1:17" ht="24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  <c r="M557" s="250"/>
      <c r="N557" s="250"/>
      <c r="O557" s="250"/>
      <c r="P557" s="250"/>
      <c r="Q557" s="250"/>
    </row>
    <row r="558" spans="1:17" ht="24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  <c r="M558" s="250"/>
      <c r="N558" s="250"/>
      <c r="O558" s="250"/>
      <c r="P558" s="250"/>
      <c r="Q558" s="250"/>
    </row>
    <row r="559" spans="1:17" ht="24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  <c r="M559" s="250"/>
      <c r="N559" s="250"/>
      <c r="O559" s="250"/>
      <c r="P559" s="250"/>
      <c r="Q559" s="250"/>
    </row>
    <row r="560" spans="1:17" ht="24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  <c r="M560" s="250"/>
      <c r="N560" s="250"/>
      <c r="O560" s="250"/>
      <c r="P560" s="250"/>
      <c r="Q560" s="250"/>
    </row>
    <row r="561" spans="1:17" ht="24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  <c r="M561" s="250"/>
      <c r="N561" s="250"/>
      <c r="O561" s="250"/>
      <c r="P561" s="250"/>
      <c r="Q561" s="250"/>
    </row>
    <row r="562" spans="1:17" ht="24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  <c r="M562" s="250"/>
      <c r="N562" s="250"/>
      <c r="O562" s="250"/>
      <c r="P562" s="250"/>
      <c r="Q562" s="250"/>
    </row>
    <row r="563" spans="1:17" ht="24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  <c r="M563" s="250"/>
      <c r="N563" s="250"/>
      <c r="O563" s="250"/>
      <c r="P563" s="250"/>
      <c r="Q563" s="250"/>
    </row>
    <row r="564" spans="1:17" ht="2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  <c r="M564" s="250"/>
      <c r="N564" s="250"/>
      <c r="O564" s="250"/>
      <c r="P564" s="250"/>
      <c r="Q564" s="250"/>
    </row>
    <row r="565" spans="1:17" ht="24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  <c r="M565" s="250"/>
      <c r="N565" s="250"/>
      <c r="O565" s="250"/>
      <c r="P565" s="250"/>
      <c r="Q565" s="250"/>
    </row>
    <row r="566" spans="1:17" ht="24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  <c r="M566" s="250"/>
      <c r="N566" s="250"/>
      <c r="O566" s="250"/>
      <c r="P566" s="250"/>
      <c r="Q566" s="250"/>
    </row>
    <row r="567" spans="1:17" ht="24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  <c r="M567" s="250"/>
      <c r="N567" s="250"/>
      <c r="O567" s="250"/>
      <c r="P567" s="250"/>
      <c r="Q567" s="250"/>
    </row>
    <row r="568" spans="1:17" ht="24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  <c r="M568" s="250"/>
      <c r="N568" s="250"/>
      <c r="O568" s="250"/>
      <c r="P568" s="250"/>
      <c r="Q568" s="250"/>
    </row>
    <row r="569" spans="1:17" ht="24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  <c r="M569" s="250"/>
      <c r="N569" s="250"/>
      <c r="O569" s="250"/>
      <c r="P569" s="250"/>
      <c r="Q569" s="250"/>
    </row>
    <row r="570" spans="1:17" ht="24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  <c r="M570" s="250"/>
      <c r="N570" s="250"/>
      <c r="O570" s="250"/>
      <c r="P570" s="250"/>
      <c r="Q570" s="250"/>
    </row>
    <row r="571" spans="1:17" ht="24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  <c r="M571" s="250"/>
      <c r="N571" s="250"/>
      <c r="O571" s="250"/>
      <c r="P571" s="250"/>
      <c r="Q571" s="250"/>
    </row>
    <row r="572" spans="1:17" ht="24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  <c r="M572" s="250"/>
      <c r="N572" s="250"/>
      <c r="O572" s="250"/>
      <c r="P572" s="250"/>
      <c r="Q572" s="250"/>
    </row>
    <row r="573" spans="1:17" ht="24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  <c r="M573" s="250"/>
      <c r="N573" s="250"/>
      <c r="O573" s="250"/>
      <c r="P573" s="250"/>
      <c r="Q573" s="250"/>
    </row>
    <row r="574" spans="1:17" ht="2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  <c r="M574" s="250"/>
      <c r="N574" s="250"/>
      <c r="O574" s="250"/>
      <c r="P574" s="250"/>
      <c r="Q574" s="250"/>
    </row>
    <row r="575" spans="1:17" ht="24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  <c r="M575" s="250"/>
      <c r="N575" s="250"/>
      <c r="O575" s="250"/>
      <c r="P575" s="250"/>
      <c r="Q575" s="250"/>
    </row>
    <row r="576" spans="1:17" ht="24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  <c r="M576" s="250"/>
      <c r="N576" s="250"/>
      <c r="O576" s="250"/>
      <c r="P576" s="250"/>
      <c r="Q576" s="250"/>
    </row>
    <row r="577" spans="1:17" ht="24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  <c r="M577" s="250"/>
      <c r="N577" s="250"/>
      <c r="O577" s="250"/>
      <c r="P577" s="250"/>
      <c r="Q577" s="250"/>
    </row>
    <row r="578" spans="1:17" ht="24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  <c r="M578" s="250"/>
      <c r="N578" s="250"/>
      <c r="O578" s="250"/>
      <c r="P578" s="250"/>
      <c r="Q578" s="250"/>
    </row>
    <row r="579" spans="1:17" ht="24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  <c r="M579" s="250"/>
      <c r="N579" s="250"/>
      <c r="O579" s="250"/>
      <c r="P579" s="250"/>
      <c r="Q579" s="250"/>
    </row>
    <row r="580" spans="1:17" ht="24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  <c r="M580" s="250"/>
      <c r="N580" s="250"/>
      <c r="O580" s="250"/>
      <c r="P580" s="250"/>
      <c r="Q580" s="250"/>
    </row>
    <row r="581" spans="1:17" ht="24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  <c r="M581" s="250"/>
      <c r="N581" s="250"/>
      <c r="O581" s="250"/>
      <c r="P581" s="250"/>
      <c r="Q581" s="250"/>
    </row>
    <row r="582" spans="1:17" ht="24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  <c r="M582" s="250"/>
      <c r="N582" s="250"/>
      <c r="O582" s="250"/>
      <c r="P582" s="250"/>
      <c r="Q582" s="250"/>
    </row>
    <row r="583" spans="1:17" ht="24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  <c r="M583" s="250"/>
      <c r="N583" s="250"/>
      <c r="O583" s="250"/>
      <c r="P583" s="250"/>
      <c r="Q583" s="250"/>
    </row>
    <row r="584" spans="1:17" ht="2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  <c r="M584" s="250"/>
      <c r="N584" s="250"/>
      <c r="O584" s="250"/>
      <c r="P584" s="250"/>
      <c r="Q584" s="250"/>
    </row>
    <row r="585" spans="1:17" ht="24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  <c r="M585" s="250"/>
      <c r="N585" s="250"/>
      <c r="O585" s="250"/>
      <c r="P585" s="250"/>
      <c r="Q585" s="250"/>
    </row>
    <row r="586" spans="1:17" ht="24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  <c r="M586" s="250"/>
      <c r="N586" s="250"/>
      <c r="O586" s="250"/>
      <c r="P586" s="250"/>
      <c r="Q586" s="250"/>
    </row>
    <row r="587" spans="1:17" ht="24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  <c r="M587" s="250"/>
      <c r="N587" s="250"/>
      <c r="O587" s="250"/>
      <c r="P587" s="250"/>
      <c r="Q587" s="250"/>
    </row>
    <row r="588" spans="1:17" ht="24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  <c r="M588" s="250"/>
      <c r="N588" s="250"/>
      <c r="O588" s="250"/>
      <c r="P588" s="250"/>
      <c r="Q588" s="250"/>
    </row>
    <row r="589" spans="1:17" ht="24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  <c r="M589" s="250"/>
      <c r="N589" s="250"/>
      <c r="O589" s="250"/>
      <c r="P589" s="250"/>
      <c r="Q589" s="250"/>
    </row>
    <row r="590" spans="1:17" ht="24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  <c r="M590" s="250"/>
      <c r="N590" s="250"/>
      <c r="O590" s="250"/>
      <c r="P590" s="250"/>
      <c r="Q590" s="250"/>
    </row>
    <row r="591" spans="1:17" ht="24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  <c r="M591" s="250"/>
      <c r="N591" s="250"/>
      <c r="O591" s="250"/>
      <c r="P591" s="250"/>
      <c r="Q591" s="250"/>
    </row>
    <row r="592" spans="1:17" ht="24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  <c r="M592" s="250"/>
      <c r="N592" s="250"/>
      <c r="O592" s="250"/>
      <c r="P592" s="250"/>
      <c r="Q592" s="250"/>
    </row>
    <row r="593" spans="1:17" ht="24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50"/>
      <c r="O593" s="250"/>
      <c r="P593" s="250"/>
      <c r="Q593" s="250"/>
    </row>
    <row r="594" spans="1:17" ht="2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  <c r="M594" s="250"/>
      <c r="N594" s="250"/>
      <c r="O594" s="250"/>
      <c r="P594" s="250"/>
      <c r="Q594" s="250"/>
    </row>
    <row r="595" spans="1:17" ht="24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  <c r="M595" s="250"/>
      <c r="N595" s="250"/>
      <c r="O595" s="250"/>
      <c r="P595" s="250"/>
      <c r="Q595" s="250"/>
    </row>
    <row r="596" spans="1:17" ht="24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  <c r="M596" s="250"/>
      <c r="N596" s="250"/>
      <c r="O596" s="250"/>
      <c r="P596" s="250"/>
      <c r="Q596" s="250"/>
    </row>
    <row r="597" spans="1:17" ht="24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  <c r="M597" s="250"/>
      <c r="N597" s="250"/>
      <c r="O597" s="250"/>
      <c r="P597" s="250"/>
      <c r="Q597" s="250"/>
    </row>
    <row r="598" spans="1:17" ht="24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  <c r="M598" s="250"/>
      <c r="N598" s="250"/>
      <c r="O598" s="250"/>
      <c r="P598" s="250"/>
      <c r="Q598" s="250"/>
    </row>
    <row r="599" spans="1:17" ht="24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  <c r="M599" s="250"/>
      <c r="N599" s="250"/>
      <c r="O599" s="250"/>
      <c r="P599" s="250"/>
      <c r="Q599" s="250"/>
    </row>
    <row r="600" spans="1:17" ht="24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  <c r="M600" s="250"/>
      <c r="N600" s="250"/>
      <c r="O600" s="250"/>
      <c r="P600" s="250"/>
      <c r="Q600" s="250"/>
    </row>
    <row r="601" spans="1:17" ht="24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  <c r="M601" s="250"/>
      <c r="N601" s="250"/>
      <c r="O601" s="250"/>
      <c r="P601" s="250"/>
      <c r="Q601" s="250"/>
    </row>
    <row r="602" spans="1:17" ht="24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  <c r="M602" s="250"/>
      <c r="N602" s="250"/>
      <c r="O602" s="250"/>
      <c r="P602" s="250"/>
      <c r="Q602" s="250"/>
    </row>
    <row r="603" spans="1:17" ht="24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  <c r="M603" s="250"/>
      <c r="N603" s="250"/>
      <c r="O603" s="250"/>
      <c r="P603" s="250"/>
      <c r="Q603" s="250"/>
    </row>
    <row r="604" spans="1:17" ht="2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  <c r="M604" s="250"/>
      <c r="N604" s="250"/>
      <c r="O604" s="250"/>
      <c r="P604" s="250"/>
      <c r="Q604" s="250"/>
    </row>
    <row r="605" spans="1:17" ht="24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  <c r="M605" s="250"/>
      <c r="N605" s="250"/>
      <c r="O605" s="250"/>
      <c r="P605" s="250"/>
      <c r="Q605" s="250"/>
    </row>
    <row r="606" spans="1:17" ht="24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  <c r="M606" s="250"/>
      <c r="N606" s="250"/>
      <c r="O606" s="250"/>
      <c r="P606" s="250"/>
      <c r="Q606" s="250"/>
    </row>
    <row r="607" spans="1:17" ht="24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  <c r="M607" s="250"/>
      <c r="N607" s="250"/>
      <c r="O607" s="250"/>
      <c r="P607" s="250"/>
      <c r="Q607" s="250"/>
    </row>
    <row r="608" spans="1:17" ht="24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  <c r="M608" s="250"/>
      <c r="N608" s="250"/>
      <c r="O608" s="250"/>
      <c r="P608" s="250"/>
      <c r="Q608" s="250"/>
    </row>
    <row r="609" spans="1:17" ht="24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  <c r="M609" s="250"/>
      <c r="N609" s="250"/>
      <c r="O609" s="250"/>
      <c r="P609" s="250"/>
      <c r="Q609" s="250"/>
    </row>
    <row r="610" spans="1:17" ht="24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  <c r="M610" s="250"/>
      <c r="N610" s="250"/>
      <c r="O610" s="250"/>
      <c r="P610" s="250"/>
      <c r="Q610" s="250"/>
    </row>
    <row r="611" spans="1:17" ht="24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  <c r="M611" s="250"/>
      <c r="N611" s="250"/>
      <c r="O611" s="250"/>
      <c r="P611" s="250"/>
      <c r="Q611" s="250"/>
    </row>
    <row r="612" spans="1:17" ht="24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  <c r="M612" s="250"/>
      <c r="N612" s="250"/>
      <c r="O612" s="250"/>
      <c r="P612" s="250"/>
      <c r="Q612" s="250"/>
    </row>
    <row r="613" spans="1:17" ht="24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  <c r="M613" s="250"/>
      <c r="N613" s="250"/>
      <c r="O613" s="250"/>
      <c r="P613" s="250"/>
      <c r="Q613" s="250"/>
    </row>
    <row r="614" spans="1:17" ht="2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  <c r="M614" s="250"/>
      <c r="N614" s="250"/>
      <c r="O614" s="250"/>
      <c r="P614" s="250"/>
      <c r="Q614" s="250"/>
    </row>
    <row r="615" spans="1:17" ht="24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  <c r="M615" s="250"/>
      <c r="N615" s="250"/>
      <c r="O615" s="250"/>
      <c r="P615" s="250"/>
      <c r="Q615" s="250"/>
    </row>
    <row r="616" spans="1:17" ht="24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  <c r="M616" s="250"/>
      <c r="N616" s="250"/>
      <c r="O616" s="250"/>
      <c r="P616" s="250"/>
      <c r="Q616" s="250"/>
    </row>
    <row r="617" spans="1:17" ht="24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  <c r="M617" s="250"/>
      <c r="N617" s="250"/>
      <c r="O617" s="250"/>
      <c r="P617" s="250"/>
      <c r="Q617" s="250"/>
    </row>
    <row r="618" spans="1:17" ht="24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  <c r="M618" s="250"/>
      <c r="N618" s="250"/>
      <c r="O618" s="250"/>
      <c r="P618" s="250"/>
      <c r="Q618" s="250"/>
    </row>
    <row r="619" spans="1:17" ht="24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  <c r="M619" s="250"/>
      <c r="N619" s="250"/>
      <c r="O619" s="250"/>
      <c r="P619" s="250"/>
      <c r="Q619" s="250"/>
    </row>
    <row r="620" spans="1:17" ht="24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  <c r="M620" s="250"/>
      <c r="N620" s="250"/>
      <c r="O620" s="250"/>
      <c r="P620" s="250"/>
      <c r="Q620" s="250"/>
    </row>
    <row r="621" spans="1:17" ht="24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  <c r="M621" s="250"/>
      <c r="N621" s="250"/>
      <c r="O621" s="250"/>
      <c r="P621" s="250"/>
      <c r="Q621" s="250"/>
    </row>
    <row r="622" spans="1:17" ht="24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  <c r="M622" s="250"/>
      <c r="N622" s="250"/>
      <c r="O622" s="250"/>
      <c r="P622" s="250"/>
      <c r="Q622" s="250"/>
    </row>
    <row r="623" spans="1:17" ht="24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  <c r="M623" s="250"/>
      <c r="N623" s="250"/>
      <c r="O623" s="250"/>
      <c r="P623" s="250"/>
      <c r="Q623" s="250"/>
    </row>
    <row r="624" spans="1:17" ht="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  <c r="M624" s="250"/>
      <c r="N624" s="250"/>
      <c r="O624" s="250"/>
      <c r="P624" s="250"/>
      <c r="Q624" s="250"/>
    </row>
    <row r="625" spans="1:17" ht="24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  <c r="M625" s="250"/>
      <c r="N625" s="250"/>
      <c r="O625" s="250"/>
      <c r="P625" s="250"/>
      <c r="Q625" s="250"/>
    </row>
    <row r="626" spans="1:17" ht="24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  <c r="M626" s="250"/>
      <c r="N626" s="250"/>
      <c r="O626" s="250"/>
      <c r="P626" s="250"/>
      <c r="Q626" s="250"/>
    </row>
    <row r="627" spans="1:17" ht="24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  <c r="M627" s="250"/>
      <c r="N627" s="250"/>
      <c r="O627" s="250"/>
      <c r="P627" s="250"/>
      <c r="Q627" s="250"/>
    </row>
    <row r="628" spans="1:17" ht="24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  <c r="M628" s="250"/>
      <c r="N628" s="250"/>
      <c r="O628" s="250"/>
      <c r="P628" s="250"/>
      <c r="Q628" s="250"/>
    </row>
    <row r="629" spans="1:17" ht="24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  <c r="M629" s="250"/>
      <c r="N629" s="250"/>
      <c r="O629" s="250"/>
      <c r="P629" s="250"/>
      <c r="Q629" s="250"/>
    </row>
    <row r="630" spans="1:17" ht="24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  <c r="M630" s="250"/>
      <c r="N630" s="250"/>
      <c r="O630" s="250"/>
      <c r="P630" s="250"/>
      <c r="Q630" s="250"/>
    </row>
    <row r="631" spans="1:17" ht="24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  <c r="M631" s="250"/>
      <c r="N631" s="250"/>
      <c r="O631" s="250"/>
      <c r="P631" s="250"/>
      <c r="Q631" s="250"/>
    </row>
    <row r="632" spans="1:17" ht="24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  <c r="M632" s="250"/>
      <c r="N632" s="250"/>
      <c r="O632" s="250"/>
      <c r="P632" s="250"/>
      <c r="Q632" s="250"/>
    </row>
    <row r="633" spans="1:17" ht="24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  <c r="M633" s="250"/>
      <c r="N633" s="250"/>
      <c r="O633" s="250"/>
      <c r="P633" s="250"/>
      <c r="Q633" s="250"/>
    </row>
    <row r="634" spans="1:17" ht="2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  <c r="M634" s="250"/>
      <c r="N634" s="250"/>
      <c r="O634" s="250"/>
      <c r="P634" s="250"/>
      <c r="Q634" s="250"/>
    </row>
    <row r="635" spans="1:17" ht="24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  <c r="M635" s="250"/>
      <c r="N635" s="250"/>
      <c r="O635" s="250"/>
      <c r="P635" s="250"/>
      <c r="Q635" s="250"/>
    </row>
    <row r="636" spans="1:17" ht="24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  <c r="M636" s="250"/>
      <c r="N636" s="250"/>
      <c r="O636" s="250"/>
      <c r="P636" s="250"/>
      <c r="Q636" s="250"/>
    </row>
    <row r="637" spans="1:17" ht="24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  <c r="M637" s="250"/>
      <c r="N637" s="250"/>
      <c r="O637" s="250"/>
      <c r="P637" s="250"/>
      <c r="Q637" s="250"/>
    </row>
    <row r="638" spans="1:17" ht="24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  <c r="M638" s="250"/>
      <c r="N638" s="250"/>
      <c r="O638" s="250"/>
      <c r="P638" s="250"/>
      <c r="Q638" s="250"/>
    </row>
    <row r="639" spans="1:17" ht="24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  <c r="M639" s="250"/>
      <c r="N639" s="250"/>
      <c r="O639" s="250"/>
      <c r="P639" s="250"/>
      <c r="Q639" s="250"/>
    </row>
    <row r="640" spans="1:17" ht="24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  <c r="M640" s="250"/>
      <c r="N640" s="250"/>
      <c r="O640" s="250"/>
      <c r="P640" s="250"/>
      <c r="Q640" s="250"/>
    </row>
    <row r="641" spans="1:17" ht="24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  <c r="M641" s="250"/>
      <c r="N641" s="250"/>
      <c r="O641" s="250"/>
      <c r="P641" s="250"/>
      <c r="Q641" s="250"/>
    </row>
    <row r="642" spans="1:17" ht="24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  <c r="M642" s="250"/>
      <c r="N642" s="250"/>
      <c r="O642" s="250"/>
      <c r="P642" s="250"/>
      <c r="Q642" s="250"/>
    </row>
    <row r="643" spans="1:17" ht="24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  <c r="M643" s="250"/>
      <c r="N643" s="250"/>
      <c r="O643" s="250"/>
      <c r="P643" s="250"/>
      <c r="Q643" s="250"/>
    </row>
    <row r="644" spans="1:17" ht="2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  <c r="M644" s="250"/>
      <c r="N644" s="250"/>
      <c r="O644" s="250"/>
      <c r="P644" s="250"/>
      <c r="Q644" s="250"/>
    </row>
    <row r="645" spans="1:17" ht="24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  <c r="M645" s="250"/>
      <c r="N645" s="250"/>
      <c r="O645" s="250"/>
      <c r="P645" s="250"/>
      <c r="Q645" s="250"/>
    </row>
    <row r="646" spans="1:17" ht="24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  <c r="M646" s="250"/>
      <c r="N646" s="250"/>
      <c r="O646" s="250"/>
      <c r="P646" s="250"/>
      <c r="Q646" s="250"/>
    </row>
    <row r="647" spans="1:17" ht="24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  <c r="M647" s="250"/>
      <c r="N647" s="250"/>
      <c r="O647" s="250"/>
      <c r="P647" s="250"/>
      <c r="Q647" s="250"/>
    </row>
    <row r="648" spans="1:17" ht="24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  <c r="M648" s="250"/>
      <c r="N648" s="250"/>
      <c r="O648" s="250"/>
      <c r="P648" s="250"/>
      <c r="Q648" s="250"/>
    </row>
    <row r="649" spans="1:17" ht="24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  <c r="M649" s="250"/>
      <c r="N649" s="250"/>
      <c r="O649" s="250"/>
      <c r="P649" s="250"/>
      <c r="Q649" s="250"/>
    </row>
    <row r="650" spans="1:17" ht="24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  <c r="M650" s="250"/>
      <c r="N650" s="250"/>
      <c r="O650" s="250"/>
      <c r="P650" s="250"/>
      <c r="Q650" s="250"/>
    </row>
    <row r="651" spans="1:17" ht="24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  <c r="M651" s="250"/>
      <c r="N651" s="250"/>
      <c r="O651" s="250"/>
      <c r="P651" s="250"/>
      <c r="Q651" s="250"/>
    </row>
    <row r="652" spans="1:17" ht="24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  <c r="M652" s="250"/>
      <c r="N652" s="250"/>
      <c r="O652" s="250"/>
      <c r="P652" s="250"/>
      <c r="Q652" s="250"/>
    </row>
    <row r="653" spans="1:17" ht="24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  <c r="M653" s="250"/>
      <c r="N653" s="250"/>
      <c r="O653" s="250"/>
      <c r="P653" s="250"/>
      <c r="Q653" s="250"/>
    </row>
    <row r="654" spans="1:17" ht="2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  <c r="M654" s="250"/>
      <c r="N654" s="250"/>
      <c r="O654" s="250"/>
      <c r="P654" s="250"/>
      <c r="Q654" s="250"/>
    </row>
    <row r="655" spans="1:17" ht="24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  <c r="M655" s="250"/>
      <c r="N655" s="250"/>
      <c r="O655" s="250"/>
      <c r="P655" s="250"/>
      <c r="Q655" s="250"/>
    </row>
    <row r="656" spans="1:17" ht="24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  <c r="M656" s="250"/>
      <c r="N656" s="250"/>
      <c r="O656" s="250"/>
      <c r="P656" s="250"/>
      <c r="Q656" s="250"/>
    </row>
    <row r="657" spans="1:17" ht="24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  <c r="M657" s="250"/>
      <c r="N657" s="250"/>
      <c r="O657" s="250"/>
      <c r="P657" s="250"/>
      <c r="Q657" s="250"/>
    </row>
    <row r="658" spans="1:17" ht="24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  <c r="M658" s="250"/>
      <c r="N658" s="250"/>
      <c r="O658" s="250"/>
      <c r="P658" s="250"/>
      <c r="Q658" s="250"/>
    </row>
    <row r="659" spans="1:17" ht="24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  <c r="M659" s="250"/>
      <c r="N659" s="250"/>
      <c r="O659" s="250"/>
      <c r="P659" s="250"/>
      <c r="Q659" s="250"/>
    </row>
    <row r="660" spans="1:17" ht="24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  <c r="M660" s="250"/>
      <c r="N660" s="250"/>
      <c r="O660" s="250"/>
      <c r="P660" s="250"/>
      <c r="Q660" s="250"/>
    </row>
    <row r="661" spans="1:17" ht="24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  <c r="M661" s="250"/>
      <c r="N661" s="250"/>
      <c r="O661" s="250"/>
      <c r="P661" s="250"/>
      <c r="Q661" s="250"/>
    </row>
    <row r="662" spans="1:17" ht="24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  <c r="M662" s="250"/>
      <c r="N662" s="250"/>
      <c r="O662" s="250"/>
      <c r="P662" s="250"/>
      <c r="Q662" s="250"/>
    </row>
    <row r="663" spans="1:17" ht="24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  <c r="M663" s="250"/>
      <c r="N663" s="250"/>
      <c r="O663" s="250"/>
      <c r="P663" s="250"/>
      <c r="Q663" s="250"/>
    </row>
    <row r="664" spans="1:17" ht="2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  <c r="M664" s="250"/>
      <c r="N664" s="250"/>
      <c r="O664" s="250"/>
      <c r="P664" s="250"/>
      <c r="Q664" s="250"/>
    </row>
    <row r="665" spans="1:17" ht="24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  <c r="M665" s="250"/>
      <c r="N665" s="250"/>
      <c r="O665" s="250"/>
      <c r="P665" s="250"/>
      <c r="Q665" s="250"/>
    </row>
    <row r="666" spans="1:17" ht="24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  <c r="M666" s="250"/>
      <c r="N666" s="250"/>
      <c r="O666" s="250"/>
      <c r="P666" s="250"/>
      <c r="Q666" s="250"/>
    </row>
    <row r="667" spans="1:17" ht="24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  <c r="M667" s="250"/>
      <c r="N667" s="250"/>
      <c r="O667" s="250"/>
      <c r="P667" s="250"/>
      <c r="Q667" s="250"/>
    </row>
    <row r="668" spans="1:17" ht="24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  <c r="M668" s="250"/>
      <c r="N668" s="250"/>
      <c r="O668" s="250"/>
      <c r="P668" s="250"/>
      <c r="Q668" s="250"/>
    </row>
    <row r="669" spans="1:17" ht="24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  <c r="M669" s="250"/>
      <c r="N669" s="250"/>
      <c r="O669" s="250"/>
      <c r="P669" s="250"/>
      <c r="Q669" s="250"/>
    </row>
    <row r="670" spans="1:17" ht="24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  <c r="M670" s="250"/>
      <c r="N670" s="250"/>
      <c r="O670" s="250"/>
      <c r="P670" s="250"/>
      <c r="Q670" s="250"/>
    </row>
    <row r="671" spans="1:17" ht="24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  <c r="M671" s="250"/>
      <c r="N671" s="250"/>
      <c r="O671" s="250"/>
      <c r="P671" s="250"/>
      <c r="Q671" s="250"/>
    </row>
    <row r="672" spans="1:17" ht="24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  <c r="M672" s="250"/>
      <c r="N672" s="250"/>
      <c r="O672" s="250"/>
      <c r="P672" s="250"/>
      <c r="Q672" s="250"/>
    </row>
    <row r="673" spans="1:17" ht="24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  <c r="M673" s="250"/>
      <c r="N673" s="250"/>
      <c r="O673" s="250"/>
      <c r="P673" s="250"/>
      <c r="Q673" s="250"/>
    </row>
    <row r="674" spans="1:17" ht="2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  <c r="M674" s="250"/>
      <c r="N674" s="250"/>
      <c r="O674" s="250"/>
      <c r="P674" s="250"/>
      <c r="Q674" s="250"/>
    </row>
    <row r="675" spans="1:17" ht="24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  <c r="M675" s="250"/>
      <c r="N675" s="250"/>
      <c r="O675" s="250"/>
      <c r="P675" s="250"/>
      <c r="Q675" s="250"/>
    </row>
    <row r="676" spans="1:17" ht="24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  <c r="M676" s="250"/>
      <c r="N676" s="250"/>
      <c r="O676" s="250"/>
      <c r="P676" s="250"/>
      <c r="Q676" s="250"/>
    </row>
    <row r="677" spans="1:17" ht="24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  <c r="M677" s="250"/>
      <c r="N677" s="250"/>
      <c r="O677" s="250"/>
      <c r="P677" s="250"/>
      <c r="Q677" s="250"/>
    </row>
    <row r="678" spans="1:17" ht="24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  <c r="M678" s="250"/>
      <c r="N678" s="250"/>
      <c r="O678" s="250"/>
      <c r="P678" s="250"/>
      <c r="Q678" s="250"/>
    </row>
    <row r="679" spans="1:17" ht="24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  <c r="M679" s="250"/>
      <c r="N679" s="250"/>
      <c r="O679" s="250"/>
      <c r="P679" s="250"/>
      <c r="Q679" s="250"/>
    </row>
    <row r="680" spans="1:17" ht="24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  <c r="M680" s="250"/>
      <c r="N680" s="250"/>
      <c r="O680" s="250"/>
      <c r="P680" s="250"/>
      <c r="Q680" s="250"/>
    </row>
    <row r="681" spans="1:17" ht="24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  <c r="M681" s="250"/>
      <c r="N681" s="250"/>
      <c r="O681" s="250"/>
      <c r="P681" s="250"/>
      <c r="Q681" s="250"/>
    </row>
    <row r="682" spans="1:17" ht="24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  <c r="M682" s="250"/>
      <c r="N682" s="250"/>
      <c r="O682" s="250"/>
      <c r="P682" s="250"/>
      <c r="Q682" s="250"/>
    </row>
    <row r="683" spans="1:17" ht="24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  <c r="M683" s="250"/>
      <c r="N683" s="250"/>
      <c r="O683" s="250"/>
      <c r="P683" s="250"/>
      <c r="Q683" s="250"/>
    </row>
    <row r="684" spans="1:17" ht="2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  <c r="M684" s="250"/>
      <c r="N684" s="250"/>
      <c r="O684" s="250"/>
      <c r="P684" s="250"/>
      <c r="Q684" s="250"/>
    </row>
    <row r="685" spans="1:17" ht="24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  <c r="M685" s="250"/>
      <c r="N685" s="250"/>
      <c r="O685" s="250"/>
      <c r="P685" s="250"/>
      <c r="Q685" s="250"/>
    </row>
    <row r="686" spans="1:17" ht="24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  <c r="M686" s="250"/>
      <c r="N686" s="250"/>
      <c r="O686" s="250"/>
      <c r="P686" s="250"/>
      <c r="Q686" s="250"/>
    </row>
    <row r="687" spans="1:17" ht="24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  <c r="M687" s="250"/>
      <c r="N687" s="250"/>
      <c r="O687" s="250"/>
      <c r="P687" s="250"/>
      <c r="Q687" s="250"/>
    </row>
    <row r="688" spans="1:17" ht="24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  <c r="M688" s="250"/>
      <c r="N688" s="250"/>
      <c r="O688" s="250"/>
      <c r="P688" s="250"/>
      <c r="Q688" s="250"/>
    </row>
    <row r="689" spans="1:17" ht="24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  <c r="M689" s="250"/>
      <c r="N689" s="250"/>
      <c r="O689" s="250"/>
      <c r="P689" s="250"/>
      <c r="Q689" s="250"/>
    </row>
    <row r="690" spans="1:17" ht="24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  <c r="M690" s="250"/>
      <c r="N690" s="250"/>
      <c r="O690" s="250"/>
      <c r="P690" s="250"/>
      <c r="Q690" s="250"/>
    </row>
    <row r="691" spans="1:17" ht="24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  <c r="M691" s="250"/>
      <c r="N691" s="250"/>
      <c r="O691" s="250"/>
      <c r="P691" s="250"/>
      <c r="Q691" s="250"/>
    </row>
    <row r="692" spans="1:17" ht="24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  <c r="M692" s="250"/>
      <c r="N692" s="250"/>
      <c r="O692" s="250"/>
      <c r="P692" s="250"/>
      <c r="Q692" s="250"/>
    </row>
    <row r="693" spans="1:17" ht="24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  <c r="M693" s="250"/>
      <c r="N693" s="250"/>
      <c r="O693" s="250"/>
      <c r="P693" s="250"/>
      <c r="Q693" s="250"/>
    </row>
    <row r="694" spans="1:17" ht="2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  <c r="M694" s="250"/>
      <c r="N694" s="250"/>
      <c r="O694" s="250"/>
      <c r="P694" s="250"/>
      <c r="Q694" s="250"/>
    </row>
    <row r="695" spans="1:17" ht="24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  <c r="M695" s="250"/>
      <c r="N695" s="250"/>
      <c r="O695" s="250"/>
      <c r="P695" s="250"/>
      <c r="Q695" s="250"/>
    </row>
    <row r="696" spans="1:17" ht="24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  <c r="M696" s="250"/>
      <c r="N696" s="250"/>
      <c r="O696" s="250"/>
      <c r="P696" s="250"/>
      <c r="Q696" s="250"/>
    </row>
    <row r="697" spans="1:17" ht="24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  <c r="M697" s="250"/>
      <c r="N697" s="250"/>
      <c r="O697" s="250"/>
      <c r="P697" s="250"/>
      <c r="Q697" s="250"/>
    </row>
    <row r="698" spans="1:17" ht="24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  <c r="M698" s="250"/>
      <c r="N698" s="250"/>
      <c r="O698" s="250"/>
      <c r="P698" s="250"/>
      <c r="Q698" s="250"/>
    </row>
    <row r="699" spans="1:17" ht="24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  <c r="M699" s="250"/>
      <c r="N699" s="250"/>
      <c r="O699" s="250"/>
      <c r="P699" s="250"/>
      <c r="Q699" s="250"/>
    </row>
    <row r="700" spans="1:17" ht="24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  <c r="M700" s="250"/>
      <c r="N700" s="250"/>
      <c r="O700" s="250"/>
      <c r="P700" s="250"/>
      <c r="Q700" s="250"/>
    </row>
    <row r="701" spans="1:17" ht="24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  <c r="M701" s="250"/>
      <c r="N701" s="250"/>
      <c r="O701" s="250"/>
      <c r="P701" s="250"/>
      <c r="Q701" s="250"/>
    </row>
    <row r="702" spans="1:17" ht="24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  <c r="M702" s="250"/>
      <c r="N702" s="250"/>
      <c r="O702" s="250"/>
      <c r="P702" s="250"/>
      <c r="Q702" s="250"/>
    </row>
    <row r="703" spans="1:17" ht="24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  <c r="M703" s="250"/>
      <c r="N703" s="250"/>
      <c r="O703" s="250"/>
      <c r="P703" s="250"/>
      <c r="Q703" s="250"/>
    </row>
    <row r="704" spans="1:17" ht="2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  <c r="M704" s="250"/>
      <c r="N704" s="250"/>
      <c r="O704" s="250"/>
      <c r="P704" s="250"/>
      <c r="Q704" s="250"/>
    </row>
    <row r="705" spans="1:17" ht="24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  <c r="M705" s="250"/>
      <c r="N705" s="250"/>
      <c r="O705" s="250"/>
      <c r="P705" s="250"/>
      <c r="Q705" s="250"/>
    </row>
    <row r="706" spans="1:17" ht="24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  <c r="M706" s="250"/>
      <c r="N706" s="250"/>
      <c r="O706" s="250"/>
      <c r="P706" s="250"/>
      <c r="Q706" s="250"/>
    </row>
    <row r="707" spans="1:17" ht="24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  <c r="M707" s="250"/>
      <c r="N707" s="250"/>
      <c r="O707" s="250"/>
      <c r="P707" s="250"/>
      <c r="Q707" s="250"/>
    </row>
    <row r="708" spans="1:17" ht="24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  <c r="M708" s="250"/>
      <c r="N708" s="250"/>
      <c r="O708" s="250"/>
      <c r="P708" s="250"/>
      <c r="Q708" s="250"/>
    </row>
    <row r="709" spans="1:17" ht="24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  <c r="M709" s="250"/>
      <c r="N709" s="250"/>
      <c r="O709" s="250"/>
      <c r="P709" s="250"/>
      <c r="Q709" s="250"/>
    </row>
    <row r="710" spans="1:17" ht="24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  <c r="M710" s="250"/>
      <c r="N710" s="250"/>
      <c r="O710" s="250"/>
      <c r="P710" s="250"/>
      <c r="Q710" s="250"/>
    </row>
    <row r="711" spans="1:17" ht="24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  <c r="M711" s="250"/>
      <c r="N711" s="250"/>
      <c r="O711" s="250"/>
      <c r="P711" s="250"/>
      <c r="Q711" s="250"/>
    </row>
    <row r="712" spans="1:17" ht="24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</row>
    <row r="713" spans="1:17" ht="24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  <c r="M713" s="250"/>
      <c r="N713" s="250"/>
      <c r="O713" s="250"/>
      <c r="P713" s="250"/>
      <c r="Q713" s="250"/>
    </row>
    <row r="714" spans="1:17" ht="2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  <c r="M714" s="250"/>
      <c r="N714" s="250"/>
      <c r="O714" s="250"/>
      <c r="P714" s="250"/>
      <c r="Q714" s="250"/>
    </row>
    <row r="715" spans="1:17" ht="24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  <c r="M715" s="250"/>
      <c r="N715" s="250"/>
      <c r="O715" s="250"/>
      <c r="P715" s="250"/>
      <c r="Q715" s="250"/>
    </row>
    <row r="716" spans="1:17" ht="24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  <c r="M716" s="250"/>
      <c r="N716" s="250"/>
      <c r="O716" s="250"/>
      <c r="P716" s="250"/>
      <c r="Q716" s="250"/>
    </row>
    <row r="717" spans="1:17" ht="24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  <c r="M717" s="250"/>
      <c r="N717" s="250"/>
      <c r="O717" s="250"/>
      <c r="P717" s="250"/>
      <c r="Q717" s="250"/>
    </row>
    <row r="718" spans="1:17" ht="24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  <c r="M718" s="250"/>
      <c r="N718" s="250"/>
      <c r="O718" s="250"/>
      <c r="P718" s="250"/>
      <c r="Q718" s="250"/>
    </row>
    <row r="719" spans="1:17" ht="24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  <c r="M719" s="250"/>
      <c r="N719" s="250"/>
      <c r="O719" s="250"/>
      <c r="P719" s="250"/>
      <c r="Q719" s="250"/>
    </row>
    <row r="720" spans="1:17" ht="24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  <c r="M720" s="250"/>
      <c r="N720" s="250"/>
      <c r="O720" s="250"/>
      <c r="P720" s="250"/>
      <c r="Q720" s="250"/>
    </row>
    <row r="721" spans="1:17" ht="24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  <c r="M721" s="250"/>
      <c r="N721" s="250"/>
      <c r="O721" s="250"/>
      <c r="P721" s="250"/>
      <c r="Q721" s="250"/>
    </row>
    <row r="722" spans="1:17" ht="24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  <c r="M722" s="250"/>
      <c r="N722" s="250"/>
      <c r="O722" s="250"/>
      <c r="P722" s="250"/>
      <c r="Q722" s="250"/>
    </row>
    <row r="723" spans="1:17" ht="24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  <c r="M723" s="250"/>
      <c r="N723" s="250"/>
      <c r="O723" s="250"/>
      <c r="P723" s="250"/>
      <c r="Q723" s="250"/>
    </row>
    <row r="724" spans="1:17" ht="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  <c r="M724" s="250"/>
      <c r="N724" s="250"/>
      <c r="O724" s="250"/>
      <c r="P724" s="250"/>
      <c r="Q724" s="250"/>
    </row>
    <row r="725" spans="1:17" ht="24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  <c r="M725" s="250"/>
      <c r="N725" s="250"/>
      <c r="O725" s="250"/>
      <c r="P725" s="250"/>
      <c r="Q725" s="250"/>
    </row>
    <row r="726" spans="1:17" ht="24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  <c r="M726" s="250"/>
      <c r="N726" s="250"/>
      <c r="O726" s="250"/>
      <c r="P726" s="250"/>
      <c r="Q726" s="250"/>
    </row>
    <row r="727" spans="1:17" ht="24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  <c r="M727" s="250"/>
      <c r="N727" s="250"/>
      <c r="O727" s="250"/>
      <c r="P727" s="250"/>
      <c r="Q727" s="250"/>
    </row>
    <row r="728" spans="1:17" ht="24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  <c r="M728" s="250"/>
      <c r="N728" s="250"/>
      <c r="O728" s="250"/>
      <c r="P728" s="250"/>
      <c r="Q728" s="250"/>
    </row>
    <row r="729" spans="1:17" ht="24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  <c r="M729" s="250"/>
      <c r="N729" s="250"/>
      <c r="O729" s="250"/>
      <c r="P729" s="250"/>
      <c r="Q729" s="250"/>
    </row>
    <row r="730" spans="1:17" ht="24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  <c r="M730" s="250"/>
      <c r="N730" s="250"/>
      <c r="O730" s="250"/>
      <c r="P730" s="250"/>
      <c r="Q730" s="250"/>
    </row>
    <row r="731" spans="1:17" ht="24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  <c r="M731" s="250"/>
      <c r="N731" s="250"/>
      <c r="O731" s="250"/>
      <c r="P731" s="250"/>
      <c r="Q731" s="250"/>
    </row>
    <row r="732" spans="1:17" ht="24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  <c r="M732" s="250"/>
      <c r="N732" s="250"/>
      <c r="O732" s="250"/>
      <c r="P732" s="250"/>
      <c r="Q732" s="250"/>
    </row>
    <row r="733" spans="1:17" ht="24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  <c r="M733" s="250"/>
      <c r="N733" s="250"/>
      <c r="O733" s="250"/>
      <c r="P733" s="250"/>
      <c r="Q733" s="250"/>
    </row>
    <row r="734" spans="1:17" ht="2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  <c r="M734" s="250"/>
      <c r="N734" s="250"/>
      <c r="O734" s="250"/>
      <c r="P734" s="250"/>
      <c r="Q734" s="250"/>
    </row>
    <row r="735" spans="1:17" ht="24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  <c r="M735" s="250"/>
      <c r="N735" s="250"/>
      <c r="O735" s="250"/>
      <c r="P735" s="250"/>
      <c r="Q735" s="250"/>
    </row>
    <row r="736" spans="1:17" ht="24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  <c r="M736" s="250"/>
      <c r="N736" s="250"/>
      <c r="O736" s="250"/>
      <c r="P736" s="250"/>
      <c r="Q736" s="250"/>
    </row>
    <row r="737" spans="1:17" ht="24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  <c r="M737" s="250"/>
      <c r="N737" s="250"/>
      <c r="O737" s="250"/>
      <c r="P737" s="250"/>
      <c r="Q737" s="250"/>
    </row>
    <row r="738" spans="1:17" ht="24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  <c r="M738" s="250"/>
      <c r="N738" s="250"/>
      <c r="O738" s="250"/>
      <c r="P738" s="250"/>
      <c r="Q738" s="250"/>
    </row>
    <row r="739" spans="1:17" ht="24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  <c r="M739" s="250"/>
      <c r="N739" s="250"/>
      <c r="O739" s="250"/>
      <c r="P739" s="250"/>
      <c r="Q739" s="250"/>
    </row>
    <row r="740" spans="1:17" ht="24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  <c r="M740" s="250"/>
      <c r="N740" s="250"/>
      <c r="O740" s="250"/>
      <c r="P740" s="250"/>
      <c r="Q740" s="250"/>
    </row>
    <row r="741" spans="1:17" ht="24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  <c r="M741" s="250"/>
      <c r="N741" s="250"/>
      <c r="O741" s="250"/>
      <c r="P741" s="250"/>
      <c r="Q741" s="250"/>
    </row>
    <row r="742" spans="1:17" ht="24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  <c r="M742" s="250"/>
      <c r="N742" s="250"/>
      <c r="O742" s="250"/>
      <c r="P742" s="250"/>
      <c r="Q742" s="250"/>
    </row>
    <row r="743" spans="1:17" ht="24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  <c r="M743" s="250"/>
      <c r="N743" s="250"/>
      <c r="O743" s="250"/>
      <c r="P743" s="250"/>
      <c r="Q743" s="250"/>
    </row>
    <row r="744" spans="1:17" ht="2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  <c r="M744" s="250"/>
      <c r="N744" s="250"/>
      <c r="O744" s="250"/>
      <c r="P744" s="250"/>
      <c r="Q744" s="250"/>
    </row>
    <row r="745" spans="1:17" ht="24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0"/>
    </row>
    <row r="746" spans="1:17" ht="24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  <c r="M746" s="250"/>
      <c r="N746" s="250"/>
      <c r="O746" s="250"/>
      <c r="P746" s="250"/>
      <c r="Q746" s="250"/>
    </row>
    <row r="747" spans="1:17" ht="24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  <c r="M747" s="250"/>
      <c r="N747" s="250"/>
      <c r="O747" s="250"/>
      <c r="P747" s="250"/>
      <c r="Q747" s="250"/>
    </row>
    <row r="748" spans="1:17" ht="24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  <c r="M748" s="250"/>
      <c r="N748" s="250"/>
      <c r="O748" s="250"/>
      <c r="P748" s="250"/>
      <c r="Q748" s="250"/>
    </row>
    <row r="749" spans="1:17" ht="24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  <c r="M749" s="250"/>
      <c r="N749" s="250"/>
      <c r="O749" s="250"/>
      <c r="P749" s="250"/>
      <c r="Q749" s="250"/>
    </row>
    <row r="750" spans="1:17" ht="24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  <c r="M750" s="250"/>
      <c r="N750" s="250"/>
      <c r="O750" s="250"/>
      <c r="P750" s="250"/>
      <c r="Q750" s="250"/>
    </row>
    <row r="751" spans="1:17" ht="24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  <c r="M751" s="250"/>
      <c r="N751" s="250"/>
      <c r="O751" s="250"/>
      <c r="P751" s="250"/>
      <c r="Q751" s="250"/>
    </row>
    <row r="752" spans="1:17" ht="24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  <c r="M752" s="250"/>
      <c r="N752" s="250"/>
      <c r="O752" s="250"/>
      <c r="P752" s="250"/>
      <c r="Q752" s="250"/>
    </row>
    <row r="753" spans="1:17" ht="24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  <c r="M753" s="250"/>
      <c r="N753" s="250"/>
      <c r="O753" s="250"/>
      <c r="P753" s="250"/>
      <c r="Q753" s="250"/>
    </row>
    <row r="754" spans="1:17" ht="2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  <c r="M754" s="250"/>
      <c r="N754" s="250"/>
      <c r="O754" s="250"/>
      <c r="P754" s="250"/>
      <c r="Q754" s="250"/>
    </row>
    <row r="755" spans="1:17" ht="24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  <c r="M755" s="250"/>
      <c r="N755" s="250"/>
      <c r="O755" s="250"/>
      <c r="P755" s="250"/>
      <c r="Q755" s="250"/>
    </row>
    <row r="756" spans="1:17" ht="24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  <c r="M756" s="250"/>
      <c r="N756" s="250"/>
      <c r="O756" s="250"/>
      <c r="P756" s="250"/>
      <c r="Q756" s="250"/>
    </row>
    <row r="757" spans="1:17" ht="24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  <c r="M757" s="250"/>
      <c r="N757" s="250"/>
      <c r="O757" s="250"/>
      <c r="P757" s="250"/>
      <c r="Q757" s="250"/>
    </row>
    <row r="758" spans="1:17" ht="24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  <c r="M758" s="250"/>
      <c r="N758" s="250"/>
      <c r="O758" s="250"/>
      <c r="P758" s="250"/>
      <c r="Q758" s="250"/>
    </row>
    <row r="759" spans="1:17" ht="24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  <c r="M759" s="250"/>
      <c r="N759" s="250"/>
      <c r="O759" s="250"/>
      <c r="P759" s="250"/>
      <c r="Q759" s="250"/>
    </row>
    <row r="760" spans="1:17" ht="24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  <c r="M760" s="250"/>
      <c r="N760" s="250"/>
      <c r="O760" s="250"/>
      <c r="P760" s="250"/>
      <c r="Q760" s="250"/>
    </row>
    <row r="761" spans="1:17" ht="24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  <c r="M761" s="250"/>
      <c r="N761" s="250"/>
      <c r="O761" s="250"/>
      <c r="P761" s="250"/>
      <c r="Q761" s="250"/>
    </row>
    <row r="762" spans="1:17" ht="24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  <c r="M762" s="250"/>
      <c r="N762" s="250"/>
      <c r="O762" s="250"/>
      <c r="P762" s="250"/>
      <c r="Q762" s="250"/>
    </row>
    <row r="763" spans="1:17" ht="24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  <c r="M763" s="250"/>
      <c r="N763" s="250"/>
      <c r="O763" s="250"/>
      <c r="P763" s="250"/>
      <c r="Q763" s="250"/>
    </row>
    <row r="764" spans="1:17" ht="2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  <c r="M764" s="250"/>
      <c r="N764" s="250"/>
      <c r="O764" s="250"/>
      <c r="P764" s="250"/>
      <c r="Q764" s="250"/>
    </row>
    <row r="765" spans="1:17" ht="24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  <c r="M765" s="250"/>
      <c r="N765" s="250"/>
      <c r="O765" s="250"/>
      <c r="P765" s="250"/>
      <c r="Q765" s="250"/>
    </row>
    <row r="766" spans="1:17" ht="24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  <c r="M766" s="250"/>
      <c r="N766" s="250"/>
      <c r="O766" s="250"/>
      <c r="P766" s="250"/>
      <c r="Q766" s="250"/>
    </row>
    <row r="767" spans="1:17" ht="24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  <c r="M767" s="250"/>
      <c r="N767" s="250"/>
      <c r="O767" s="250"/>
      <c r="P767" s="250"/>
      <c r="Q767" s="250"/>
    </row>
    <row r="768" spans="1:17" ht="24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  <c r="M768" s="250"/>
      <c r="N768" s="250"/>
      <c r="O768" s="250"/>
      <c r="P768" s="250"/>
      <c r="Q768" s="250"/>
    </row>
    <row r="769" spans="1:17" ht="24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  <c r="M769" s="250"/>
      <c r="N769" s="250"/>
      <c r="O769" s="250"/>
      <c r="P769" s="250"/>
      <c r="Q769" s="250"/>
    </row>
    <row r="770" spans="1:17" ht="24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  <c r="M770" s="250"/>
      <c r="N770" s="250"/>
      <c r="O770" s="250"/>
      <c r="P770" s="250"/>
      <c r="Q770" s="250"/>
    </row>
    <row r="771" spans="1:17" ht="24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  <c r="M771" s="250"/>
      <c r="N771" s="250"/>
      <c r="O771" s="250"/>
      <c r="P771" s="250"/>
      <c r="Q771" s="250"/>
    </row>
    <row r="772" spans="1:17" ht="24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  <c r="M772" s="250"/>
      <c r="N772" s="250"/>
      <c r="O772" s="250"/>
      <c r="P772" s="250"/>
      <c r="Q772" s="250"/>
    </row>
    <row r="773" spans="1:17" ht="24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  <c r="M773" s="250"/>
      <c r="N773" s="250"/>
      <c r="O773" s="250"/>
      <c r="P773" s="250"/>
      <c r="Q773" s="250"/>
    </row>
    <row r="774" spans="1:17" ht="2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  <c r="M774" s="250"/>
      <c r="N774" s="250"/>
      <c r="O774" s="250"/>
      <c r="P774" s="250"/>
      <c r="Q774" s="250"/>
    </row>
    <row r="775" spans="1:17" ht="24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  <c r="M775" s="250"/>
      <c r="N775" s="250"/>
      <c r="O775" s="250"/>
      <c r="P775" s="250"/>
      <c r="Q775" s="250"/>
    </row>
    <row r="776" spans="1:17" ht="24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  <c r="M776" s="250"/>
      <c r="N776" s="250"/>
      <c r="O776" s="250"/>
      <c r="P776" s="250"/>
      <c r="Q776" s="250"/>
    </row>
    <row r="777" spans="1:17" ht="24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  <c r="M777" s="250"/>
      <c r="N777" s="250"/>
      <c r="O777" s="250"/>
      <c r="P777" s="250"/>
      <c r="Q777" s="250"/>
    </row>
    <row r="778" spans="1:17" ht="24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  <c r="M778" s="250"/>
      <c r="N778" s="250"/>
      <c r="O778" s="250"/>
      <c r="P778" s="250"/>
      <c r="Q778" s="250"/>
    </row>
    <row r="779" spans="1:17" ht="24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  <c r="M779" s="250"/>
      <c r="N779" s="250"/>
      <c r="O779" s="250"/>
      <c r="P779" s="250"/>
      <c r="Q779" s="250"/>
    </row>
    <row r="780" spans="1:17" ht="24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  <c r="M780" s="250"/>
      <c r="N780" s="250"/>
      <c r="O780" s="250"/>
      <c r="P780" s="250"/>
      <c r="Q780" s="250"/>
    </row>
    <row r="781" spans="1:17" ht="24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  <c r="M781" s="250"/>
      <c r="N781" s="250"/>
      <c r="O781" s="250"/>
      <c r="P781" s="250"/>
      <c r="Q781" s="250"/>
    </row>
    <row r="782" spans="1:17" ht="24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  <c r="M782" s="250"/>
      <c r="N782" s="250"/>
      <c r="O782" s="250"/>
      <c r="P782" s="250"/>
      <c r="Q782" s="250"/>
    </row>
    <row r="783" spans="1:17" ht="24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  <c r="M783" s="250"/>
      <c r="N783" s="250"/>
      <c r="O783" s="250"/>
      <c r="P783" s="250"/>
      <c r="Q783" s="250"/>
    </row>
    <row r="784" spans="1:17" ht="2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  <c r="M784" s="250"/>
      <c r="N784" s="250"/>
      <c r="O784" s="250"/>
      <c r="P784" s="250"/>
      <c r="Q784" s="250"/>
    </row>
    <row r="785" spans="1:17" ht="24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  <c r="M785" s="250"/>
      <c r="N785" s="250"/>
      <c r="O785" s="250"/>
      <c r="P785" s="250"/>
      <c r="Q785" s="250"/>
    </row>
    <row r="786" spans="1:17" ht="24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  <c r="M786" s="250"/>
      <c r="N786" s="250"/>
      <c r="O786" s="250"/>
      <c r="P786" s="250"/>
      <c r="Q786" s="250"/>
    </row>
    <row r="787" spans="1:17" ht="24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  <c r="M787" s="250"/>
      <c r="N787" s="250"/>
      <c r="O787" s="250"/>
      <c r="P787" s="250"/>
      <c r="Q787" s="250"/>
    </row>
    <row r="788" spans="1:17" ht="24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  <c r="M788" s="250"/>
      <c r="N788" s="250"/>
      <c r="O788" s="250"/>
      <c r="P788" s="250"/>
      <c r="Q788" s="250"/>
    </row>
    <row r="789" spans="1:17" ht="24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  <c r="M789" s="250"/>
      <c r="N789" s="250"/>
      <c r="O789" s="250"/>
      <c r="P789" s="250"/>
      <c r="Q789" s="250"/>
    </row>
    <row r="790" spans="1:17" ht="24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  <c r="M790" s="250"/>
      <c r="N790" s="250"/>
      <c r="O790" s="250"/>
      <c r="P790" s="250"/>
      <c r="Q790" s="250"/>
    </row>
    <row r="791" spans="1:17" ht="24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  <c r="M791" s="250"/>
      <c r="N791" s="250"/>
      <c r="O791" s="250"/>
      <c r="P791" s="250"/>
      <c r="Q791" s="250"/>
    </row>
    <row r="792" spans="1:17" ht="24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  <c r="M792" s="250"/>
      <c r="N792" s="250"/>
      <c r="O792" s="250"/>
      <c r="P792" s="250"/>
      <c r="Q792" s="250"/>
    </row>
    <row r="793" spans="1:17" ht="24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  <c r="M793" s="250"/>
      <c r="N793" s="250"/>
      <c r="O793" s="250"/>
      <c r="P793" s="250"/>
      <c r="Q793" s="250"/>
    </row>
    <row r="794" spans="1:17" ht="2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  <c r="M794" s="250"/>
      <c r="N794" s="250"/>
      <c r="O794" s="250"/>
      <c r="P794" s="250"/>
      <c r="Q794" s="250"/>
    </row>
    <row r="795" spans="1:17" ht="24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  <c r="M795" s="250"/>
      <c r="N795" s="250"/>
      <c r="O795" s="250"/>
      <c r="P795" s="250"/>
      <c r="Q795" s="250"/>
    </row>
    <row r="796" spans="1:17" ht="24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  <c r="M796" s="250"/>
      <c r="N796" s="250"/>
      <c r="O796" s="250"/>
      <c r="P796" s="250"/>
      <c r="Q796" s="250"/>
    </row>
    <row r="797" spans="1:17" ht="24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  <c r="M797" s="250"/>
      <c r="N797" s="250"/>
      <c r="O797" s="250"/>
      <c r="P797" s="250"/>
      <c r="Q797" s="250"/>
    </row>
    <row r="798" spans="1:17" ht="24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  <c r="M798" s="250"/>
      <c r="N798" s="250"/>
      <c r="O798" s="250"/>
      <c r="P798" s="250"/>
      <c r="Q798" s="250"/>
    </row>
    <row r="799" spans="1:17" ht="24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  <c r="M799" s="250"/>
      <c r="N799" s="250"/>
      <c r="O799" s="250"/>
      <c r="P799" s="250"/>
      <c r="Q799" s="250"/>
    </row>
    <row r="800" spans="1:17" ht="24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  <c r="M800" s="250"/>
      <c r="N800" s="250"/>
      <c r="O800" s="250"/>
      <c r="P800" s="250"/>
      <c r="Q800" s="250"/>
    </row>
    <row r="801" spans="1:17" ht="24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  <c r="M801" s="250"/>
      <c r="N801" s="250"/>
      <c r="O801" s="250"/>
      <c r="P801" s="250"/>
      <c r="Q801" s="250"/>
    </row>
    <row r="802" spans="1:17" ht="24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  <c r="M802" s="250"/>
      <c r="N802" s="250"/>
      <c r="O802" s="250"/>
      <c r="P802" s="250"/>
      <c r="Q802" s="250"/>
    </row>
    <row r="803" spans="1:17" ht="24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  <c r="M803" s="250"/>
      <c r="N803" s="250"/>
      <c r="O803" s="250"/>
      <c r="P803" s="250"/>
      <c r="Q803" s="250"/>
    </row>
    <row r="804" spans="1:17" ht="2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  <c r="M804" s="250"/>
      <c r="N804" s="250"/>
      <c r="O804" s="250"/>
      <c r="P804" s="250"/>
      <c r="Q804" s="250"/>
    </row>
    <row r="805" spans="1:17" ht="24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  <c r="M805" s="250"/>
      <c r="N805" s="250"/>
      <c r="O805" s="250"/>
      <c r="P805" s="250"/>
      <c r="Q805" s="250"/>
    </row>
    <row r="806" spans="1:17" ht="24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  <c r="M806" s="250"/>
      <c r="N806" s="250"/>
      <c r="O806" s="250"/>
      <c r="P806" s="250"/>
      <c r="Q806" s="250"/>
    </row>
    <row r="807" spans="1:17" ht="24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  <c r="M807" s="250"/>
      <c r="N807" s="250"/>
      <c r="O807" s="250"/>
      <c r="P807" s="250"/>
      <c r="Q807" s="250"/>
    </row>
    <row r="808" spans="1:17" ht="24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  <c r="M808" s="250"/>
      <c r="N808" s="250"/>
      <c r="O808" s="250"/>
      <c r="P808" s="250"/>
      <c r="Q808" s="250"/>
    </row>
    <row r="809" spans="1:17" ht="24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  <c r="M809" s="250"/>
      <c r="N809" s="250"/>
      <c r="O809" s="250"/>
      <c r="P809" s="250"/>
      <c r="Q809" s="250"/>
    </row>
    <row r="810" spans="1:17" ht="24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  <c r="M810" s="250"/>
      <c r="N810" s="250"/>
      <c r="O810" s="250"/>
      <c r="P810" s="250"/>
      <c r="Q810" s="250"/>
    </row>
    <row r="811" spans="1:17" ht="24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  <c r="M811" s="250"/>
      <c r="N811" s="250"/>
      <c r="O811" s="250"/>
      <c r="P811" s="250"/>
      <c r="Q811" s="250"/>
    </row>
    <row r="812" spans="1:17" ht="24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  <c r="M812" s="250"/>
      <c r="N812" s="250"/>
      <c r="O812" s="250"/>
      <c r="P812" s="250"/>
      <c r="Q812" s="250"/>
    </row>
    <row r="813" spans="1:17" ht="24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  <c r="M813" s="250"/>
      <c r="N813" s="250"/>
      <c r="O813" s="250"/>
      <c r="P813" s="250"/>
      <c r="Q813" s="250"/>
    </row>
    <row r="814" spans="1:17" ht="2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  <c r="M814" s="250"/>
      <c r="N814" s="250"/>
      <c r="O814" s="250"/>
      <c r="P814" s="250"/>
      <c r="Q814" s="250"/>
    </row>
    <row r="815" spans="1:17" ht="24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  <c r="M815" s="250"/>
      <c r="N815" s="250"/>
      <c r="O815" s="250"/>
      <c r="P815" s="250"/>
      <c r="Q815" s="250"/>
    </row>
    <row r="816" spans="1:17" ht="24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  <c r="M816" s="250"/>
      <c r="N816" s="250"/>
      <c r="O816" s="250"/>
      <c r="P816" s="250"/>
      <c r="Q816" s="250"/>
    </row>
    <row r="817" spans="1:17" ht="24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  <c r="M817" s="250"/>
      <c r="N817" s="250"/>
      <c r="O817" s="250"/>
      <c r="P817" s="250"/>
      <c r="Q817" s="250"/>
    </row>
    <row r="818" spans="1:17" ht="24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  <c r="M818" s="250"/>
      <c r="N818" s="250"/>
      <c r="O818" s="250"/>
      <c r="P818" s="250"/>
      <c r="Q818" s="250"/>
    </row>
    <row r="819" spans="1:17" ht="24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  <c r="M819" s="250"/>
      <c r="N819" s="250"/>
      <c r="O819" s="250"/>
      <c r="P819" s="250"/>
      <c r="Q819" s="250"/>
    </row>
    <row r="820" spans="1:17" ht="24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  <c r="M820" s="250"/>
      <c r="N820" s="250"/>
      <c r="O820" s="250"/>
      <c r="P820" s="250"/>
      <c r="Q820" s="250"/>
    </row>
    <row r="821" spans="1:17" ht="24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  <c r="M821" s="250"/>
      <c r="N821" s="250"/>
      <c r="O821" s="250"/>
      <c r="P821" s="250"/>
      <c r="Q821" s="250"/>
    </row>
    <row r="822" spans="1:17" ht="24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  <c r="M822" s="250"/>
      <c r="N822" s="250"/>
      <c r="O822" s="250"/>
      <c r="P822" s="250"/>
      <c r="Q822" s="250"/>
    </row>
    <row r="823" spans="1:17" ht="24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  <c r="M823" s="250"/>
      <c r="N823" s="250"/>
      <c r="O823" s="250"/>
      <c r="P823" s="250"/>
      <c r="Q823" s="250"/>
    </row>
    <row r="824" spans="1:17" ht="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  <c r="M824" s="250"/>
      <c r="N824" s="250"/>
      <c r="O824" s="250"/>
      <c r="P824" s="250"/>
      <c r="Q824" s="250"/>
    </row>
    <row r="825" spans="1:17" ht="24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</row>
    <row r="826" spans="1:17" ht="24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  <c r="M826" s="250"/>
      <c r="N826" s="250"/>
      <c r="O826" s="250"/>
      <c r="P826" s="250"/>
      <c r="Q826" s="250"/>
    </row>
    <row r="827" spans="1:17" ht="24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  <c r="M827" s="250"/>
      <c r="N827" s="250"/>
      <c r="O827" s="250"/>
      <c r="P827" s="250"/>
      <c r="Q827" s="250"/>
    </row>
    <row r="828" spans="1:17" ht="24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  <c r="M828" s="250"/>
      <c r="N828" s="250"/>
      <c r="O828" s="250"/>
      <c r="P828" s="250"/>
      <c r="Q828" s="250"/>
    </row>
    <row r="829" spans="1:17" ht="24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  <c r="M829" s="250"/>
      <c r="N829" s="250"/>
      <c r="O829" s="250"/>
      <c r="P829" s="250"/>
      <c r="Q829" s="250"/>
    </row>
    <row r="830" spans="1:17" ht="24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  <c r="M830" s="250"/>
      <c r="N830" s="250"/>
      <c r="O830" s="250"/>
      <c r="P830" s="250"/>
      <c r="Q830" s="250"/>
    </row>
    <row r="831" spans="1:17" ht="24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  <c r="M831" s="250"/>
      <c r="N831" s="250"/>
      <c r="O831" s="250"/>
      <c r="P831" s="250"/>
      <c r="Q831" s="250"/>
    </row>
    <row r="832" spans="1:17" ht="24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  <c r="M832" s="250"/>
      <c r="N832" s="250"/>
      <c r="O832" s="250"/>
      <c r="P832" s="250"/>
      <c r="Q832" s="250"/>
    </row>
    <row r="833" spans="1:17" ht="24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  <c r="M833" s="250"/>
      <c r="N833" s="250"/>
      <c r="O833" s="250"/>
      <c r="P833" s="250"/>
      <c r="Q833" s="250"/>
    </row>
    <row r="834" spans="1:17" ht="2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  <c r="M834" s="250"/>
      <c r="N834" s="250"/>
      <c r="O834" s="250"/>
      <c r="P834" s="250"/>
      <c r="Q834" s="250"/>
    </row>
    <row r="835" spans="1:17" ht="24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  <c r="M835" s="250"/>
      <c r="N835" s="250"/>
      <c r="O835" s="250"/>
      <c r="P835" s="250"/>
      <c r="Q835" s="250"/>
    </row>
    <row r="836" spans="1:17" ht="24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  <c r="M836" s="250"/>
      <c r="N836" s="250"/>
      <c r="O836" s="250"/>
      <c r="P836" s="250"/>
      <c r="Q836" s="250"/>
    </row>
    <row r="837" spans="1:17" ht="24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  <c r="M837" s="250"/>
      <c r="N837" s="250"/>
      <c r="O837" s="250"/>
      <c r="P837" s="250"/>
      <c r="Q837" s="250"/>
    </row>
    <row r="838" spans="1:17" ht="24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  <c r="M838" s="250"/>
      <c r="N838" s="250"/>
      <c r="O838" s="250"/>
      <c r="P838" s="250"/>
      <c r="Q838" s="250"/>
    </row>
    <row r="839" spans="1:17" ht="24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  <c r="M839" s="250"/>
      <c r="N839" s="250"/>
      <c r="O839" s="250"/>
      <c r="P839" s="250"/>
      <c r="Q839" s="250"/>
    </row>
    <row r="840" spans="1:17" ht="24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  <c r="M840" s="250"/>
      <c r="N840" s="250"/>
      <c r="O840" s="250"/>
      <c r="P840" s="250"/>
      <c r="Q840" s="250"/>
    </row>
    <row r="841" spans="1:17" ht="24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  <c r="M841" s="250"/>
      <c r="N841" s="250"/>
      <c r="O841" s="250"/>
      <c r="P841" s="250"/>
      <c r="Q841" s="250"/>
    </row>
    <row r="842" spans="1:17" ht="24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  <c r="M842" s="250"/>
      <c r="N842" s="250"/>
      <c r="O842" s="250"/>
      <c r="P842" s="250"/>
      <c r="Q842" s="250"/>
    </row>
    <row r="843" spans="1:17" ht="24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  <c r="M843" s="250"/>
      <c r="N843" s="250"/>
      <c r="O843" s="250"/>
      <c r="P843" s="250"/>
      <c r="Q843" s="250"/>
    </row>
    <row r="844" spans="1:17" ht="2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  <c r="M844" s="250"/>
      <c r="N844" s="250"/>
      <c r="O844" s="250"/>
      <c r="P844" s="250"/>
      <c r="Q844" s="250"/>
    </row>
    <row r="845" spans="1:17" ht="24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  <c r="M845" s="250"/>
      <c r="N845" s="250"/>
      <c r="O845" s="250"/>
      <c r="P845" s="250"/>
      <c r="Q845" s="250"/>
    </row>
    <row r="846" spans="1:17" ht="24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  <c r="M846" s="250"/>
      <c r="N846" s="250"/>
      <c r="O846" s="250"/>
      <c r="P846" s="250"/>
      <c r="Q846" s="250"/>
    </row>
    <row r="847" spans="1:17" ht="24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  <c r="M847" s="250"/>
      <c r="N847" s="250"/>
      <c r="O847" s="250"/>
      <c r="P847" s="250"/>
      <c r="Q847" s="250"/>
    </row>
    <row r="848" spans="1:17" ht="24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  <c r="M848" s="250"/>
      <c r="N848" s="250"/>
      <c r="O848" s="250"/>
      <c r="P848" s="250"/>
      <c r="Q848" s="250"/>
    </row>
    <row r="849" spans="1:17" ht="24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  <c r="M849" s="250"/>
      <c r="N849" s="250"/>
      <c r="O849" s="250"/>
      <c r="P849" s="250"/>
      <c r="Q849" s="250"/>
    </row>
    <row r="850" spans="1:17" ht="24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  <c r="M850" s="250"/>
      <c r="N850" s="250"/>
      <c r="O850" s="250"/>
      <c r="P850" s="250"/>
      <c r="Q850" s="250"/>
    </row>
    <row r="851" spans="1:17" ht="24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  <c r="M851" s="250"/>
      <c r="N851" s="250"/>
      <c r="O851" s="250"/>
      <c r="P851" s="250"/>
      <c r="Q851" s="250"/>
    </row>
    <row r="852" spans="1:17" ht="24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  <c r="M852" s="250"/>
      <c r="N852" s="250"/>
      <c r="O852" s="250"/>
      <c r="P852" s="250"/>
      <c r="Q852" s="250"/>
    </row>
    <row r="853" spans="1:17" ht="24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  <c r="M853" s="250"/>
      <c r="N853" s="250"/>
      <c r="O853" s="250"/>
      <c r="P853" s="250"/>
      <c r="Q853" s="250"/>
    </row>
    <row r="854" spans="1:17" ht="2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  <c r="M854" s="250"/>
      <c r="N854" s="250"/>
      <c r="O854" s="250"/>
      <c r="P854" s="250"/>
      <c r="Q854" s="250"/>
    </row>
    <row r="855" spans="1:17" ht="24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  <c r="M855" s="250"/>
      <c r="N855" s="250"/>
      <c r="O855" s="250"/>
      <c r="P855" s="250"/>
      <c r="Q855" s="250"/>
    </row>
    <row r="856" spans="1:17" ht="24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  <c r="M856" s="250"/>
      <c r="N856" s="250"/>
      <c r="O856" s="250"/>
      <c r="P856" s="250"/>
      <c r="Q856" s="250"/>
    </row>
    <row r="857" spans="1:17" ht="24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  <c r="M857" s="250"/>
      <c r="N857" s="250"/>
      <c r="O857" s="250"/>
      <c r="P857" s="250"/>
      <c r="Q857" s="250"/>
    </row>
    <row r="858" spans="1:17" ht="24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  <c r="M858" s="250"/>
      <c r="N858" s="250"/>
      <c r="O858" s="250"/>
      <c r="P858" s="250"/>
      <c r="Q858" s="250"/>
    </row>
    <row r="859" spans="1:17" ht="24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  <c r="M859" s="250"/>
      <c r="N859" s="250"/>
      <c r="O859" s="250"/>
      <c r="P859" s="250"/>
      <c r="Q859" s="250"/>
    </row>
    <row r="860" spans="1:17" ht="24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  <c r="M860" s="250"/>
      <c r="N860" s="250"/>
      <c r="O860" s="250"/>
      <c r="P860" s="250"/>
      <c r="Q860" s="250"/>
    </row>
    <row r="861" spans="1:17" ht="24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  <c r="M861" s="250"/>
      <c r="N861" s="250"/>
      <c r="O861" s="250"/>
      <c r="P861" s="250"/>
      <c r="Q861" s="250"/>
    </row>
    <row r="862" spans="1:17" ht="24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  <c r="M862" s="250"/>
      <c r="N862" s="250"/>
      <c r="O862" s="250"/>
      <c r="P862" s="250"/>
      <c r="Q862" s="250"/>
    </row>
    <row r="863" spans="1:17" ht="24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  <c r="M863" s="250"/>
      <c r="N863" s="250"/>
      <c r="O863" s="250"/>
      <c r="P863" s="250"/>
      <c r="Q863" s="250"/>
    </row>
    <row r="864" spans="1:17" ht="2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  <c r="M864" s="250"/>
      <c r="N864" s="250"/>
      <c r="O864" s="250"/>
      <c r="P864" s="250"/>
      <c r="Q864" s="250"/>
    </row>
    <row r="865" spans="1:17" ht="24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  <c r="M865" s="250"/>
      <c r="N865" s="250"/>
      <c r="O865" s="250"/>
      <c r="P865" s="250"/>
      <c r="Q865" s="250"/>
    </row>
    <row r="866" spans="1:17" ht="24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  <c r="M866" s="250"/>
      <c r="N866" s="250"/>
      <c r="O866" s="250"/>
      <c r="P866" s="250"/>
      <c r="Q866" s="250"/>
    </row>
    <row r="867" spans="1:17" ht="24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  <c r="M867" s="250"/>
      <c r="N867" s="250"/>
      <c r="O867" s="250"/>
      <c r="P867" s="250"/>
      <c r="Q867" s="250"/>
    </row>
    <row r="868" spans="1:17" ht="24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  <c r="M868" s="250"/>
      <c r="N868" s="250"/>
      <c r="O868" s="250"/>
      <c r="P868" s="250"/>
      <c r="Q868" s="250"/>
    </row>
    <row r="869" spans="1:17" ht="24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  <c r="M869" s="250"/>
      <c r="N869" s="250"/>
      <c r="O869" s="250"/>
      <c r="P869" s="250"/>
      <c r="Q869" s="250"/>
    </row>
    <row r="870" spans="1:17" ht="24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  <c r="M870" s="250"/>
      <c r="N870" s="250"/>
      <c r="O870" s="250"/>
      <c r="P870" s="250"/>
      <c r="Q870" s="250"/>
    </row>
    <row r="871" spans="1:17" ht="24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  <c r="M871" s="250"/>
      <c r="N871" s="250"/>
      <c r="O871" s="250"/>
      <c r="P871" s="250"/>
      <c r="Q871" s="250"/>
    </row>
    <row r="872" spans="1:17" ht="24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  <c r="M872" s="250"/>
      <c r="N872" s="250"/>
      <c r="O872" s="250"/>
      <c r="P872" s="250"/>
      <c r="Q872" s="250"/>
    </row>
    <row r="873" spans="1:17" ht="24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  <c r="M873" s="250"/>
      <c r="N873" s="250"/>
      <c r="O873" s="250"/>
      <c r="P873" s="250"/>
      <c r="Q873" s="250"/>
    </row>
    <row r="874" spans="1:17" ht="2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  <c r="M874" s="250"/>
      <c r="N874" s="250"/>
      <c r="O874" s="250"/>
      <c r="P874" s="250"/>
      <c r="Q874" s="250"/>
    </row>
    <row r="875" spans="1:17" ht="24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  <c r="M875" s="250"/>
      <c r="N875" s="250"/>
      <c r="O875" s="250"/>
      <c r="P875" s="250"/>
      <c r="Q875" s="250"/>
    </row>
    <row r="876" spans="1:17" ht="24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  <c r="M876" s="250"/>
      <c r="N876" s="250"/>
      <c r="O876" s="250"/>
      <c r="P876" s="250"/>
      <c r="Q876" s="250"/>
    </row>
    <row r="877" spans="1:17" ht="24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  <c r="M877" s="250"/>
      <c r="N877" s="250"/>
      <c r="O877" s="250"/>
      <c r="P877" s="250"/>
      <c r="Q877" s="250"/>
    </row>
    <row r="878" spans="1:17" ht="24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  <c r="M878" s="250"/>
      <c r="N878" s="250"/>
      <c r="O878" s="250"/>
      <c r="P878" s="250"/>
      <c r="Q878" s="250"/>
    </row>
    <row r="879" spans="1:17" ht="24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  <c r="M879" s="250"/>
      <c r="N879" s="250"/>
      <c r="O879" s="250"/>
      <c r="P879" s="250"/>
      <c r="Q879" s="250"/>
    </row>
    <row r="880" spans="1:17" ht="24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  <c r="M880" s="250"/>
      <c r="N880" s="250"/>
      <c r="O880" s="250"/>
      <c r="P880" s="250"/>
      <c r="Q880" s="250"/>
    </row>
    <row r="881" spans="1:17" ht="24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  <c r="M881" s="250"/>
      <c r="N881" s="250"/>
      <c r="O881" s="250"/>
      <c r="P881" s="250"/>
      <c r="Q881" s="250"/>
    </row>
    <row r="882" spans="1:17" ht="24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  <c r="M882" s="250"/>
      <c r="N882" s="250"/>
      <c r="O882" s="250"/>
      <c r="P882" s="250"/>
      <c r="Q882" s="250"/>
    </row>
    <row r="883" spans="1:17" ht="24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  <c r="M883" s="250"/>
      <c r="N883" s="250"/>
      <c r="O883" s="250"/>
      <c r="P883" s="250"/>
      <c r="Q883" s="250"/>
    </row>
    <row r="884" spans="1:17" ht="2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  <c r="M884" s="250"/>
      <c r="N884" s="250"/>
      <c r="O884" s="250"/>
      <c r="P884" s="250"/>
      <c r="Q884" s="250"/>
    </row>
    <row r="885" spans="1:17" ht="24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  <c r="M885" s="250"/>
      <c r="N885" s="250"/>
      <c r="O885" s="250"/>
      <c r="P885" s="250"/>
      <c r="Q885" s="250"/>
    </row>
    <row r="886" spans="1:17" ht="24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  <c r="M886" s="250"/>
      <c r="N886" s="250"/>
      <c r="O886" s="250"/>
      <c r="P886" s="250"/>
      <c r="Q886" s="250"/>
    </row>
    <row r="887" spans="1:17" ht="24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</row>
    <row r="888" spans="1:17" ht="24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  <c r="M888" s="250"/>
      <c r="N888" s="250"/>
      <c r="O888" s="250"/>
      <c r="P888" s="250"/>
      <c r="Q888" s="250"/>
    </row>
    <row r="889" spans="1:17" ht="24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  <c r="M889" s="250"/>
      <c r="N889" s="250"/>
      <c r="O889" s="250"/>
      <c r="P889" s="250"/>
      <c r="Q889" s="250"/>
    </row>
    <row r="890" spans="1:17" ht="24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  <c r="M890" s="250"/>
      <c r="N890" s="250"/>
      <c r="O890" s="250"/>
      <c r="P890" s="250"/>
      <c r="Q890" s="250"/>
    </row>
    <row r="891" spans="1:17" ht="24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  <c r="M891" s="250"/>
      <c r="N891" s="250"/>
      <c r="O891" s="250"/>
      <c r="P891" s="250"/>
      <c r="Q891" s="250"/>
    </row>
    <row r="892" spans="1:17" ht="24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  <c r="M892" s="250"/>
      <c r="N892" s="250"/>
      <c r="O892" s="250"/>
      <c r="P892" s="250"/>
      <c r="Q892" s="250"/>
    </row>
    <row r="893" spans="1:17" ht="24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  <c r="M893" s="250"/>
      <c r="N893" s="250"/>
      <c r="O893" s="250"/>
      <c r="P893" s="250"/>
      <c r="Q893" s="250"/>
    </row>
    <row r="894" spans="1:17" ht="2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  <c r="M894" s="250"/>
      <c r="N894" s="250"/>
      <c r="O894" s="250"/>
      <c r="P894" s="250"/>
      <c r="Q894" s="250"/>
    </row>
    <row r="895" spans="1:17" ht="24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  <c r="M895" s="250"/>
      <c r="N895" s="250"/>
      <c r="O895" s="250"/>
      <c r="P895" s="250"/>
      <c r="Q895" s="250"/>
    </row>
    <row r="896" spans="1:17" ht="24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  <c r="M896" s="250"/>
      <c r="N896" s="250"/>
      <c r="O896" s="250"/>
      <c r="P896" s="250"/>
      <c r="Q896" s="250"/>
    </row>
    <row r="897" spans="1:17" ht="24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  <c r="M897" s="250"/>
      <c r="N897" s="250"/>
      <c r="O897" s="250"/>
      <c r="P897" s="250"/>
      <c r="Q897" s="250"/>
    </row>
    <row r="898" spans="1:17" ht="24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  <c r="M898" s="250"/>
      <c r="N898" s="250"/>
      <c r="O898" s="250"/>
      <c r="P898" s="250"/>
      <c r="Q898" s="250"/>
    </row>
    <row r="899" spans="1:17" ht="24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  <c r="M899" s="250"/>
      <c r="N899" s="250"/>
      <c r="O899" s="250"/>
      <c r="P899" s="250"/>
      <c r="Q899" s="250"/>
    </row>
    <row r="900" spans="1:17" ht="24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  <c r="M900" s="250"/>
      <c r="N900" s="250"/>
      <c r="O900" s="250"/>
      <c r="P900" s="250"/>
      <c r="Q900" s="250"/>
    </row>
    <row r="901" spans="1:17" ht="24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  <c r="M901" s="250"/>
      <c r="N901" s="250"/>
      <c r="O901" s="250"/>
      <c r="P901" s="250"/>
      <c r="Q901" s="250"/>
    </row>
    <row r="902" spans="1:17" ht="24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  <c r="M902" s="250"/>
      <c r="N902" s="250"/>
      <c r="O902" s="250"/>
      <c r="P902" s="250"/>
      <c r="Q902" s="250"/>
    </row>
    <row r="903" spans="1:17" ht="24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  <c r="M903" s="250"/>
      <c r="N903" s="250"/>
      <c r="O903" s="250"/>
      <c r="P903" s="250"/>
      <c r="Q903" s="250"/>
    </row>
    <row r="904" spans="1:17" ht="2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  <c r="M904" s="250"/>
      <c r="N904" s="250"/>
      <c r="O904" s="250"/>
      <c r="P904" s="250"/>
      <c r="Q904" s="250"/>
    </row>
    <row r="905" spans="1:17" ht="24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  <c r="M905" s="250"/>
      <c r="N905" s="250"/>
      <c r="O905" s="250"/>
      <c r="P905" s="250"/>
      <c r="Q905" s="250"/>
    </row>
    <row r="906" spans="1:17" ht="24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  <c r="M906" s="250"/>
      <c r="N906" s="250"/>
      <c r="O906" s="250"/>
      <c r="P906" s="250"/>
      <c r="Q906" s="250"/>
    </row>
    <row r="907" spans="1:17" ht="24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  <c r="M907" s="250"/>
      <c r="N907" s="250"/>
      <c r="O907" s="250"/>
      <c r="P907" s="250"/>
      <c r="Q907" s="250"/>
    </row>
    <row r="908" spans="1:17" ht="24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  <c r="M908" s="250"/>
      <c r="N908" s="250"/>
      <c r="O908" s="250"/>
      <c r="P908" s="250"/>
      <c r="Q908" s="250"/>
    </row>
    <row r="909" spans="1:17" ht="24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  <c r="M909" s="250"/>
      <c r="N909" s="250"/>
      <c r="O909" s="250"/>
      <c r="P909" s="250"/>
      <c r="Q909" s="250"/>
    </row>
    <row r="910" spans="1:17" ht="24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  <c r="M910" s="250"/>
      <c r="N910" s="250"/>
      <c r="O910" s="250"/>
      <c r="P910" s="250"/>
      <c r="Q910" s="250"/>
    </row>
    <row r="911" spans="1:17" ht="24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  <c r="M911" s="250"/>
      <c r="N911" s="250"/>
      <c r="O911" s="250"/>
      <c r="P911" s="250"/>
      <c r="Q911" s="250"/>
    </row>
    <row r="912" spans="1:17" ht="24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  <c r="M912" s="250"/>
      <c r="N912" s="250"/>
      <c r="O912" s="250"/>
      <c r="P912" s="250"/>
      <c r="Q912" s="250"/>
    </row>
    <row r="913" spans="1:17" ht="24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  <c r="M913" s="250"/>
      <c r="N913" s="250"/>
      <c r="O913" s="250"/>
      <c r="P913" s="250"/>
      <c r="Q913" s="250"/>
    </row>
    <row r="914" spans="1:17" ht="2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  <c r="M914" s="250"/>
      <c r="N914" s="250"/>
      <c r="O914" s="250"/>
      <c r="P914" s="250"/>
      <c r="Q914" s="250"/>
    </row>
    <row r="915" spans="1:17" ht="24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  <c r="M915" s="250"/>
      <c r="N915" s="250"/>
      <c r="O915" s="250"/>
      <c r="P915" s="250"/>
      <c r="Q915" s="250"/>
    </row>
    <row r="916" spans="1:17" ht="24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  <c r="M916" s="250"/>
      <c r="N916" s="250"/>
      <c r="O916" s="250"/>
      <c r="P916" s="250"/>
      <c r="Q916" s="250"/>
    </row>
    <row r="917" spans="1:17" ht="24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  <c r="M917" s="250"/>
      <c r="N917" s="250"/>
      <c r="O917" s="250"/>
      <c r="P917" s="250"/>
      <c r="Q917" s="250"/>
    </row>
    <row r="918" spans="1:17" ht="24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  <c r="M918" s="250"/>
      <c r="N918" s="250"/>
      <c r="O918" s="250"/>
      <c r="P918" s="250"/>
      <c r="Q918" s="250"/>
    </row>
    <row r="919" spans="1:17" ht="24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  <c r="M919" s="250"/>
      <c r="N919" s="250"/>
      <c r="O919" s="250"/>
      <c r="P919" s="250"/>
      <c r="Q919" s="250"/>
    </row>
    <row r="920" spans="1:17" ht="24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  <c r="M920" s="250"/>
      <c r="N920" s="250"/>
      <c r="O920" s="250"/>
      <c r="P920" s="250"/>
      <c r="Q920" s="250"/>
    </row>
    <row r="921" spans="1:17" ht="24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  <c r="M921" s="250"/>
      <c r="N921" s="250"/>
      <c r="O921" s="250"/>
      <c r="P921" s="250"/>
      <c r="Q921" s="250"/>
    </row>
    <row r="922" spans="1:17" ht="24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  <c r="M922" s="250"/>
      <c r="N922" s="250"/>
      <c r="O922" s="250"/>
      <c r="P922" s="250"/>
      <c r="Q922" s="250"/>
    </row>
    <row r="923" spans="1:17" ht="24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  <c r="M923" s="250"/>
      <c r="N923" s="250"/>
      <c r="O923" s="250"/>
      <c r="P923" s="250"/>
      <c r="Q923" s="250"/>
    </row>
    <row r="924" spans="1:17" ht="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  <c r="M924" s="250"/>
      <c r="N924" s="250"/>
      <c r="O924" s="250"/>
      <c r="P924" s="250"/>
      <c r="Q924" s="250"/>
    </row>
    <row r="925" spans="1:17" ht="24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  <c r="M925" s="250"/>
      <c r="N925" s="250"/>
      <c r="O925" s="250"/>
      <c r="P925" s="250"/>
      <c r="Q925" s="250"/>
    </row>
    <row r="926" spans="1:17" ht="24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  <c r="M926" s="250"/>
      <c r="N926" s="250"/>
      <c r="O926" s="250"/>
      <c r="P926" s="250"/>
      <c r="Q926" s="250"/>
    </row>
    <row r="927" spans="1:17" ht="24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  <c r="M927" s="250"/>
      <c r="N927" s="250"/>
      <c r="O927" s="250"/>
      <c r="P927" s="250"/>
      <c r="Q927" s="250"/>
    </row>
    <row r="928" spans="1:17" ht="24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  <c r="M928" s="250"/>
      <c r="N928" s="250"/>
      <c r="O928" s="250"/>
      <c r="P928" s="250"/>
      <c r="Q928" s="250"/>
    </row>
    <row r="929" spans="1:17" ht="24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  <c r="M929" s="250"/>
      <c r="N929" s="250"/>
      <c r="O929" s="250"/>
      <c r="P929" s="250"/>
      <c r="Q929" s="250"/>
    </row>
    <row r="930" spans="1:17" ht="24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  <c r="M930" s="250"/>
      <c r="N930" s="250"/>
      <c r="O930" s="250"/>
      <c r="P930" s="250"/>
      <c r="Q930" s="250"/>
    </row>
    <row r="931" spans="1:17" ht="24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  <c r="M931" s="250"/>
      <c r="N931" s="250"/>
      <c r="O931" s="250"/>
      <c r="P931" s="250"/>
      <c r="Q931" s="250"/>
    </row>
    <row r="932" spans="1:17" ht="24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  <c r="M932" s="250"/>
      <c r="N932" s="250"/>
      <c r="O932" s="250"/>
      <c r="P932" s="250"/>
      <c r="Q932" s="250"/>
    </row>
    <row r="933" spans="1:17" ht="24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  <c r="M933" s="250"/>
      <c r="N933" s="250"/>
      <c r="O933" s="250"/>
      <c r="P933" s="250"/>
      <c r="Q933" s="250"/>
    </row>
    <row r="934" spans="1:17" ht="2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  <c r="M934" s="250"/>
      <c r="N934" s="250"/>
      <c r="O934" s="250"/>
      <c r="P934" s="250"/>
      <c r="Q934" s="250"/>
    </row>
    <row r="935" spans="1:17" ht="24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  <c r="M935" s="250"/>
      <c r="N935" s="250"/>
      <c r="O935" s="250"/>
      <c r="P935" s="250"/>
      <c r="Q935" s="250"/>
    </row>
    <row r="936" spans="1:17" ht="24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  <c r="M936" s="250"/>
      <c r="N936" s="250"/>
      <c r="O936" s="250"/>
      <c r="P936" s="250"/>
      <c r="Q936" s="250"/>
    </row>
    <row r="937" spans="1:17" ht="24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  <c r="M937" s="250"/>
      <c r="N937" s="250"/>
      <c r="O937" s="250"/>
      <c r="P937" s="250"/>
      <c r="Q937" s="250"/>
    </row>
    <row r="938" spans="1:17" ht="24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  <c r="M938" s="250"/>
      <c r="N938" s="250"/>
      <c r="O938" s="250"/>
      <c r="P938" s="250"/>
      <c r="Q938" s="250"/>
    </row>
    <row r="939" spans="1:17" ht="24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  <c r="M939" s="250"/>
      <c r="N939" s="250"/>
      <c r="O939" s="250"/>
      <c r="P939" s="250"/>
      <c r="Q939" s="250"/>
    </row>
    <row r="940" spans="1:17" ht="24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  <c r="M940" s="250"/>
      <c r="N940" s="250"/>
      <c r="O940" s="250"/>
      <c r="P940" s="250"/>
      <c r="Q940" s="250"/>
    </row>
    <row r="941" spans="1:17" ht="24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  <c r="M941" s="250"/>
      <c r="N941" s="250"/>
      <c r="O941" s="250"/>
      <c r="P941" s="250"/>
      <c r="Q941" s="250"/>
    </row>
    <row r="942" spans="1:17" ht="24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  <c r="M942" s="250"/>
      <c r="N942" s="250"/>
      <c r="O942" s="250"/>
      <c r="P942" s="250"/>
      <c r="Q942" s="250"/>
    </row>
    <row r="943" spans="1:17" ht="24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  <c r="M943" s="250"/>
      <c r="N943" s="250"/>
      <c r="O943" s="250"/>
      <c r="P943" s="250"/>
      <c r="Q943" s="250"/>
    </row>
    <row r="944" spans="1:17" ht="2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  <c r="M944" s="250"/>
      <c r="N944" s="250"/>
      <c r="O944" s="250"/>
      <c r="P944" s="250"/>
      <c r="Q944" s="250"/>
    </row>
    <row r="945" spans="1:17" ht="24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  <c r="M945" s="250"/>
      <c r="N945" s="250"/>
      <c r="O945" s="250"/>
      <c r="P945" s="250"/>
      <c r="Q945" s="250"/>
    </row>
    <row r="946" spans="1:17" ht="24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  <c r="M946" s="250"/>
      <c r="N946" s="250"/>
      <c r="O946" s="250"/>
      <c r="P946" s="250"/>
      <c r="Q946" s="250"/>
    </row>
    <row r="947" spans="1:17" ht="24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  <c r="M947" s="250"/>
      <c r="N947" s="250"/>
      <c r="O947" s="250"/>
      <c r="P947" s="250"/>
      <c r="Q947" s="250"/>
    </row>
    <row r="948" spans="1:17" ht="24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  <c r="M948" s="250"/>
      <c r="N948" s="250"/>
      <c r="O948" s="250"/>
      <c r="P948" s="250"/>
      <c r="Q948" s="250"/>
    </row>
    <row r="949" spans="1:17" ht="24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  <c r="M949" s="250"/>
      <c r="N949" s="250"/>
      <c r="O949" s="250"/>
      <c r="P949" s="250"/>
      <c r="Q949" s="250"/>
    </row>
    <row r="950" spans="1:17" ht="24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  <c r="M950" s="250"/>
      <c r="N950" s="250"/>
      <c r="O950" s="250"/>
      <c r="P950" s="250"/>
      <c r="Q950" s="250"/>
    </row>
    <row r="951" spans="1:17" ht="24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  <c r="M951" s="250"/>
      <c r="N951" s="250"/>
      <c r="O951" s="250"/>
      <c r="P951" s="250"/>
      <c r="Q951" s="250"/>
    </row>
    <row r="952" spans="1:17" ht="24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  <c r="M952" s="250"/>
      <c r="N952" s="250"/>
      <c r="O952" s="250"/>
      <c r="P952" s="250"/>
      <c r="Q952" s="250"/>
    </row>
    <row r="953" spans="1:17" ht="24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  <c r="M953" s="250"/>
      <c r="N953" s="250"/>
      <c r="O953" s="250"/>
      <c r="P953" s="250"/>
      <c r="Q953" s="250"/>
    </row>
    <row r="954" spans="1:17" ht="2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  <c r="M954" s="250"/>
      <c r="N954" s="250"/>
      <c r="O954" s="250"/>
      <c r="P954" s="250"/>
      <c r="Q954" s="250"/>
    </row>
    <row r="955" spans="1:17" ht="24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  <c r="M955" s="250"/>
      <c r="N955" s="250"/>
      <c r="O955" s="250"/>
      <c r="P955" s="250"/>
      <c r="Q955" s="250"/>
    </row>
    <row r="956" spans="1:17" ht="24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  <c r="M956" s="250"/>
      <c r="N956" s="250"/>
      <c r="O956" s="250"/>
      <c r="P956" s="250"/>
      <c r="Q956" s="250"/>
    </row>
    <row r="957" spans="1:17" ht="24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  <c r="M957" s="250"/>
      <c r="N957" s="250"/>
      <c r="O957" s="250"/>
      <c r="P957" s="250"/>
      <c r="Q957" s="250"/>
    </row>
    <row r="958" spans="1:17" ht="24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  <c r="M958" s="250"/>
      <c r="N958" s="250"/>
      <c r="O958" s="250"/>
      <c r="P958" s="250"/>
      <c r="Q958" s="250"/>
    </row>
    <row r="959" spans="1:17" ht="24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  <c r="M959" s="250"/>
      <c r="N959" s="250"/>
      <c r="O959" s="250"/>
      <c r="P959" s="250"/>
      <c r="Q959" s="250"/>
    </row>
    <row r="960" spans="1:17" ht="24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  <c r="M960" s="250"/>
      <c r="N960" s="250"/>
      <c r="O960" s="250"/>
      <c r="P960" s="250"/>
      <c r="Q960" s="250"/>
    </row>
    <row r="961" spans="1:17" ht="24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  <c r="M961" s="250"/>
      <c r="N961" s="250"/>
      <c r="O961" s="250"/>
      <c r="P961" s="250"/>
      <c r="Q961" s="250"/>
    </row>
    <row r="962" spans="1:17" ht="24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  <c r="M962" s="250"/>
      <c r="N962" s="250"/>
      <c r="O962" s="250"/>
      <c r="P962" s="250"/>
      <c r="Q962" s="250"/>
    </row>
    <row r="963" spans="1:17" ht="24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  <c r="M963" s="250"/>
      <c r="N963" s="250"/>
      <c r="O963" s="250"/>
      <c r="P963" s="250"/>
      <c r="Q963" s="250"/>
    </row>
    <row r="964" spans="1:17" ht="2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  <c r="M964" s="250"/>
      <c r="N964" s="250"/>
      <c r="O964" s="250"/>
      <c r="P964" s="250"/>
      <c r="Q964" s="250"/>
    </row>
    <row r="965" spans="1:17" ht="24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  <c r="M965" s="250"/>
      <c r="N965" s="250"/>
      <c r="O965" s="250"/>
      <c r="P965" s="250"/>
      <c r="Q965" s="250"/>
    </row>
    <row r="966" spans="1:17" ht="24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  <c r="M966" s="250"/>
      <c r="N966" s="250"/>
      <c r="O966" s="250"/>
      <c r="P966" s="250"/>
      <c r="Q966" s="250"/>
    </row>
    <row r="967" spans="1:17" ht="24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  <c r="M967" s="250"/>
      <c r="N967" s="250"/>
      <c r="O967" s="250"/>
      <c r="P967" s="250"/>
      <c r="Q967" s="250"/>
    </row>
    <row r="968" spans="1:17" ht="24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  <c r="M968" s="250"/>
      <c r="N968" s="250"/>
      <c r="O968" s="250"/>
      <c r="P968" s="250"/>
      <c r="Q968" s="250"/>
    </row>
    <row r="969" spans="1:17" ht="24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  <c r="M969" s="250"/>
      <c r="N969" s="250"/>
      <c r="O969" s="250"/>
      <c r="P969" s="250"/>
      <c r="Q969" s="250"/>
    </row>
    <row r="970" spans="1:17" ht="24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  <c r="M970" s="250"/>
      <c r="N970" s="250"/>
      <c r="O970" s="250"/>
      <c r="P970" s="250"/>
      <c r="Q970" s="250"/>
    </row>
    <row r="971" spans="1:17" ht="24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  <c r="M971" s="250"/>
      <c r="N971" s="250"/>
      <c r="O971" s="250"/>
      <c r="P971" s="250"/>
      <c r="Q971" s="250"/>
    </row>
    <row r="972" spans="1:17" ht="24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  <c r="M972" s="250"/>
      <c r="N972" s="250"/>
      <c r="O972" s="250"/>
      <c r="P972" s="250"/>
      <c r="Q972" s="250"/>
    </row>
    <row r="973" spans="1:17" ht="24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  <c r="M973" s="250"/>
      <c r="N973" s="250"/>
      <c r="O973" s="250"/>
      <c r="P973" s="250"/>
      <c r="Q973" s="250"/>
    </row>
    <row r="974" spans="1:17" ht="2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  <c r="M974" s="250"/>
      <c r="N974" s="250"/>
      <c r="O974" s="250"/>
      <c r="P974" s="250"/>
      <c r="Q974" s="250"/>
    </row>
    <row r="975" spans="1:17" ht="24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  <c r="M975" s="250"/>
      <c r="N975" s="250"/>
      <c r="O975" s="250"/>
      <c r="P975" s="250"/>
      <c r="Q975" s="250"/>
    </row>
    <row r="976" spans="1:17" ht="24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  <c r="M976" s="250"/>
      <c r="N976" s="250"/>
      <c r="O976" s="250"/>
      <c r="P976" s="250"/>
      <c r="Q976" s="250"/>
    </row>
    <row r="977" spans="1:17" ht="24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  <c r="M977" s="250"/>
      <c r="N977" s="250"/>
      <c r="O977" s="250"/>
      <c r="P977" s="250"/>
      <c r="Q977" s="250"/>
    </row>
    <row r="978" spans="1:17" ht="24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  <c r="M978" s="250"/>
      <c r="N978" s="250"/>
      <c r="O978" s="250"/>
      <c r="P978" s="250"/>
      <c r="Q978" s="250"/>
    </row>
    <row r="979" spans="1:17" ht="24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  <c r="M979" s="250"/>
      <c r="N979" s="250"/>
      <c r="O979" s="250"/>
      <c r="P979" s="250"/>
      <c r="Q979" s="250"/>
    </row>
    <row r="980" spans="1:17" ht="24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  <c r="M980" s="250"/>
      <c r="N980" s="250"/>
      <c r="O980" s="250"/>
      <c r="P980" s="250"/>
      <c r="Q980" s="250"/>
    </row>
    <row r="981" spans="1:17" ht="24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  <c r="M981" s="250"/>
      <c r="N981" s="250"/>
      <c r="O981" s="250"/>
      <c r="P981" s="250"/>
      <c r="Q981" s="250"/>
    </row>
    <row r="982" spans="1:17" ht="24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  <c r="M982" s="250"/>
      <c r="N982" s="250"/>
      <c r="O982" s="250"/>
      <c r="P982" s="250"/>
      <c r="Q982" s="250"/>
    </row>
    <row r="983" spans="1:17" ht="24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  <c r="M983" s="250"/>
      <c r="N983" s="250"/>
      <c r="O983" s="250"/>
      <c r="P983" s="250"/>
      <c r="Q983" s="250"/>
    </row>
    <row r="984" spans="1:17" ht="2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  <c r="M984" s="250"/>
      <c r="N984" s="250"/>
      <c r="O984" s="250"/>
      <c r="P984" s="250"/>
      <c r="Q984" s="250"/>
    </row>
    <row r="985" spans="1:17" ht="24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  <c r="M985" s="250"/>
      <c r="N985" s="250"/>
      <c r="O985" s="250"/>
      <c r="P985" s="250"/>
      <c r="Q985" s="250"/>
    </row>
    <row r="986" spans="1:17" ht="24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  <c r="M986" s="250"/>
      <c r="N986" s="250"/>
      <c r="O986" s="250"/>
      <c r="P986" s="250"/>
      <c r="Q986" s="250"/>
    </row>
    <row r="987" spans="1:17" ht="24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  <c r="M987" s="250"/>
      <c r="N987" s="250"/>
      <c r="O987" s="250"/>
      <c r="P987" s="250"/>
      <c r="Q987" s="250"/>
    </row>
    <row r="988" spans="1:17" ht="24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  <c r="M988" s="250"/>
      <c r="N988" s="250"/>
      <c r="O988" s="250"/>
      <c r="P988" s="250"/>
      <c r="Q988" s="250"/>
    </row>
    <row r="989" spans="1:17" ht="24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</row>
    <row r="990" spans="1:17" ht="24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  <c r="M990" s="250"/>
      <c r="N990" s="250"/>
      <c r="O990" s="250"/>
      <c r="P990" s="250"/>
      <c r="Q990" s="250"/>
    </row>
    <row r="991" spans="1:17" ht="24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  <c r="M991" s="250"/>
      <c r="N991" s="250"/>
      <c r="O991" s="250"/>
      <c r="P991" s="250"/>
      <c r="Q991" s="250"/>
    </row>
    <row r="992" spans="1:17" ht="24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  <c r="M992" s="250"/>
      <c r="N992" s="250"/>
      <c r="O992" s="250"/>
      <c r="P992" s="250"/>
      <c r="Q992" s="250"/>
    </row>
    <row r="993" spans="1:17" ht="24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  <c r="M993" s="250"/>
      <c r="N993" s="250"/>
      <c r="O993" s="250"/>
      <c r="P993" s="250"/>
      <c r="Q993" s="250"/>
    </row>
    <row r="994" spans="1:17" ht="2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  <c r="M994" s="250"/>
      <c r="N994" s="250"/>
      <c r="O994" s="250"/>
      <c r="P994" s="250"/>
      <c r="Q994" s="250"/>
    </row>
    <row r="995" spans="1:17" ht="24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  <c r="M995" s="250"/>
      <c r="N995" s="250"/>
      <c r="O995" s="250"/>
      <c r="P995" s="250"/>
      <c r="Q995" s="250"/>
    </row>
    <row r="996" spans="1:17" ht="24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  <c r="M996" s="250"/>
      <c r="N996" s="250"/>
      <c r="O996" s="250"/>
      <c r="P996" s="250"/>
      <c r="Q996" s="250"/>
    </row>
    <row r="997" spans="1:17" ht="24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  <c r="M997" s="250"/>
      <c r="N997" s="250"/>
      <c r="O997" s="250"/>
      <c r="P997" s="250"/>
      <c r="Q997" s="250"/>
    </row>
    <row r="998" spans="1:17" ht="24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  <c r="M998" s="250"/>
      <c r="N998" s="250"/>
      <c r="O998" s="250"/>
      <c r="P998" s="250"/>
      <c r="Q998" s="250"/>
    </row>
    <row r="999" spans="1:17" ht="24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  <c r="M999" s="250"/>
      <c r="N999" s="250"/>
      <c r="O999" s="250"/>
      <c r="P999" s="250"/>
      <c r="Q999" s="250"/>
    </row>
    <row r="1000" spans="1:17" ht="24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  <c r="K1000" s="250"/>
      <c r="L1000" s="250"/>
      <c r="M1000" s="250"/>
      <c r="N1000" s="250"/>
      <c r="O1000" s="250"/>
      <c r="P1000" s="250"/>
      <c r="Q1000" s="250"/>
    </row>
    <row r="1001" spans="1:17" ht="24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  <c r="K1001" s="250"/>
      <c r="L1001" s="250"/>
      <c r="M1001" s="250"/>
      <c r="N1001" s="250"/>
      <c r="O1001" s="250"/>
      <c r="P1001" s="250"/>
      <c r="Q1001" s="250"/>
    </row>
    <row r="1002" spans="1:17" ht="24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  <c r="K1002" s="250"/>
      <c r="L1002" s="250"/>
      <c r="M1002" s="250"/>
      <c r="N1002" s="250"/>
      <c r="O1002" s="250"/>
      <c r="P1002" s="250"/>
      <c r="Q1002" s="250"/>
    </row>
    <row r="1003" spans="1:17" ht="24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  <c r="K1003" s="250"/>
      <c r="L1003" s="250"/>
      <c r="M1003" s="250"/>
      <c r="N1003" s="250"/>
      <c r="O1003" s="250"/>
      <c r="P1003" s="250"/>
      <c r="Q1003" s="250"/>
    </row>
    <row r="1004" spans="1:17" ht="24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  <c r="K1004" s="250"/>
      <c r="L1004" s="250"/>
      <c r="M1004" s="250"/>
      <c r="N1004" s="250"/>
      <c r="O1004" s="250"/>
      <c r="P1004" s="250"/>
      <c r="Q1004" s="250"/>
    </row>
    <row r="1005" spans="1:17" ht="24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  <c r="K1005" s="250"/>
      <c r="L1005" s="250"/>
      <c r="M1005" s="250"/>
      <c r="N1005" s="250"/>
      <c r="O1005" s="250"/>
      <c r="P1005" s="250"/>
      <c r="Q1005" s="250"/>
    </row>
    <row r="1006" spans="1:17" ht="24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  <c r="K1006" s="250"/>
      <c r="L1006" s="250"/>
      <c r="M1006" s="250"/>
      <c r="N1006" s="250"/>
      <c r="O1006" s="250"/>
      <c r="P1006" s="250"/>
      <c r="Q1006" s="250"/>
    </row>
    <row r="1007" spans="1:17" ht="24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  <c r="K1007" s="250"/>
      <c r="L1007" s="250"/>
      <c r="M1007" s="250"/>
      <c r="N1007" s="250"/>
      <c r="O1007" s="250"/>
      <c r="P1007" s="250"/>
      <c r="Q1007" s="250"/>
    </row>
    <row r="1008" spans="1:17" ht="24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  <c r="K1008" s="250"/>
      <c r="L1008" s="250"/>
      <c r="M1008" s="250"/>
      <c r="N1008" s="250"/>
      <c r="O1008" s="250"/>
      <c r="P1008" s="250"/>
      <c r="Q1008" s="250"/>
    </row>
    <row r="1009" spans="1:17" ht="24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  <c r="K1009" s="250"/>
      <c r="L1009" s="250"/>
      <c r="M1009" s="250"/>
      <c r="N1009" s="250"/>
      <c r="O1009" s="250"/>
      <c r="P1009" s="250"/>
      <c r="Q1009" s="250"/>
    </row>
  </sheetData>
  <mergeCells count="17">
    <mergeCell ref="A8:A10"/>
    <mergeCell ref="B8:B10"/>
    <mergeCell ref="A18:A19"/>
    <mergeCell ref="A20:A22"/>
    <mergeCell ref="B20:B22"/>
    <mergeCell ref="A11:A12"/>
    <mergeCell ref="B11:B12"/>
    <mergeCell ref="A13:A14"/>
    <mergeCell ref="B13:B14"/>
    <mergeCell ref="A15:A17"/>
    <mergeCell ref="B15:B17"/>
    <mergeCell ref="B18:B19"/>
    <mergeCell ref="A1:G1"/>
    <mergeCell ref="A4:A5"/>
    <mergeCell ref="B4:B5"/>
    <mergeCell ref="A6:A7"/>
    <mergeCell ref="B6:B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993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263" t="s">
        <v>224</v>
      </c>
      <c r="C1" s="263"/>
      <c r="D1" s="263"/>
      <c r="E1" s="263"/>
      <c r="F1" s="263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230</v>
      </c>
      <c r="C3" s="398"/>
      <c r="D3" s="398"/>
      <c r="E3" s="398"/>
      <c r="F3" s="398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262" t="s">
        <v>242</v>
      </c>
      <c r="C8" s="99"/>
      <c r="D8" s="99" t="s">
        <v>243</v>
      </c>
      <c r="E8" s="99">
        <v>3</v>
      </c>
      <c r="F8" s="262"/>
    </row>
    <row r="9" spans="1:6">
      <c r="A9" s="262"/>
      <c r="B9" s="498" t="s">
        <v>244</v>
      </c>
      <c r="C9" s="398"/>
      <c r="D9" s="398"/>
      <c r="E9" s="398"/>
      <c r="F9" s="398"/>
    </row>
    <row r="10" spans="1:6">
      <c r="A10" s="262"/>
      <c r="B10" s="262" t="s">
        <v>71</v>
      </c>
      <c r="C10" s="99" t="s">
        <v>245</v>
      </c>
      <c r="D10" s="99" t="s">
        <v>246</v>
      </c>
      <c r="E10" s="99">
        <v>3</v>
      </c>
      <c r="F10" s="262" t="s">
        <v>233</v>
      </c>
    </row>
    <row r="11" spans="1:6">
      <c r="A11" s="262"/>
      <c r="B11" s="262" t="s">
        <v>247</v>
      </c>
      <c r="D11" s="99" t="s">
        <v>248</v>
      </c>
      <c r="E11" s="99">
        <v>3</v>
      </c>
      <c r="F11" s="262"/>
    </row>
    <row r="12" spans="1:6">
      <c r="A12" s="262"/>
      <c r="B12" s="262" t="s">
        <v>249</v>
      </c>
      <c r="D12" s="99" t="s">
        <v>250</v>
      </c>
      <c r="E12" s="99">
        <v>3</v>
      </c>
      <c r="F12" s="262"/>
    </row>
    <row r="13" spans="1:6">
      <c r="A13" s="262"/>
      <c r="B13" s="262" t="s">
        <v>251</v>
      </c>
      <c r="D13" s="99" t="s">
        <v>252</v>
      </c>
      <c r="E13" s="99">
        <v>3</v>
      </c>
      <c r="F13" s="262"/>
    </row>
    <row r="14" spans="1:6">
      <c r="A14" s="262"/>
      <c r="B14" s="262" t="s">
        <v>253</v>
      </c>
      <c r="D14" s="99" t="s">
        <v>254</v>
      </c>
      <c r="E14" s="99">
        <v>3</v>
      </c>
      <c r="F14" s="262"/>
    </row>
    <row r="15" spans="1:6">
      <c r="A15" s="262"/>
      <c r="B15" s="499" t="s">
        <v>255</v>
      </c>
      <c r="C15" s="398"/>
      <c r="D15" s="398"/>
      <c r="E15" s="398"/>
      <c r="F15" s="398"/>
    </row>
    <row r="16" spans="1:6">
      <c r="A16" s="262"/>
      <c r="B16" s="262" t="s">
        <v>72</v>
      </c>
      <c r="D16" s="99" t="s">
        <v>256</v>
      </c>
      <c r="E16" s="99">
        <v>3</v>
      </c>
      <c r="F16" s="262"/>
    </row>
    <row r="17" spans="1:6">
      <c r="A17" s="262"/>
      <c r="B17" s="500" t="s">
        <v>257</v>
      </c>
      <c r="C17" s="398"/>
      <c r="D17" s="398"/>
      <c r="E17" s="398"/>
      <c r="F17" s="398"/>
    </row>
    <row r="18" spans="1:6">
      <c r="A18" s="262"/>
      <c r="B18" s="262" t="s">
        <v>258</v>
      </c>
      <c r="D18" s="99" t="s">
        <v>259</v>
      </c>
      <c r="E18" s="99">
        <v>3</v>
      </c>
      <c r="F18" s="262"/>
    </row>
    <row r="19" spans="1:6">
      <c r="A19" s="262"/>
      <c r="B19" s="262" t="s">
        <v>260</v>
      </c>
      <c r="D19" s="99" t="s">
        <v>261</v>
      </c>
      <c r="E19" s="99">
        <v>3</v>
      </c>
      <c r="F19" s="262"/>
    </row>
    <row r="20" spans="1:6">
      <c r="A20" s="262"/>
      <c r="B20" s="262" t="s">
        <v>262</v>
      </c>
      <c r="D20" s="99" t="s">
        <v>263</v>
      </c>
      <c r="E20" s="99">
        <v>3</v>
      </c>
      <c r="F20" s="262"/>
    </row>
    <row r="21" spans="1:6">
      <c r="A21" s="262"/>
      <c r="B21" s="262" t="s">
        <v>264</v>
      </c>
      <c r="D21" s="99" t="s">
        <v>265</v>
      </c>
      <c r="E21" s="99">
        <v>3</v>
      </c>
      <c r="F21" s="262"/>
    </row>
    <row r="22" spans="1:6">
      <c r="A22" s="262"/>
      <c r="B22" s="262" t="s">
        <v>266</v>
      </c>
      <c r="D22" s="99" t="s">
        <v>267</v>
      </c>
      <c r="E22" s="99">
        <v>3</v>
      </c>
      <c r="F22" s="262"/>
    </row>
    <row r="23" spans="1:6">
      <c r="A23" s="262"/>
      <c r="B23" s="262" t="s">
        <v>268</v>
      </c>
      <c r="D23" s="99" t="s">
        <v>269</v>
      </c>
      <c r="E23" s="99">
        <v>3</v>
      </c>
      <c r="F23" s="262"/>
    </row>
    <row r="24" spans="1:6">
      <c r="A24" s="262"/>
      <c r="B24" s="262" t="s">
        <v>73</v>
      </c>
      <c r="D24" s="99" t="s">
        <v>270</v>
      </c>
      <c r="E24" s="99">
        <v>3</v>
      </c>
      <c r="F24" s="262"/>
    </row>
    <row r="25" spans="1:6">
      <c r="A25" s="262"/>
      <c r="B25" s="496" t="s">
        <v>271</v>
      </c>
      <c r="C25" s="398"/>
      <c r="D25" s="398"/>
      <c r="E25" s="398"/>
      <c r="F25" s="398"/>
    </row>
    <row r="26" spans="1:6">
      <c r="A26" s="262"/>
      <c r="B26" s="496" t="s">
        <v>272</v>
      </c>
      <c r="C26" s="398"/>
      <c r="D26" s="398"/>
      <c r="E26" s="398"/>
      <c r="F26" s="398"/>
    </row>
    <row r="27" spans="1:6">
      <c r="A27" s="262"/>
      <c r="B27" s="262" t="s">
        <v>273</v>
      </c>
      <c r="D27" s="99" t="s">
        <v>274</v>
      </c>
      <c r="E27" s="99">
        <v>2</v>
      </c>
      <c r="F27" s="262" t="s">
        <v>275</v>
      </c>
    </row>
    <row r="28" spans="1:6">
      <c r="A28" s="262"/>
      <c r="B28" s="262" t="s">
        <v>276</v>
      </c>
      <c r="D28" s="99" t="s">
        <v>277</v>
      </c>
      <c r="E28" s="99">
        <v>2</v>
      </c>
      <c r="F28" s="262" t="s">
        <v>275</v>
      </c>
    </row>
    <row r="29" spans="1:6">
      <c r="A29" s="262"/>
      <c r="B29" s="262" t="s">
        <v>94</v>
      </c>
      <c r="D29" s="99" t="s">
        <v>278</v>
      </c>
      <c r="E29" s="99">
        <v>2</v>
      </c>
      <c r="F29" s="262" t="s">
        <v>279</v>
      </c>
    </row>
    <row r="30" spans="1:6">
      <c r="A30" s="262"/>
      <c r="B30" s="262" t="s">
        <v>280</v>
      </c>
      <c r="D30" s="99" t="s">
        <v>281</v>
      </c>
      <c r="E30" s="99">
        <v>2</v>
      </c>
      <c r="F30" s="262" t="s">
        <v>275</v>
      </c>
    </row>
    <row r="31" spans="1:6">
      <c r="A31" s="262"/>
      <c r="B31" s="262" t="s">
        <v>68</v>
      </c>
      <c r="D31" s="99" t="s">
        <v>282</v>
      </c>
      <c r="E31" s="99">
        <v>3</v>
      </c>
      <c r="F31" s="262" t="s">
        <v>283</v>
      </c>
    </row>
    <row r="32" spans="1:6">
      <c r="A32" s="262"/>
      <c r="B32" s="262" t="s">
        <v>284</v>
      </c>
      <c r="D32" s="99" t="s">
        <v>285</v>
      </c>
      <c r="E32" s="99">
        <v>3</v>
      </c>
      <c r="F32" s="262" t="s">
        <v>283</v>
      </c>
    </row>
    <row r="33" spans="1:6">
      <c r="A33" s="262"/>
      <c r="B33" s="266" t="s">
        <v>286</v>
      </c>
      <c r="C33" s="266"/>
      <c r="D33" s="266"/>
      <c r="E33" s="266"/>
      <c r="F33" s="266"/>
    </row>
    <row r="34" spans="1:6">
      <c r="A34" s="262"/>
      <c r="B34" s="266" t="s">
        <v>287</v>
      </c>
      <c r="C34" s="266"/>
      <c r="D34" s="266"/>
      <c r="E34" s="266"/>
      <c r="F34" s="266"/>
    </row>
    <row r="35" spans="1:6">
      <c r="A35" s="262"/>
      <c r="B35" s="262" t="s">
        <v>64</v>
      </c>
      <c r="D35" s="99" t="s">
        <v>288</v>
      </c>
      <c r="E35" s="99">
        <v>3</v>
      </c>
      <c r="F35" s="262" t="s">
        <v>233</v>
      </c>
    </row>
    <row r="36" spans="1:6">
      <c r="A36" s="262"/>
      <c r="B36" s="262" t="s">
        <v>95</v>
      </c>
      <c r="D36" s="99" t="s">
        <v>289</v>
      </c>
      <c r="E36" s="99">
        <v>3</v>
      </c>
      <c r="F36" s="262"/>
    </row>
    <row r="37" spans="1:6">
      <c r="A37" s="262"/>
      <c r="B37" s="262" t="s">
        <v>290</v>
      </c>
      <c r="D37" s="99" t="s">
        <v>291</v>
      </c>
      <c r="E37" s="99">
        <v>3</v>
      </c>
      <c r="F37" s="262"/>
    </row>
    <row r="38" spans="1:6">
      <c r="A38" s="262"/>
      <c r="B38" s="262" t="s">
        <v>97</v>
      </c>
      <c r="D38" s="99" t="s">
        <v>292</v>
      </c>
      <c r="E38" s="99">
        <v>3</v>
      </c>
      <c r="F38" s="262"/>
    </row>
    <row r="39" spans="1:6">
      <c r="A39" s="262"/>
      <c r="B39" s="262" t="s">
        <v>293</v>
      </c>
      <c r="D39" s="99" t="s">
        <v>294</v>
      </c>
      <c r="E39" s="99">
        <v>3</v>
      </c>
      <c r="F39" s="262"/>
    </row>
    <row r="40" spans="1:6">
      <c r="A40" s="262"/>
      <c r="B40" s="262" t="s">
        <v>101</v>
      </c>
      <c r="D40" s="99" t="s">
        <v>295</v>
      </c>
      <c r="E40" s="99">
        <v>3</v>
      </c>
      <c r="F40" s="262"/>
    </row>
    <row r="41" spans="1:6">
      <c r="A41" s="262"/>
      <c r="B41" s="262" t="s">
        <v>104</v>
      </c>
      <c r="D41" s="99" t="s">
        <v>296</v>
      </c>
      <c r="E41" s="99">
        <v>3</v>
      </c>
      <c r="F41" s="262"/>
    </row>
    <row r="42" spans="1:6">
      <c r="A42" s="262"/>
      <c r="B42" s="262" t="s">
        <v>297</v>
      </c>
      <c r="D42" s="99" t="s">
        <v>129</v>
      </c>
      <c r="E42" s="99">
        <v>3</v>
      </c>
      <c r="F42" s="262"/>
    </row>
    <row r="43" spans="1:6">
      <c r="A43" s="262"/>
      <c r="B43" s="262" t="s">
        <v>298</v>
      </c>
      <c r="D43" s="99" t="s">
        <v>299</v>
      </c>
      <c r="E43" s="99">
        <v>3</v>
      </c>
      <c r="F43" s="262"/>
    </row>
    <row r="44" spans="1:6">
      <c r="A44" s="262"/>
      <c r="B44" s="262" t="s">
        <v>300</v>
      </c>
      <c r="D44" s="99" t="s">
        <v>134</v>
      </c>
      <c r="E44" s="99">
        <v>3</v>
      </c>
      <c r="F44" s="262"/>
    </row>
    <row r="45" spans="1:6">
      <c r="A45" s="262"/>
      <c r="B45" s="262" t="s">
        <v>301</v>
      </c>
      <c r="D45" s="99" t="s">
        <v>136</v>
      </c>
      <c r="E45" s="99">
        <v>3</v>
      </c>
      <c r="F45" s="262"/>
    </row>
    <row r="46" spans="1:6">
      <c r="A46" s="262"/>
      <c r="B46" s="262" t="s">
        <v>302</v>
      </c>
      <c r="D46" s="99" t="s">
        <v>303</v>
      </c>
      <c r="E46" s="99">
        <v>3</v>
      </c>
      <c r="F46" s="262"/>
    </row>
    <row r="47" spans="1:6">
      <c r="A47" s="262"/>
      <c r="B47" s="262" t="s">
        <v>304</v>
      </c>
      <c r="D47" s="99" t="s">
        <v>305</v>
      </c>
      <c r="E47" s="99">
        <v>3</v>
      </c>
      <c r="F47" s="262"/>
    </row>
    <row r="48" spans="1:6">
      <c r="A48" s="262"/>
      <c r="B48" s="262" t="s">
        <v>306</v>
      </c>
      <c r="D48" s="99" t="s">
        <v>307</v>
      </c>
      <c r="E48" s="99">
        <v>3</v>
      </c>
      <c r="F48" s="262"/>
    </row>
    <row r="49" spans="1:6">
      <c r="A49" s="262"/>
      <c r="B49" s="262" t="s">
        <v>308</v>
      </c>
      <c r="D49" s="99" t="s">
        <v>309</v>
      </c>
      <c r="E49" s="99">
        <v>3</v>
      </c>
      <c r="F49" s="262"/>
    </row>
    <row r="50" spans="1:6">
      <c r="A50" s="262"/>
      <c r="B50" s="496" t="s">
        <v>310</v>
      </c>
      <c r="C50" s="398"/>
      <c r="D50" s="398"/>
      <c r="E50" s="398"/>
      <c r="F50" s="398"/>
    </row>
    <row r="51" spans="1:6">
      <c r="A51" s="262"/>
      <c r="B51" s="262" t="s">
        <v>311</v>
      </c>
      <c r="D51" s="99" t="s">
        <v>312</v>
      </c>
      <c r="E51" s="99">
        <v>3</v>
      </c>
      <c r="F51" s="262"/>
    </row>
    <row r="52" spans="1:6">
      <c r="A52" s="262"/>
      <c r="B52" s="262" t="s">
        <v>313</v>
      </c>
      <c r="D52" s="99" t="s">
        <v>314</v>
      </c>
      <c r="E52" s="99">
        <v>3</v>
      </c>
      <c r="F52" s="262"/>
    </row>
    <row r="53" spans="1:6">
      <c r="A53" s="262"/>
      <c r="B53" s="262" t="s">
        <v>315</v>
      </c>
      <c r="D53" s="99" t="s">
        <v>316</v>
      </c>
      <c r="E53" s="99">
        <v>3</v>
      </c>
      <c r="F53" s="262"/>
    </row>
    <row r="54" spans="1:6">
      <c r="A54" s="262"/>
      <c r="B54" s="262" t="s">
        <v>317</v>
      </c>
      <c r="D54" s="99" t="s">
        <v>318</v>
      </c>
      <c r="E54" s="99">
        <v>3</v>
      </c>
      <c r="F54" s="262"/>
    </row>
    <row r="55" spans="1:6">
      <c r="A55" s="262"/>
      <c r="B55" s="262" t="s">
        <v>319</v>
      </c>
      <c r="D55" s="99" t="s">
        <v>320</v>
      </c>
      <c r="E55" s="99">
        <v>3</v>
      </c>
      <c r="F55" s="262"/>
    </row>
    <row r="56" spans="1:6">
      <c r="A56" s="262"/>
      <c r="B56" s="262" t="s">
        <v>321</v>
      </c>
      <c r="D56" s="99" t="s">
        <v>322</v>
      </c>
      <c r="E56" s="99">
        <v>3</v>
      </c>
      <c r="F56" s="262"/>
    </row>
    <row r="57" spans="1:6">
      <c r="A57" s="262"/>
      <c r="B57" s="262" t="s">
        <v>108</v>
      </c>
      <c r="D57" s="99" t="s">
        <v>323</v>
      </c>
      <c r="E57" s="99">
        <v>3</v>
      </c>
      <c r="F57" s="262"/>
    </row>
    <row r="58" spans="1:6">
      <c r="A58" s="262"/>
      <c r="B58" s="262" t="s">
        <v>324</v>
      </c>
      <c r="D58" s="99" t="s">
        <v>325</v>
      </c>
      <c r="E58" s="99">
        <v>3</v>
      </c>
      <c r="F58" s="262"/>
    </row>
    <row r="59" spans="1:6">
      <c r="A59" s="262"/>
      <c r="B59" s="262" t="s">
        <v>326</v>
      </c>
      <c r="D59" s="99" t="s">
        <v>327</v>
      </c>
      <c r="E59" s="99">
        <v>3</v>
      </c>
      <c r="F59" s="262" t="s">
        <v>283</v>
      </c>
    </row>
    <row r="60" spans="1:6">
      <c r="A60" s="262"/>
      <c r="B60" s="262" t="s">
        <v>328</v>
      </c>
      <c r="D60" s="99" t="s">
        <v>329</v>
      </c>
      <c r="E60" s="99">
        <v>3</v>
      </c>
      <c r="F60" s="262" t="s">
        <v>233</v>
      </c>
    </row>
    <row r="61" spans="1:6">
      <c r="A61" s="262"/>
      <c r="B61" s="262" t="s">
        <v>330</v>
      </c>
      <c r="D61" s="99" t="s">
        <v>331</v>
      </c>
      <c r="E61" s="99">
        <v>3</v>
      </c>
      <c r="F61" s="262" t="s">
        <v>283</v>
      </c>
    </row>
    <row r="62" spans="1:6">
      <c r="A62" s="262"/>
      <c r="B62" s="262" t="s">
        <v>332</v>
      </c>
      <c r="D62" s="99" t="s">
        <v>333</v>
      </c>
      <c r="E62" s="99">
        <v>3</v>
      </c>
      <c r="F62" s="262" t="s">
        <v>283</v>
      </c>
    </row>
    <row r="63" spans="1:6">
      <c r="A63" s="262"/>
      <c r="B63" s="262" t="s">
        <v>334</v>
      </c>
      <c r="D63" s="99" t="s">
        <v>335</v>
      </c>
      <c r="E63" s="99">
        <v>3</v>
      </c>
      <c r="F63" s="262"/>
    </row>
    <row r="64" spans="1:6">
      <c r="A64" s="262"/>
      <c r="B64" s="262" t="s">
        <v>336</v>
      </c>
      <c r="D64" s="99" t="s">
        <v>337</v>
      </c>
      <c r="E64" s="99">
        <v>3</v>
      </c>
      <c r="F64" s="262"/>
    </row>
    <row r="65" spans="1:6">
      <c r="A65" s="262"/>
      <c r="B65" s="262" t="s">
        <v>338</v>
      </c>
      <c r="D65" s="99" t="s">
        <v>339</v>
      </c>
      <c r="E65" s="99">
        <v>3</v>
      </c>
      <c r="F65" s="262"/>
    </row>
    <row r="66" spans="1:6">
      <c r="A66" s="262"/>
      <c r="B66" s="262" t="s">
        <v>340</v>
      </c>
      <c r="D66" s="99" t="s">
        <v>341</v>
      </c>
      <c r="E66" s="99">
        <v>3</v>
      </c>
      <c r="F66" s="262"/>
    </row>
    <row r="67" spans="1:6">
      <c r="A67" s="262"/>
      <c r="B67" s="262" t="s">
        <v>342</v>
      </c>
      <c r="D67" s="99" t="s">
        <v>343</v>
      </c>
      <c r="E67" s="99">
        <v>3</v>
      </c>
      <c r="F67" s="262"/>
    </row>
    <row r="68" spans="1:6">
      <c r="A68" s="262"/>
      <c r="B68" s="262" t="s">
        <v>344</v>
      </c>
      <c r="D68" s="99" t="s">
        <v>345</v>
      </c>
      <c r="E68" s="99">
        <v>3</v>
      </c>
      <c r="F68" s="262"/>
    </row>
    <row r="69" spans="1:6">
      <c r="A69" s="262"/>
      <c r="B69" s="262" t="s">
        <v>346</v>
      </c>
      <c r="D69" s="99" t="s">
        <v>347</v>
      </c>
      <c r="E69" s="99">
        <v>3</v>
      </c>
      <c r="F69" s="262"/>
    </row>
    <row r="70" spans="1:6">
      <c r="A70" s="262"/>
      <c r="B70" s="262" t="s">
        <v>348</v>
      </c>
      <c r="D70" s="99" t="s">
        <v>349</v>
      </c>
      <c r="E70" s="99">
        <v>3</v>
      </c>
      <c r="F70" s="262"/>
    </row>
    <row r="71" spans="1:6">
      <c r="A71" s="262"/>
      <c r="B71" s="262" t="s">
        <v>350</v>
      </c>
      <c r="D71" s="99" t="s">
        <v>351</v>
      </c>
      <c r="E71" s="99">
        <v>3</v>
      </c>
      <c r="F71" s="262"/>
    </row>
    <row r="72" spans="1:6">
      <c r="A72" s="262"/>
      <c r="B72" s="262"/>
      <c r="F72" s="262"/>
    </row>
    <row r="73" spans="1:6">
      <c r="A73" s="262"/>
      <c r="B73" s="262"/>
      <c r="F73" s="262"/>
    </row>
    <row r="74" spans="1:6">
      <c r="A74" s="262"/>
      <c r="B74" s="262"/>
      <c r="F74" s="262"/>
    </row>
    <row r="75" spans="1:6">
      <c r="A75" s="262"/>
      <c r="B75" s="262"/>
      <c r="F75" s="262"/>
    </row>
    <row r="76" spans="1:6">
      <c r="A76" s="262"/>
      <c r="B76" s="262"/>
      <c r="F76" s="262"/>
    </row>
    <row r="77" spans="1:6">
      <c r="A77" s="262"/>
      <c r="B77" s="262"/>
      <c r="F77" s="262"/>
    </row>
    <row r="78" spans="1:6">
      <c r="A78" s="262"/>
      <c r="B78" s="262"/>
      <c r="F78" s="262"/>
    </row>
    <row r="79" spans="1:6">
      <c r="A79" s="262"/>
      <c r="B79" s="262"/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</sheetData>
  <mergeCells count="7">
    <mergeCell ref="B26:F26"/>
    <mergeCell ref="B50:F50"/>
    <mergeCell ref="B3:F3"/>
    <mergeCell ref="B9:F9"/>
    <mergeCell ref="B15:F15"/>
    <mergeCell ref="B17:F17"/>
    <mergeCell ref="B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1001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501" t="s">
        <v>224</v>
      </c>
      <c r="C1" s="398"/>
      <c r="D1" s="398"/>
      <c r="E1" s="398"/>
      <c r="F1" s="398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352</v>
      </c>
      <c r="C3" s="398"/>
      <c r="D3" s="398"/>
      <c r="E3" s="398"/>
      <c r="F3" s="398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498" t="s">
        <v>353</v>
      </c>
      <c r="C8" s="398"/>
      <c r="D8" s="398"/>
      <c r="E8" s="398"/>
      <c r="F8" s="398"/>
    </row>
    <row r="9" spans="1:6">
      <c r="A9" s="262"/>
      <c r="B9" s="262" t="s">
        <v>71</v>
      </c>
      <c r="C9" s="99" t="s">
        <v>245</v>
      </c>
      <c r="D9" s="99" t="s">
        <v>246</v>
      </c>
      <c r="E9" s="99">
        <v>3</v>
      </c>
      <c r="F9" s="262" t="s">
        <v>233</v>
      </c>
    </row>
    <row r="10" spans="1:6">
      <c r="A10" s="262"/>
      <c r="B10" s="262" t="s">
        <v>354</v>
      </c>
      <c r="C10" s="99" t="s">
        <v>355</v>
      </c>
      <c r="D10" s="99" t="s">
        <v>356</v>
      </c>
      <c r="E10" s="99">
        <v>3</v>
      </c>
      <c r="F10" s="262" t="s">
        <v>233</v>
      </c>
    </row>
    <row r="11" spans="1:6">
      <c r="A11" s="262"/>
      <c r="B11" s="262" t="s">
        <v>357</v>
      </c>
      <c r="C11" s="99" t="s">
        <v>358</v>
      </c>
      <c r="D11" s="99" t="s">
        <v>359</v>
      </c>
      <c r="E11" s="99">
        <v>3</v>
      </c>
      <c r="F11" s="262" t="s">
        <v>233</v>
      </c>
    </row>
    <row r="12" spans="1:6">
      <c r="A12" s="262"/>
      <c r="B12" s="262" t="s">
        <v>360</v>
      </c>
      <c r="C12" s="99" t="s">
        <v>361</v>
      </c>
      <c r="D12" s="99" t="s">
        <v>362</v>
      </c>
      <c r="E12" s="99">
        <v>3</v>
      </c>
      <c r="F12" s="262" t="s">
        <v>233</v>
      </c>
    </row>
    <row r="13" spans="1:6">
      <c r="A13" s="262"/>
      <c r="B13" s="262" t="s">
        <v>363</v>
      </c>
      <c r="C13" s="99" t="s">
        <v>364</v>
      </c>
      <c r="D13" s="99" t="s">
        <v>365</v>
      </c>
      <c r="E13" s="99">
        <v>3</v>
      </c>
      <c r="F13" s="262" t="s">
        <v>233</v>
      </c>
    </row>
    <row r="14" spans="1:6">
      <c r="A14" s="262"/>
      <c r="B14" s="262" t="s">
        <v>366</v>
      </c>
      <c r="C14" s="99" t="s">
        <v>367</v>
      </c>
      <c r="D14" s="99" t="s">
        <v>368</v>
      </c>
      <c r="E14" s="99">
        <v>3</v>
      </c>
      <c r="F14" s="262" t="s">
        <v>233</v>
      </c>
    </row>
    <row r="15" spans="1:6">
      <c r="A15" s="262"/>
      <c r="B15" s="262" t="s">
        <v>369</v>
      </c>
      <c r="C15" s="99" t="s">
        <v>370</v>
      </c>
      <c r="D15" s="99" t="s">
        <v>371</v>
      </c>
      <c r="E15" s="99">
        <v>3</v>
      </c>
      <c r="F15" s="262" t="s">
        <v>233</v>
      </c>
    </row>
    <row r="16" spans="1:6">
      <c r="A16" s="262"/>
      <c r="B16" s="499"/>
      <c r="C16" s="398"/>
      <c r="D16" s="398"/>
      <c r="E16" s="398"/>
      <c r="F16" s="398"/>
    </row>
    <row r="17" spans="1:6">
      <c r="A17" s="262"/>
      <c r="B17" s="262" t="s">
        <v>372</v>
      </c>
      <c r="D17" s="99" t="s">
        <v>373</v>
      </c>
      <c r="E17" s="99">
        <v>3</v>
      </c>
      <c r="F17" s="262" t="s">
        <v>233</v>
      </c>
    </row>
    <row r="18" spans="1:6">
      <c r="A18" s="262"/>
      <c r="B18" s="262" t="s">
        <v>374</v>
      </c>
      <c r="D18" s="99" t="s">
        <v>375</v>
      </c>
      <c r="E18" s="99">
        <v>3</v>
      </c>
      <c r="F18" s="262" t="s">
        <v>233</v>
      </c>
    </row>
    <row r="19" spans="1:6">
      <c r="A19" s="262"/>
      <c r="B19" s="262" t="s">
        <v>73</v>
      </c>
      <c r="D19" s="99" t="s">
        <v>270</v>
      </c>
      <c r="E19" s="99">
        <v>3</v>
      </c>
      <c r="F19" s="262" t="s">
        <v>233</v>
      </c>
    </row>
    <row r="20" spans="1:6">
      <c r="A20" s="262"/>
      <c r="B20" s="262" t="s">
        <v>376</v>
      </c>
      <c r="D20" s="99" t="s">
        <v>377</v>
      </c>
      <c r="E20" s="99">
        <v>3</v>
      </c>
      <c r="F20" s="262" t="s">
        <v>233</v>
      </c>
    </row>
    <row r="21" spans="1:6">
      <c r="A21" s="262"/>
      <c r="B21" s="500"/>
      <c r="C21" s="398"/>
      <c r="D21" s="398"/>
      <c r="E21" s="398"/>
      <c r="F21" s="398"/>
    </row>
    <row r="22" spans="1:6">
      <c r="A22" s="262"/>
      <c r="B22" s="262" t="s">
        <v>378</v>
      </c>
      <c r="D22" s="99" t="s">
        <v>379</v>
      </c>
      <c r="E22" s="99">
        <v>1</v>
      </c>
      <c r="F22" s="262" t="s">
        <v>380</v>
      </c>
    </row>
    <row r="23" spans="1:6">
      <c r="A23" s="262"/>
      <c r="B23" s="262" t="s">
        <v>381</v>
      </c>
      <c r="D23" s="99" t="s">
        <v>382</v>
      </c>
      <c r="E23" s="99">
        <v>1</v>
      </c>
      <c r="F23" s="262" t="s">
        <v>380</v>
      </c>
    </row>
    <row r="24" spans="1:6">
      <c r="A24" s="262"/>
      <c r="B24" s="262" t="s">
        <v>383</v>
      </c>
      <c r="D24" s="99" t="s">
        <v>384</v>
      </c>
      <c r="F24" s="262"/>
    </row>
    <row r="25" spans="1:6">
      <c r="A25" s="262"/>
      <c r="B25" s="262" t="s">
        <v>385</v>
      </c>
      <c r="D25" s="99" t="s">
        <v>386</v>
      </c>
      <c r="F25" s="262"/>
    </row>
    <row r="26" spans="1:6">
      <c r="A26" s="262"/>
      <c r="B26" s="262" t="s">
        <v>387</v>
      </c>
      <c r="D26" s="99" t="s">
        <v>388</v>
      </c>
      <c r="F26" s="262"/>
    </row>
    <row r="27" spans="1:6">
      <c r="A27" s="262"/>
      <c r="B27" s="262" t="s">
        <v>389</v>
      </c>
      <c r="D27" s="99" t="s">
        <v>390</v>
      </c>
      <c r="F27" s="262"/>
    </row>
    <row r="28" spans="1:6">
      <c r="A28" s="262"/>
      <c r="B28" s="262" t="s">
        <v>391</v>
      </c>
      <c r="D28" s="99" t="s">
        <v>392</v>
      </c>
      <c r="F28" s="262"/>
    </row>
    <row r="29" spans="1:6">
      <c r="A29" s="262"/>
      <c r="B29" s="262" t="s">
        <v>393</v>
      </c>
      <c r="D29" s="99" t="s">
        <v>394</v>
      </c>
      <c r="F29" s="262"/>
    </row>
    <row r="30" spans="1:6">
      <c r="A30" s="262"/>
      <c r="B30" s="262" t="s">
        <v>395</v>
      </c>
      <c r="D30" s="99" t="s">
        <v>396</v>
      </c>
      <c r="F30" s="262"/>
    </row>
    <row r="31" spans="1:6">
      <c r="A31" s="262"/>
      <c r="B31" s="262" t="s">
        <v>397</v>
      </c>
      <c r="D31" s="99" t="s">
        <v>398</v>
      </c>
      <c r="F31" s="262"/>
    </row>
    <row r="32" spans="1:6">
      <c r="A32" s="262"/>
      <c r="B32" s="262" t="s">
        <v>399</v>
      </c>
      <c r="D32" s="99" t="s">
        <v>400</v>
      </c>
      <c r="F32" s="262"/>
    </row>
    <row r="33" spans="1:6">
      <c r="A33" s="262"/>
      <c r="B33" s="262" t="s">
        <v>401</v>
      </c>
      <c r="D33" s="99" t="s">
        <v>402</v>
      </c>
      <c r="F33" s="262"/>
    </row>
    <row r="34" spans="1:6">
      <c r="A34" s="262"/>
      <c r="B34" s="496" t="s">
        <v>271</v>
      </c>
      <c r="C34" s="398"/>
      <c r="D34" s="398"/>
      <c r="E34" s="398"/>
      <c r="F34" s="398"/>
    </row>
    <row r="35" spans="1:6">
      <c r="A35" s="262"/>
      <c r="B35" s="496" t="s">
        <v>272</v>
      </c>
      <c r="C35" s="398"/>
      <c r="D35" s="398"/>
      <c r="E35" s="398"/>
      <c r="F35" s="398"/>
    </row>
    <row r="36" spans="1:6">
      <c r="A36" s="262"/>
      <c r="B36" s="262" t="s">
        <v>273</v>
      </c>
      <c r="D36" s="99" t="s">
        <v>274</v>
      </c>
      <c r="E36" s="99">
        <v>2</v>
      </c>
      <c r="F36" s="262" t="s">
        <v>275</v>
      </c>
    </row>
    <row r="37" spans="1:6">
      <c r="A37" s="262"/>
      <c r="B37" s="262" t="s">
        <v>276</v>
      </c>
      <c r="D37" s="99" t="s">
        <v>277</v>
      </c>
      <c r="E37" s="99">
        <v>2</v>
      </c>
      <c r="F37" s="262" t="s">
        <v>275</v>
      </c>
    </row>
    <row r="38" spans="1:6">
      <c r="A38" s="262"/>
      <c r="B38" s="262" t="s">
        <v>94</v>
      </c>
      <c r="D38" s="99" t="s">
        <v>278</v>
      </c>
      <c r="E38" s="99">
        <v>2</v>
      </c>
      <c r="F38" s="262" t="s">
        <v>279</v>
      </c>
    </row>
    <row r="39" spans="1:6">
      <c r="A39" s="262"/>
      <c r="B39" s="262" t="s">
        <v>280</v>
      </c>
      <c r="D39" s="99" t="s">
        <v>281</v>
      </c>
      <c r="E39" s="99">
        <v>2</v>
      </c>
      <c r="F39" s="262" t="s">
        <v>275</v>
      </c>
    </row>
    <row r="40" spans="1:6">
      <c r="A40" s="262"/>
      <c r="B40" s="262" t="s">
        <v>68</v>
      </c>
      <c r="D40" s="99" t="s">
        <v>282</v>
      </c>
      <c r="E40" s="99">
        <v>3</v>
      </c>
      <c r="F40" s="262" t="s">
        <v>283</v>
      </c>
    </row>
    <row r="41" spans="1:6">
      <c r="A41" s="262"/>
      <c r="B41" s="262" t="s">
        <v>284</v>
      </c>
      <c r="D41" s="99" t="s">
        <v>285</v>
      </c>
      <c r="E41" s="99">
        <v>3</v>
      </c>
      <c r="F41" s="262" t="s">
        <v>283</v>
      </c>
    </row>
    <row r="42" spans="1:6">
      <c r="A42" s="262"/>
      <c r="B42" s="496" t="s">
        <v>286</v>
      </c>
      <c r="C42" s="398"/>
      <c r="D42" s="398"/>
      <c r="E42" s="398"/>
      <c r="F42" s="398"/>
    </row>
    <row r="43" spans="1:6">
      <c r="A43" s="262"/>
      <c r="B43" s="496" t="s">
        <v>287</v>
      </c>
      <c r="C43" s="398"/>
      <c r="D43" s="398"/>
      <c r="E43" s="398"/>
      <c r="F43" s="398"/>
    </row>
    <row r="44" spans="1:6">
      <c r="A44" s="262"/>
      <c r="B44" s="262" t="s">
        <v>95</v>
      </c>
      <c r="D44" s="99" t="s">
        <v>289</v>
      </c>
      <c r="F44" s="262"/>
    </row>
    <row r="45" spans="1:6">
      <c r="A45" s="262"/>
      <c r="B45" s="262" t="s">
        <v>290</v>
      </c>
      <c r="D45" s="99" t="s">
        <v>291</v>
      </c>
      <c r="F45" s="262"/>
    </row>
    <row r="46" spans="1:6">
      <c r="A46" s="262"/>
      <c r="B46" s="262" t="s">
        <v>97</v>
      </c>
      <c r="D46" s="99" t="s">
        <v>292</v>
      </c>
      <c r="F46" s="262"/>
    </row>
    <row r="47" spans="1:6">
      <c r="A47" s="262"/>
      <c r="B47" s="262" t="s">
        <v>293</v>
      </c>
      <c r="D47" s="99" t="s">
        <v>294</v>
      </c>
      <c r="F47" s="262"/>
    </row>
    <row r="48" spans="1:6">
      <c r="A48" s="262"/>
      <c r="B48" s="262" t="s">
        <v>101</v>
      </c>
      <c r="D48" s="99" t="s">
        <v>295</v>
      </c>
      <c r="F48" s="262"/>
    </row>
    <row r="49" spans="1:6">
      <c r="A49" s="262"/>
      <c r="B49" s="262" t="s">
        <v>104</v>
      </c>
      <c r="D49" s="99" t="s">
        <v>296</v>
      </c>
      <c r="F49" s="262"/>
    </row>
    <row r="50" spans="1:6">
      <c r="A50" s="262"/>
      <c r="B50" s="262" t="s">
        <v>297</v>
      </c>
      <c r="D50" s="99" t="s">
        <v>129</v>
      </c>
      <c r="F50" s="262"/>
    </row>
    <row r="51" spans="1:6">
      <c r="A51" s="262"/>
      <c r="B51" s="262" t="s">
        <v>298</v>
      </c>
      <c r="D51" s="99" t="s">
        <v>299</v>
      </c>
      <c r="F51" s="262"/>
    </row>
    <row r="52" spans="1:6">
      <c r="A52" s="262"/>
      <c r="B52" s="262" t="s">
        <v>300</v>
      </c>
      <c r="D52" s="99" t="s">
        <v>134</v>
      </c>
      <c r="F52" s="262"/>
    </row>
    <row r="53" spans="1:6">
      <c r="A53" s="262"/>
      <c r="B53" s="262" t="s">
        <v>301</v>
      </c>
      <c r="D53" s="99" t="s">
        <v>136</v>
      </c>
      <c r="F53" s="262"/>
    </row>
    <row r="54" spans="1:6">
      <c r="A54" s="262"/>
      <c r="B54" s="262" t="s">
        <v>302</v>
      </c>
      <c r="D54" s="99" t="s">
        <v>303</v>
      </c>
      <c r="F54" s="262"/>
    </row>
    <row r="55" spans="1:6">
      <c r="A55" s="262"/>
      <c r="B55" s="262" t="s">
        <v>304</v>
      </c>
      <c r="D55" s="99" t="s">
        <v>305</v>
      </c>
      <c r="F55" s="262"/>
    </row>
    <row r="56" spans="1:6">
      <c r="A56" s="262"/>
      <c r="B56" s="262" t="s">
        <v>306</v>
      </c>
      <c r="D56" s="99" t="s">
        <v>307</v>
      </c>
      <c r="F56" s="262"/>
    </row>
    <row r="57" spans="1:6">
      <c r="A57" s="262"/>
      <c r="B57" s="262" t="s">
        <v>308</v>
      </c>
      <c r="D57" s="99" t="s">
        <v>309</v>
      </c>
      <c r="F57" s="262"/>
    </row>
    <row r="58" spans="1:6">
      <c r="A58" s="262"/>
      <c r="B58" s="496" t="s">
        <v>310</v>
      </c>
      <c r="C58" s="398"/>
      <c r="D58" s="398"/>
      <c r="E58" s="398"/>
      <c r="F58" s="398"/>
    </row>
    <row r="59" spans="1:6">
      <c r="A59" s="262"/>
      <c r="B59" s="262" t="s">
        <v>311</v>
      </c>
      <c r="D59" s="99" t="s">
        <v>312</v>
      </c>
      <c r="F59" s="262"/>
    </row>
    <row r="60" spans="1:6">
      <c r="A60" s="262"/>
      <c r="B60" s="262" t="s">
        <v>313</v>
      </c>
      <c r="D60" s="99" t="s">
        <v>314</v>
      </c>
      <c r="F60" s="262"/>
    </row>
    <row r="61" spans="1:6">
      <c r="A61" s="262"/>
      <c r="B61" s="262" t="s">
        <v>315</v>
      </c>
      <c r="D61" s="99" t="s">
        <v>316</v>
      </c>
      <c r="F61" s="262"/>
    </row>
    <row r="62" spans="1:6">
      <c r="A62" s="262"/>
      <c r="B62" s="262" t="s">
        <v>317</v>
      </c>
      <c r="D62" s="99" t="s">
        <v>318</v>
      </c>
      <c r="F62" s="262"/>
    </row>
    <row r="63" spans="1:6">
      <c r="A63" s="262"/>
      <c r="B63" s="262" t="s">
        <v>319</v>
      </c>
      <c r="D63" s="99" t="s">
        <v>320</v>
      </c>
      <c r="F63" s="262"/>
    </row>
    <row r="64" spans="1:6">
      <c r="A64" s="262"/>
      <c r="B64" s="262" t="s">
        <v>321</v>
      </c>
      <c r="D64" s="99" t="s">
        <v>322</v>
      </c>
      <c r="F64" s="262"/>
    </row>
    <row r="65" spans="1:6">
      <c r="A65" s="262"/>
      <c r="B65" s="262" t="s">
        <v>108</v>
      </c>
      <c r="D65" s="99" t="s">
        <v>323</v>
      </c>
      <c r="F65" s="262"/>
    </row>
    <row r="66" spans="1:6">
      <c r="A66" s="262"/>
      <c r="B66" s="262" t="s">
        <v>324</v>
      </c>
      <c r="D66" s="99" t="s">
        <v>325</v>
      </c>
      <c r="F66" s="262"/>
    </row>
    <row r="67" spans="1:6">
      <c r="A67" s="262"/>
      <c r="B67" s="262" t="s">
        <v>326</v>
      </c>
      <c r="D67" s="99" t="s">
        <v>327</v>
      </c>
      <c r="E67" s="99">
        <v>3</v>
      </c>
      <c r="F67" s="262" t="s">
        <v>283</v>
      </c>
    </row>
    <row r="68" spans="1:6">
      <c r="A68" s="262"/>
      <c r="B68" s="262" t="s">
        <v>328</v>
      </c>
      <c r="D68" s="99" t="s">
        <v>329</v>
      </c>
      <c r="E68" s="99">
        <v>3</v>
      </c>
      <c r="F68" s="262" t="s">
        <v>233</v>
      </c>
    </row>
    <row r="69" spans="1:6">
      <c r="A69" s="262"/>
      <c r="B69" s="262" t="s">
        <v>330</v>
      </c>
      <c r="D69" s="99" t="s">
        <v>331</v>
      </c>
      <c r="E69" s="99">
        <v>3</v>
      </c>
      <c r="F69" s="262" t="s">
        <v>283</v>
      </c>
    </row>
    <row r="70" spans="1:6">
      <c r="A70" s="262"/>
      <c r="B70" s="262" t="s">
        <v>332</v>
      </c>
      <c r="D70" s="99" t="s">
        <v>333</v>
      </c>
      <c r="E70" s="99">
        <v>3</v>
      </c>
      <c r="F70" s="262" t="s">
        <v>283</v>
      </c>
    </row>
    <row r="71" spans="1:6">
      <c r="A71" s="262"/>
      <c r="B71" s="262" t="s">
        <v>334</v>
      </c>
      <c r="D71" s="99" t="s">
        <v>335</v>
      </c>
      <c r="F71" s="262"/>
    </row>
    <row r="72" spans="1:6">
      <c r="A72" s="262"/>
      <c r="B72" s="262" t="s">
        <v>336</v>
      </c>
      <c r="D72" s="99" t="s">
        <v>337</v>
      </c>
      <c r="F72" s="262"/>
    </row>
    <row r="73" spans="1:6">
      <c r="A73" s="262"/>
      <c r="B73" s="262" t="s">
        <v>338</v>
      </c>
      <c r="D73" s="99" t="s">
        <v>339</v>
      </c>
      <c r="F73" s="262"/>
    </row>
    <row r="74" spans="1:6">
      <c r="A74" s="262"/>
      <c r="B74" s="262" t="s">
        <v>340</v>
      </c>
      <c r="D74" s="99" t="s">
        <v>341</v>
      </c>
      <c r="F74" s="262"/>
    </row>
    <row r="75" spans="1:6">
      <c r="A75" s="262"/>
      <c r="B75" s="262" t="s">
        <v>342</v>
      </c>
      <c r="D75" s="99" t="s">
        <v>343</v>
      </c>
      <c r="F75" s="262"/>
    </row>
    <row r="76" spans="1:6">
      <c r="A76" s="262"/>
      <c r="B76" s="262" t="s">
        <v>344</v>
      </c>
      <c r="D76" s="99" t="s">
        <v>345</v>
      </c>
      <c r="F76" s="262"/>
    </row>
    <row r="77" spans="1:6">
      <c r="A77" s="262"/>
      <c r="B77" s="262" t="s">
        <v>346</v>
      </c>
      <c r="D77" s="99" t="s">
        <v>347</v>
      </c>
      <c r="F77" s="262"/>
    </row>
    <row r="78" spans="1:6">
      <c r="A78" s="262"/>
      <c r="B78" s="262" t="s">
        <v>348</v>
      </c>
      <c r="D78" s="99" t="s">
        <v>349</v>
      </c>
      <c r="F78" s="262"/>
    </row>
    <row r="79" spans="1:6">
      <c r="A79" s="262"/>
      <c r="B79" s="262" t="s">
        <v>350</v>
      </c>
      <c r="D79" s="99" t="s">
        <v>351</v>
      </c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  <row r="994" spans="1:6">
      <c r="A994" s="262"/>
      <c r="B994" s="262"/>
      <c r="F994" s="262"/>
    </row>
    <row r="995" spans="1:6">
      <c r="A995" s="262"/>
      <c r="B995" s="262"/>
      <c r="F995" s="262"/>
    </row>
    <row r="996" spans="1:6">
      <c r="A996" s="262"/>
      <c r="B996" s="262"/>
      <c r="F996" s="262"/>
    </row>
    <row r="997" spans="1:6">
      <c r="A997" s="262"/>
      <c r="B997" s="262"/>
      <c r="F997" s="262"/>
    </row>
    <row r="998" spans="1:6">
      <c r="A998" s="262"/>
      <c r="B998" s="262"/>
      <c r="F998" s="262"/>
    </row>
    <row r="999" spans="1:6">
      <c r="A999" s="262"/>
      <c r="B999" s="262"/>
      <c r="F999" s="262"/>
    </row>
    <row r="1000" spans="1:6">
      <c r="A1000" s="262"/>
      <c r="B1000" s="262"/>
      <c r="F1000" s="262"/>
    </row>
    <row r="1001" spans="1:6">
      <c r="A1001" s="262"/>
      <c r="B1001" s="262"/>
      <c r="F1001" s="262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F5CC-60BD-4848-A2E3-858870F3C992}">
  <sheetPr>
    <tabColor theme="4"/>
  </sheetPr>
  <dimension ref="A1:W27"/>
  <sheetViews>
    <sheetView tabSelected="1" topLeftCell="A5" zoomScale="112" workbookViewId="0">
      <selection activeCell="T11" sqref="T11"/>
    </sheetView>
  </sheetViews>
  <sheetFormatPr baseColWidth="10" defaultColWidth="10.3984375" defaultRowHeight="14"/>
  <cols>
    <col min="1" max="1" width="14.3984375" style="267" customWidth="1"/>
    <col min="2" max="2" width="12" style="267" customWidth="1"/>
    <col min="3" max="22" width="10.796875" style="267" customWidth="1"/>
    <col min="23" max="16384" width="10.3984375" style="267"/>
  </cols>
  <sheetData>
    <row r="1" spans="1:23" ht="18">
      <c r="A1" s="349" t="s">
        <v>403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</row>
    <row r="2" spans="1:23" ht="18" customHeight="1">
      <c r="A2" s="368" t="s">
        <v>404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  <c r="S2" s="368"/>
      <c r="T2" s="368"/>
      <c r="U2" s="368"/>
      <c r="V2" s="368"/>
    </row>
    <row r="3" spans="1:23" ht="15" thickBot="1"/>
    <row r="4" spans="1:23" ht="25.5" customHeight="1" thickBot="1">
      <c r="A4" s="284" t="s">
        <v>405</v>
      </c>
      <c r="B4" s="284" t="s">
        <v>406</v>
      </c>
      <c r="C4" s="293" t="s">
        <v>407</v>
      </c>
      <c r="D4" s="293" t="s">
        <v>408</v>
      </c>
      <c r="E4" s="293" t="s">
        <v>409</v>
      </c>
      <c r="F4" s="293" t="s">
        <v>410</v>
      </c>
      <c r="G4" s="293" t="s">
        <v>411</v>
      </c>
      <c r="H4" s="293" t="s">
        <v>412</v>
      </c>
      <c r="I4" s="293" t="s">
        <v>413</v>
      </c>
      <c r="J4" s="293" t="s">
        <v>414</v>
      </c>
      <c r="K4" s="293" t="s">
        <v>415</v>
      </c>
      <c r="L4" s="293" t="s">
        <v>416</v>
      </c>
      <c r="M4" s="293" t="s">
        <v>417</v>
      </c>
      <c r="N4" s="293" t="s">
        <v>418</v>
      </c>
      <c r="O4" s="293" t="s">
        <v>419</v>
      </c>
      <c r="P4" s="293" t="s">
        <v>420</v>
      </c>
      <c r="Q4" s="293" t="s">
        <v>421</v>
      </c>
      <c r="R4" s="293" t="s">
        <v>422</v>
      </c>
      <c r="S4" s="293" t="s">
        <v>423</v>
      </c>
      <c r="T4" s="293" t="s">
        <v>424</v>
      </c>
      <c r="U4" s="293" t="s">
        <v>425</v>
      </c>
      <c r="V4" s="293" t="s">
        <v>426</v>
      </c>
      <c r="W4" s="294">
        <v>0.75</v>
      </c>
    </row>
    <row r="5" spans="1:23" ht="48" customHeight="1">
      <c r="A5" s="345" t="s">
        <v>427</v>
      </c>
      <c r="B5" s="337" t="s">
        <v>428</v>
      </c>
      <c r="C5" s="299"/>
      <c r="D5" s="299"/>
      <c r="E5" s="299"/>
      <c r="F5" s="339" t="s">
        <v>429</v>
      </c>
      <c r="G5" s="340"/>
      <c r="H5" s="340"/>
      <c r="I5" s="340" t="s">
        <v>430</v>
      </c>
      <c r="J5" s="340"/>
      <c r="K5" s="341"/>
      <c r="L5" s="299"/>
      <c r="M5" s="363" t="s">
        <v>441</v>
      </c>
      <c r="N5" s="364"/>
      <c r="O5" s="365" t="s">
        <v>442</v>
      </c>
      <c r="P5" s="366"/>
      <c r="Q5" s="366"/>
      <c r="R5" s="366"/>
      <c r="S5" s="366"/>
      <c r="T5" s="366"/>
      <c r="U5" s="366"/>
      <c r="V5" s="367"/>
    </row>
    <row r="6" spans="1:23" ht="60" customHeight="1">
      <c r="A6" s="346"/>
      <c r="B6" s="338"/>
      <c r="C6" s="270"/>
      <c r="D6" s="270"/>
      <c r="E6" s="270"/>
      <c r="F6" s="270"/>
      <c r="G6" s="270"/>
      <c r="H6" s="270"/>
      <c r="I6" s="270"/>
      <c r="J6" s="270"/>
      <c r="K6" s="270"/>
      <c r="L6" s="271"/>
      <c r="M6" s="331" t="s">
        <v>464</v>
      </c>
      <c r="N6" s="332"/>
      <c r="O6" s="350" t="s">
        <v>465</v>
      </c>
      <c r="P6" s="369"/>
      <c r="Q6" s="351"/>
      <c r="R6" s="351"/>
      <c r="S6" s="351"/>
      <c r="T6" s="351"/>
      <c r="U6" s="351"/>
      <c r="V6" s="352"/>
    </row>
    <row r="7" spans="1:23" ht="60" customHeight="1">
      <c r="A7" s="346"/>
      <c r="B7" s="268" t="s">
        <v>431</v>
      </c>
      <c r="C7" s="353" t="s">
        <v>440</v>
      </c>
      <c r="D7" s="354"/>
      <c r="E7" s="355"/>
      <c r="F7" s="353" t="s">
        <v>443</v>
      </c>
      <c r="G7" s="354"/>
      <c r="H7" s="355"/>
      <c r="I7" s="270"/>
      <c r="J7" s="270"/>
      <c r="K7" s="270"/>
      <c r="L7" s="271"/>
      <c r="M7" s="285"/>
      <c r="N7" s="270"/>
      <c r="O7" s="271"/>
      <c r="P7" s="291"/>
      <c r="Q7" s="272"/>
      <c r="R7" s="270"/>
      <c r="S7" s="270"/>
      <c r="T7" s="270"/>
      <c r="U7" s="270"/>
      <c r="V7" s="286"/>
    </row>
    <row r="8" spans="1:23" ht="37" customHeight="1" thickBot="1">
      <c r="A8" s="346"/>
      <c r="B8" s="269" t="s">
        <v>432</v>
      </c>
      <c r="C8" s="270"/>
      <c r="D8" s="270"/>
      <c r="E8" s="270"/>
      <c r="F8" s="270"/>
      <c r="G8" s="270"/>
      <c r="H8" s="270"/>
      <c r="I8" s="270"/>
      <c r="J8" s="270"/>
      <c r="K8" s="270"/>
      <c r="L8" s="271"/>
      <c r="M8" s="373" t="s">
        <v>444</v>
      </c>
      <c r="N8" s="374"/>
      <c r="O8" s="374"/>
      <c r="P8" s="375"/>
      <c r="Q8" s="374"/>
      <c r="R8" s="374"/>
      <c r="S8" s="376"/>
      <c r="T8" s="287"/>
      <c r="U8" s="287"/>
      <c r="V8" s="288"/>
    </row>
    <row r="9" spans="1:23" ht="27" thickBot="1">
      <c r="A9" s="347"/>
      <c r="B9" s="303" t="s">
        <v>433</v>
      </c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305"/>
      <c r="N9" s="305"/>
      <c r="O9" s="306"/>
      <c r="P9" s="325"/>
      <c r="Q9" s="307"/>
      <c r="R9" s="305"/>
      <c r="S9" s="305"/>
      <c r="T9" s="305"/>
      <c r="U9" s="305"/>
      <c r="V9" s="308"/>
    </row>
    <row r="10" spans="1:23" ht="49" customHeight="1" thickBot="1">
      <c r="A10" s="345" t="s">
        <v>434</v>
      </c>
      <c r="B10" s="309" t="s">
        <v>428</v>
      </c>
      <c r="C10" s="299"/>
      <c r="D10" s="299"/>
      <c r="E10" s="299"/>
      <c r="F10" s="339" t="s">
        <v>445</v>
      </c>
      <c r="G10" s="340"/>
      <c r="H10" s="341"/>
      <c r="I10" s="339" t="s">
        <v>435</v>
      </c>
      <c r="J10" s="340"/>
      <c r="K10" s="341"/>
      <c r="L10" s="299"/>
      <c r="M10" s="360" t="s">
        <v>446</v>
      </c>
      <c r="N10" s="361"/>
      <c r="O10" s="361"/>
      <c r="P10" s="361"/>
      <c r="Q10" s="361"/>
      <c r="R10" s="362"/>
      <c r="S10" s="310"/>
      <c r="T10" s="310"/>
      <c r="U10" s="310"/>
      <c r="V10" s="311"/>
    </row>
    <row r="11" spans="1:23" ht="48" customHeight="1">
      <c r="A11" s="346"/>
      <c r="B11" s="268" t="s">
        <v>431</v>
      </c>
      <c r="C11" s="270"/>
      <c r="D11" s="270"/>
      <c r="E11" s="270"/>
      <c r="F11" s="270"/>
      <c r="G11" s="270"/>
      <c r="H11" s="270"/>
      <c r="I11" s="342" t="s">
        <v>447</v>
      </c>
      <c r="J11" s="343"/>
      <c r="K11" s="343"/>
      <c r="L11" s="356"/>
      <c r="M11" s="357" t="s">
        <v>448</v>
      </c>
      <c r="N11" s="358"/>
      <c r="O11" s="358"/>
      <c r="P11" s="358"/>
      <c r="Q11" s="358"/>
      <c r="R11" s="358"/>
      <c r="S11" s="359"/>
      <c r="T11" s="296"/>
      <c r="U11" s="296"/>
      <c r="V11" s="312"/>
    </row>
    <row r="12" spans="1:23" ht="61" customHeight="1" thickBot="1">
      <c r="A12" s="346"/>
      <c r="B12" s="269" t="s">
        <v>432</v>
      </c>
      <c r="C12" s="377" t="s">
        <v>449</v>
      </c>
      <c r="D12" s="378"/>
      <c r="E12" s="377" t="s">
        <v>450</v>
      </c>
      <c r="F12" s="379"/>
      <c r="G12" s="379"/>
      <c r="H12" s="379"/>
      <c r="I12" s="379"/>
      <c r="J12" s="379"/>
      <c r="K12" s="379"/>
      <c r="L12" s="380"/>
      <c r="M12" s="381" t="s">
        <v>451</v>
      </c>
      <c r="N12" s="382"/>
      <c r="O12" s="383" t="s">
        <v>452</v>
      </c>
      <c r="P12" s="384"/>
      <c r="Q12" s="384"/>
      <c r="R12" s="384"/>
      <c r="S12" s="384"/>
      <c r="T12" s="384"/>
      <c r="U12" s="384"/>
      <c r="V12" s="385"/>
    </row>
    <row r="13" spans="1:23" ht="27" thickBot="1">
      <c r="A13" s="347"/>
      <c r="B13" s="303" t="s">
        <v>433</v>
      </c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5"/>
      <c r="N13" s="305"/>
      <c r="O13" s="305"/>
      <c r="P13" s="330"/>
      <c r="Q13" s="307"/>
      <c r="R13" s="305"/>
      <c r="S13" s="305"/>
      <c r="T13" s="305"/>
      <c r="U13" s="305"/>
      <c r="V13" s="308"/>
    </row>
    <row r="14" spans="1:23" ht="26">
      <c r="A14" s="345" t="s">
        <v>436</v>
      </c>
      <c r="B14" s="309" t="s">
        <v>428</v>
      </c>
      <c r="C14" s="299"/>
      <c r="D14" s="299"/>
      <c r="E14" s="299"/>
      <c r="F14" s="299"/>
      <c r="G14" s="299"/>
      <c r="H14" s="299"/>
      <c r="I14" s="299"/>
      <c r="J14" s="299"/>
      <c r="K14" s="299"/>
      <c r="L14" s="299"/>
      <c r="M14" s="299"/>
      <c r="N14" s="299"/>
      <c r="O14" s="300"/>
      <c r="P14" s="313"/>
      <c r="Q14" s="301"/>
      <c r="R14" s="299"/>
      <c r="S14" s="299"/>
      <c r="T14" s="299"/>
      <c r="U14" s="299"/>
      <c r="V14" s="314"/>
    </row>
    <row r="15" spans="1:23" ht="26">
      <c r="A15" s="346"/>
      <c r="B15" s="268" t="s">
        <v>431</v>
      </c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  <c r="O15" s="271"/>
      <c r="P15" s="291"/>
      <c r="Q15" s="272"/>
      <c r="R15" s="270"/>
      <c r="S15" s="270"/>
      <c r="T15" s="270"/>
      <c r="U15" s="270"/>
      <c r="V15" s="302"/>
    </row>
    <row r="16" spans="1:23" ht="60" customHeight="1">
      <c r="A16" s="346"/>
      <c r="B16" s="269" t="s">
        <v>432</v>
      </c>
      <c r="C16" s="270"/>
      <c r="D16" s="270"/>
      <c r="E16" s="342" t="s">
        <v>453</v>
      </c>
      <c r="F16" s="343"/>
      <c r="G16" s="343"/>
      <c r="H16" s="343"/>
      <c r="I16" s="343"/>
      <c r="J16" s="344"/>
      <c r="K16" s="270"/>
      <c r="L16" s="270"/>
      <c r="M16" s="270"/>
      <c r="N16" s="270"/>
      <c r="O16" s="271"/>
      <c r="P16" s="291"/>
      <c r="Q16" s="272"/>
      <c r="R16" s="270"/>
      <c r="S16" s="270"/>
      <c r="T16" s="270"/>
      <c r="U16" s="270"/>
      <c r="V16" s="302"/>
    </row>
    <row r="17" spans="1:22" ht="27" thickBot="1">
      <c r="A17" s="347"/>
      <c r="B17" s="303" t="s">
        <v>433</v>
      </c>
      <c r="C17" s="304"/>
      <c r="D17" s="304"/>
      <c r="E17" s="304"/>
      <c r="F17" s="304"/>
      <c r="G17" s="304"/>
      <c r="H17" s="304"/>
      <c r="I17" s="304"/>
      <c r="J17" s="304"/>
      <c r="K17" s="304"/>
      <c r="L17" s="304"/>
      <c r="M17" s="273"/>
      <c r="N17" s="273"/>
      <c r="O17" s="290"/>
      <c r="P17" s="317"/>
      <c r="Q17" s="295"/>
      <c r="R17" s="273"/>
      <c r="S17" s="273"/>
      <c r="T17" s="273"/>
      <c r="U17" s="273"/>
      <c r="V17" s="321"/>
    </row>
    <row r="18" spans="1:22" ht="48" customHeight="1">
      <c r="A18" s="345" t="s">
        <v>437</v>
      </c>
      <c r="B18" s="337" t="s">
        <v>428</v>
      </c>
      <c r="C18" s="299"/>
      <c r="D18" s="299"/>
      <c r="E18" s="299"/>
      <c r="F18" s="339" t="s">
        <v>429</v>
      </c>
      <c r="G18" s="340"/>
      <c r="H18" s="341"/>
      <c r="I18" s="339" t="s">
        <v>430</v>
      </c>
      <c r="J18" s="340"/>
      <c r="K18" s="341"/>
      <c r="L18" s="300"/>
      <c r="M18" s="363" t="s">
        <v>454</v>
      </c>
      <c r="N18" s="364"/>
      <c r="O18" s="365" t="s">
        <v>455</v>
      </c>
      <c r="P18" s="366"/>
      <c r="Q18" s="366"/>
      <c r="R18" s="366"/>
      <c r="S18" s="366"/>
      <c r="T18" s="366"/>
      <c r="U18" s="366"/>
      <c r="V18" s="367"/>
    </row>
    <row r="19" spans="1:22" ht="60" customHeight="1">
      <c r="A19" s="346"/>
      <c r="B19" s="338"/>
      <c r="C19" s="270"/>
      <c r="D19" s="270"/>
      <c r="E19" s="270"/>
      <c r="F19" s="270"/>
      <c r="G19" s="270"/>
      <c r="H19" s="270"/>
      <c r="I19" s="270"/>
      <c r="J19" s="270"/>
      <c r="K19" s="270"/>
      <c r="L19" s="271"/>
      <c r="M19" s="331" t="s">
        <v>466</v>
      </c>
      <c r="N19" s="332"/>
      <c r="O19" s="350" t="s">
        <v>467</v>
      </c>
      <c r="P19" s="351"/>
      <c r="Q19" s="351"/>
      <c r="R19" s="351"/>
      <c r="S19" s="351"/>
      <c r="T19" s="351"/>
      <c r="U19" s="351"/>
      <c r="V19" s="352"/>
    </row>
    <row r="20" spans="1:22" ht="72" customHeight="1">
      <c r="A20" s="346"/>
      <c r="B20" s="268" t="s">
        <v>431</v>
      </c>
      <c r="C20" s="342" t="s">
        <v>440</v>
      </c>
      <c r="D20" s="343"/>
      <c r="E20" s="344"/>
      <c r="F20" s="342" t="s">
        <v>443</v>
      </c>
      <c r="G20" s="343"/>
      <c r="H20" s="344"/>
      <c r="I20" s="270"/>
      <c r="J20" s="270"/>
      <c r="K20" s="270"/>
      <c r="L20" s="271"/>
      <c r="M20" s="390" t="s">
        <v>456</v>
      </c>
      <c r="N20" s="355"/>
      <c r="O20" s="353" t="s">
        <v>457</v>
      </c>
      <c r="P20" s="354"/>
      <c r="Q20" s="354"/>
      <c r="R20" s="354"/>
      <c r="S20" s="354"/>
      <c r="T20" s="354"/>
      <c r="U20" s="354"/>
      <c r="V20" s="370"/>
    </row>
    <row r="21" spans="1:22" ht="61" customHeight="1" thickBot="1">
      <c r="A21" s="346"/>
      <c r="B21" s="269" t="s">
        <v>432</v>
      </c>
      <c r="C21" s="270"/>
      <c r="D21" s="270"/>
      <c r="E21" s="270"/>
      <c r="F21" s="270"/>
      <c r="G21" s="270"/>
      <c r="H21" s="270"/>
      <c r="I21" s="270"/>
      <c r="J21" s="270"/>
      <c r="K21" s="270"/>
      <c r="L21" s="271"/>
      <c r="M21" s="381" t="s">
        <v>458</v>
      </c>
      <c r="N21" s="382"/>
      <c r="O21" s="383" t="s">
        <v>459</v>
      </c>
      <c r="P21" s="384"/>
      <c r="Q21" s="384"/>
      <c r="R21" s="384"/>
      <c r="S21" s="384"/>
      <c r="T21" s="384"/>
      <c r="U21" s="384"/>
      <c r="V21" s="386"/>
    </row>
    <row r="22" spans="1:22" ht="27" thickBot="1">
      <c r="A22" s="348"/>
      <c r="B22" s="274" t="s">
        <v>433</v>
      </c>
      <c r="C22" s="273"/>
      <c r="D22" s="273"/>
      <c r="E22" s="273"/>
      <c r="F22" s="273"/>
      <c r="G22" s="273"/>
      <c r="H22" s="273"/>
      <c r="I22" s="273"/>
      <c r="J22" s="273"/>
      <c r="K22" s="273"/>
      <c r="L22" s="273"/>
      <c r="M22" s="280"/>
      <c r="N22" s="280"/>
      <c r="O22" s="315"/>
      <c r="P22" s="322"/>
      <c r="Q22" s="316"/>
      <c r="R22" s="280"/>
      <c r="S22" s="280"/>
      <c r="T22" s="280"/>
      <c r="U22" s="280"/>
      <c r="V22" s="318"/>
    </row>
    <row r="23" spans="1:22" ht="49" customHeight="1" thickBot="1">
      <c r="A23" s="333" t="s">
        <v>438</v>
      </c>
      <c r="B23" s="281" t="s">
        <v>428</v>
      </c>
      <c r="C23" s="275"/>
      <c r="D23" s="275"/>
      <c r="E23" s="275"/>
      <c r="F23" s="387" t="s">
        <v>445</v>
      </c>
      <c r="G23" s="388"/>
      <c r="H23" s="389"/>
      <c r="I23" s="387" t="s">
        <v>435</v>
      </c>
      <c r="J23" s="388"/>
      <c r="K23" s="389"/>
      <c r="L23" s="275"/>
      <c r="M23" s="282"/>
      <c r="N23" s="282"/>
      <c r="O23" s="297"/>
      <c r="P23" s="323"/>
      <c r="Q23" s="319"/>
      <c r="R23" s="282"/>
      <c r="S23" s="282"/>
      <c r="T23" s="282"/>
      <c r="U23" s="282"/>
      <c r="V23" s="283"/>
    </row>
    <row r="24" spans="1:22" ht="48" customHeight="1">
      <c r="A24" s="334"/>
      <c r="B24" s="268" t="s">
        <v>431</v>
      </c>
      <c r="C24" s="270"/>
      <c r="D24" s="270"/>
      <c r="E24" s="270"/>
      <c r="F24" s="270"/>
      <c r="G24" s="270"/>
      <c r="H24" s="270"/>
      <c r="I24" s="342" t="s">
        <v>447</v>
      </c>
      <c r="J24" s="343"/>
      <c r="K24" s="343"/>
      <c r="L24" s="343"/>
      <c r="M24" s="371" t="s">
        <v>439</v>
      </c>
      <c r="N24" s="372"/>
      <c r="O24" s="372"/>
      <c r="P24" s="372"/>
      <c r="Q24" s="372"/>
      <c r="R24" s="372"/>
      <c r="S24" s="326"/>
      <c r="T24" s="326"/>
      <c r="U24" s="326"/>
      <c r="V24" s="292"/>
    </row>
    <row r="25" spans="1:22" ht="60" customHeight="1">
      <c r="A25" s="334"/>
      <c r="B25" s="269" t="s">
        <v>432</v>
      </c>
      <c r="C25" s="377" t="s">
        <v>460</v>
      </c>
      <c r="D25" s="379"/>
      <c r="E25" s="379"/>
      <c r="F25" s="379"/>
      <c r="G25" s="379"/>
      <c r="H25" s="379"/>
      <c r="I25" s="379"/>
      <c r="J25" s="379"/>
      <c r="K25" s="379"/>
      <c r="L25" s="379"/>
      <c r="M25" s="391" t="s">
        <v>462</v>
      </c>
      <c r="N25" s="392"/>
      <c r="O25" s="392" t="s">
        <v>461</v>
      </c>
      <c r="P25" s="392"/>
      <c r="Q25" s="392"/>
      <c r="R25" s="392"/>
      <c r="S25" s="392"/>
      <c r="T25" s="392"/>
      <c r="U25" s="392"/>
      <c r="V25" s="393"/>
    </row>
    <row r="26" spans="1:22" ht="61" customHeight="1" thickBot="1">
      <c r="A26" s="335"/>
      <c r="B26" s="289" t="s">
        <v>432</v>
      </c>
      <c r="C26" s="273"/>
      <c r="D26" s="273"/>
      <c r="E26" s="273"/>
      <c r="F26" s="273"/>
      <c r="G26" s="273"/>
      <c r="H26" s="273"/>
      <c r="I26" s="273"/>
      <c r="J26" s="273"/>
      <c r="K26" s="273"/>
      <c r="L26" s="290"/>
      <c r="M26" s="327"/>
      <c r="N26" s="394" t="s">
        <v>468</v>
      </c>
      <c r="O26" s="394"/>
      <c r="P26" s="394"/>
      <c r="Q26" s="394"/>
      <c r="R26" s="394"/>
      <c r="S26" s="394"/>
      <c r="T26" s="328"/>
      <c r="U26" s="328"/>
      <c r="V26" s="329"/>
    </row>
    <row r="27" spans="1:22" ht="27" thickBot="1">
      <c r="A27" s="336"/>
      <c r="B27" s="276" t="s">
        <v>433</v>
      </c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8"/>
      <c r="N27" s="278"/>
      <c r="O27" s="298"/>
      <c r="P27" s="324"/>
      <c r="Q27" s="320"/>
      <c r="R27" s="278"/>
      <c r="S27" s="278"/>
      <c r="T27" s="278"/>
      <c r="U27" s="278"/>
      <c r="V27" s="279"/>
    </row>
  </sheetData>
  <mergeCells count="48">
    <mergeCell ref="O25:V25"/>
    <mergeCell ref="N26:S26"/>
    <mergeCell ref="O20:V20"/>
    <mergeCell ref="M24:R24"/>
    <mergeCell ref="I24:L24"/>
    <mergeCell ref="M8:S8"/>
    <mergeCell ref="C12:D12"/>
    <mergeCell ref="E12:L12"/>
    <mergeCell ref="M12:N12"/>
    <mergeCell ref="O12:V12"/>
    <mergeCell ref="E16:J16"/>
    <mergeCell ref="O21:V21"/>
    <mergeCell ref="F23:H23"/>
    <mergeCell ref="I23:K23"/>
    <mergeCell ref="F20:H20"/>
    <mergeCell ref="M20:N20"/>
    <mergeCell ref="M21:N21"/>
    <mergeCell ref="A1:W1"/>
    <mergeCell ref="O19:V19"/>
    <mergeCell ref="M19:N19"/>
    <mergeCell ref="C7:E7"/>
    <mergeCell ref="F7:H7"/>
    <mergeCell ref="I11:L11"/>
    <mergeCell ref="M11:S11"/>
    <mergeCell ref="M10:R10"/>
    <mergeCell ref="F18:H18"/>
    <mergeCell ref="I18:K18"/>
    <mergeCell ref="M18:N18"/>
    <mergeCell ref="O18:V18"/>
    <mergeCell ref="A2:V2"/>
    <mergeCell ref="O5:V5"/>
    <mergeCell ref="M5:N5"/>
    <mergeCell ref="O6:V6"/>
    <mergeCell ref="M6:N6"/>
    <mergeCell ref="A23:A27"/>
    <mergeCell ref="B5:B6"/>
    <mergeCell ref="B18:B19"/>
    <mergeCell ref="F5:H5"/>
    <mergeCell ref="I5:K5"/>
    <mergeCell ref="F10:H10"/>
    <mergeCell ref="I10:K10"/>
    <mergeCell ref="C20:E20"/>
    <mergeCell ref="A5:A9"/>
    <mergeCell ref="A10:A13"/>
    <mergeCell ref="A14:A17"/>
    <mergeCell ref="A18:A22"/>
    <mergeCell ref="C25:L25"/>
    <mergeCell ref="M25:N25"/>
  </mergeCells>
  <phoneticPr fontId="7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ปี1 (รหัส69) เทอม1-69 (56)</vt:lpstr>
      <vt:lpstr>ปี2 (รหัส68) เทอม1-69 (55)</vt:lpstr>
      <vt:lpstr>ปี3 (รหัส67) เทอม1-69 (56)</vt:lpstr>
      <vt:lpstr>ปี4 (รหัส66) เทอม1-69 (48)</vt:lpstr>
      <vt:lpstr>Workload</vt:lpstr>
      <vt:lpstr>DG2562V1.2Courses</vt:lpstr>
      <vt:lpstr>DG2562V1.1Courses</vt:lpstr>
      <vt:lpstr>ตารางเปรียบเทียบเวลาเรียน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2026-05-27T05:09:16Z</dcterms:modified>
</cp:coreProperties>
</file>