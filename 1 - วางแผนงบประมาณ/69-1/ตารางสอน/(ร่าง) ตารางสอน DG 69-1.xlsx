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69-1/ตารางสอน/"/>
    </mc:Choice>
  </mc:AlternateContent>
  <xr:revisionPtr revIDLastSave="311" documentId="11_50D7430DCBC59E757406C250A3A1F2C7CC7710AA" xr6:coauthVersionLast="47" xr6:coauthVersionMax="47" xr10:uidLastSave="{8D72D5EC-BC85-734B-B119-2FBF1ABC2DF1}"/>
  <bookViews>
    <workbookView xWindow="-1020" yWindow="-21000" windowWidth="38400" windowHeight="21000" activeTab="7" xr2:uid="{00000000-000D-0000-FFFF-FFFF00000000}"/>
  </bookViews>
  <sheets>
    <sheet name="ปี1 (รหัส69) เทอม1-69 (56)" sheetId="1" r:id="rId1"/>
    <sheet name="ปี2 (รหัส68) เทอม1-69 (55)" sheetId="2" r:id="rId2"/>
    <sheet name="ปี3 (รหัส67) เทอม1-69 (56)" sheetId="3" r:id="rId3"/>
    <sheet name="ปี4 (รหัส66) เทอม1-69 (48)" sheetId="4" r:id="rId4"/>
    <sheet name="Workload" sheetId="5" r:id="rId5"/>
    <sheet name="DG2562V1.2Courses" sheetId="6" r:id="rId6"/>
    <sheet name="DG2562V1.1Courses" sheetId="7" r:id="rId7"/>
    <sheet name="ตารางเปรียบเทียบเวลาเรียน" sheetId="8" r:id="rId8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5" l="1"/>
  <c r="Q6" i="5" s="1"/>
  <c r="P4" i="5"/>
  <c r="P6" i="5" s="1"/>
  <c r="O4" i="5"/>
  <c r="O6" i="5" s="1"/>
  <c r="N4" i="5"/>
  <c r="N6" i="5" s="1"/>
  <c r="M4" i="5"/>
  <c r="M6" i="5" s="1"/>
  <c r="L4" i="5"/>
  <c r="L6" i="5" s="1"/>
  <c r="K4" i="5"/>
  <c r="K6" i="5" s="1"/>
  <c r="J4" i="5"/>
  <c r="J6" i="5" s="1"/>
  <c r="K32" i="4"/>
  <c r="D45" i="3"/>
  <c r="J37" i="3"/>
  <c r="L13" i="3"/>
  <c r="L5" i="3"/>
  <c r="D32" i="2"/>
  <c r="K30" i="2"/>
  <c r="D30" i="2"/>
  <c r="K29" i="2"/>
  <c r="D29" i="2"/>
  <c r="K28" i="2"/>
  <c r="D28" i="2"/>
  <c r="K27" i="2"/>
  <c r="D27" i="2"/>
  <c r="K26" i="2"/>
  <c r="D26" i="2"/>
  <c r="K25" i="2"/>
  <c r="D25" i="2"/>
  <c r="K33" i="1"/>
  <c r="D33" i="1"/>
  <c r="K32" i="1"/>
  <c r="D32" i="1"/>
  <c r="K31" i="1"/>
  <c r="D31" i="1"/>
  <c r="K30" i="1"/>
  <c r="D30" i="1"/>
  <c r="K29" i="1"/>
  <c r="D29" i="1"/>
  <c r="K28" i="1"/>
  <c r="K35" i="1" l="1"/>
  <c r="K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L5" authorId="0" shapeId="0" xr:uid="{00000000-0006-0000-0000-000001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9" authorId="0" shapeId="0" xr:uid="{00000000-0006-0000-0000-000002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0" authorId="0" shapeId="0" xr:uid="{00000000-0006-0000-0000-000003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  <comment ref="L11" authorId="0" shapeId="0" xr:uid="{00000000-0006-0000-0000-000004000000}">
      <text>
        <r>
          <rPr>
            <sz val="10"/>
            <color rgb="FF000000"/>
            <rFont val="Calibri"/>
            <family val="2"/>
          </rPr>
          <t>สามารถแยก</t>
        </r>
        <r>
          <rPr>
            <sz val="10"/>
            <color rgb="FF000000"/>
            <rFont val="Calibri"/>
            <family val="2"/>
          </rPr>
          <t xml:space="preserve">LAB LEC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7" authorId="0" shapeId="0" xr:uid="{00000000-0006-0000-01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5" authorId="0" shapeId="0" xr:uid="{00000000-0006-0000-01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sharedStrings.xml><?xml version="1.0" encoding="utf-8"?>
<sst xmlns="http://schemas.openxmlformats.org/spreadsheetml/2006/main" count="856" uniqueCount="470">
  <si>
    <t>ตารางเรียนสาขาวิชาดิจิทัลเกม สำหรับนักศึกษาชั้นปีที่ 1 (รหัส69)</t>
  </si>
  <si>
    <t>ภาคการศึกษาที่ 1 ปีการศึกษา 2569</t>
  </si>
  <si>
    <t>(จำนวนนักศึกษา 56 คน)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</si>
  <si>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</si>
  <si>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</si>
  <si>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</si>
  <si>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</si>
  <si>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</si>
  <si>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</si>
  <si>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</si>
  <si>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</si>
  <si>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</si>
  <si>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</si>
  <si>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</si>
  <si>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</si>
  <si>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</si>
  <si>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</si>
  <si>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>/001
COMP &amp; PROGRAM FOR GAME 1
30 คน
อ.นพพล 
ห้อง Lecture : C301</t>
    </r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</si>
  <si>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/001 
COMP &amp; PROGRAM FOR GAME 1
อ.นพพล 
(ห้อง LAB : C305) </t>
    </r>
    <r>
      <rPr>
        <sz val="11"/>
        <color rgb="FF980000"/>
        <rFont val="Sarabun"/>
        <family val="2"/>
        <charset val="222"/>
      </rPr>
      <t xml:space="preserve">
</t>
    </r>
  </si>
  <si>
    <t>958113/002 (Lecture)  
Logical Thinking for Game Development 
30 คน
ผศ.ดร.สุมาลี 
เรียนห้อง Lecture ห้องเล็ก  หรือห้อง   Lab  ก็ได้
B 207/C307</t>
  </si>
  <si>
    <t>958113/002 (Lab)    
Logical Thinking for Game Development 
30 คน
ผศ.ดร.สุมาลี 
เรียนห้อง Lab
C307</t>
  </si>
  <si>
    <t>tuesday</t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</si>
  <si>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</si>
  <si>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</si>
  <si>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>/001
Introduction to Digital Games
30 คน
ผศ.ดร.ธีรวัฒน์
B 207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</si>
  <si>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 xml:space="preserve">/002
Introduction to Digital Games
30 คน
อ.ดร.ศุภรา
B208 
</t>
    </r>
  </si>
  <si>
    <r>
      <rPr>
        <b/>
        <sz val="11"/>
        <color rgb="FF000000"/>
        <rFont val="Sarabun"/>
        <family val="2"/>
        <charset val="222"/>
      </rPr>
      <t>958102</t>
    </r>
    <r>
      <rPr>
        <sz val="11"/>
        <color rgb="FF000000"/>
        <rFont val="Sarabun"/>
        <family val="2"/>
        <charset val="222"/>
      </rPr>
      <t xml:space="preserve">/003
Introduction to Digital Games
20 คน
อ.ดร.ศุภรา </t>
    </r>
    <r>
      <rPr>
        <sz val="11"/>
        <color rgb="FF980000"/>
        <rFont val="Sarabun"/>
        <family val="2"/>
        <charset val="222"/>
      </rPr>
      <t>(หารือกับ อ.มอง ให้กำหนดวันเวลาที่ไม่ทับซ้อนกันกับการเรียนการสอนของ Sec.002)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 xml:space="preserve">B 209 </t>
    </r>
    <r>
      <rPr>
        <sz val="11"/>
        <color rgb="FF000000"/>
        <rFont val="Sarabun"/>
        <family val="2"/>
        <charset val="222"/>
      </rPr>
      <t xml:space="preserve">TBA
</t>
    </r>
    <r>
      <rPr>
        <sz val="11"/>
        <color rgb="FF0000FF"/>
        <rFont val="Sarabun"/>
        <family val="2"/>
        <charset val="222"/>
      </rPr>
      <t>โครงการ Global Game Micro Degree Program ร่วมกับ Chung-Ang University ประเทศเกาหลีใต้</t>
    </r>
  </si>
  <si>
    <t>wednesday</t>
  </si>
  <si>
    <t>thursday</t>
  </si>
  <si>
    <r>
      <rPr>
        <b/>
        <sz val="11"/>
        <color rgb="FF000000"/>
        <rFont val="Sarabun"/>
        <family val="2"/>
        <charset val="222"/>
      </rPr>
      <t>013110</t>
    </r>
    <r>
      <rPr>
        <sz val="11"/>
        <color rgb="FF000000"/>
        <rFont val="Sarabun"/>
        <family val="2"/>
        <charset val="222"/>
      </rPr>
      <t xml:space="preserve">
Psychology and Daily Life </t>
    </r>
  </si>
  <si>
    <r>
      <rPr>
        <b/>
        <sz val="11"/>
        <color rgb="FF000000"/>
        <rFont val="Sarabun"/>
        <family val="2"/>
        <charset val="222"/>
      </rPr>
      <t>001101</t>
    </r>
    <r>
      <rPr>
        <sz val="11"/>
        <color rgb="FF000000"/>
        <rFont val="Sarabun"/>
        <family val="2"/>
        <charset val="222"/>
      </rPr>
      <t xml:space="preserve">
Fundamental English 1</t>
    </r>
  </si>
  <si>
    <t>958111/002
COMP &amp; PROGRAM FOR GAME 1
30 คน
อ.นพพล 
ห้อง Lecture : C301</t>
  </si>
  <si>
    <r>
      <rPr>
        <b/>
        <sz val="11"/>
        <color rgb="FF000000"/>
        <rFont val="Sarabun"/>
        <family val="2"/>
        <charset val="222"/>
      </rPr>
      <t>958111</t>
    </r>
    <r>
      <rPr>
        <sz val="11"/>
        <color rgb="FF000000"/>
        <rFont val="Sarabun"/>
        <family val="2"/>
        <charset val="222"/>
      </rPr>
      <t xml:space="preserve">/002 
COMP &amp; PROGRAM FOR GAME 1
อ.นพพล
(ห้อง LAB : C305) </t>
    </r>
  </si>
  <si>
    <t>958113/001 (Lecture)  
Logical Thinking for Game Development 
ผศ.ดร.สุมาลี 
เรียนห้อง Lecture ห้องเล็ก หรือห้อง   Lab  ก็ได้
B207/ C307</t>
  </si>
  <si>
    <t>958113/001 (Lab)    
Logical Thinking for Game Development 
ผศ.ดร.สุมาลี 
เรียนห้อง Lab
C307</t>
  </si>
  <si>
    <t>Friday</t>
  </si>
  <si>
    <r>
      <rPr>
        <b/>
        <sz val="11"/>
        <color rgb="FF000000"/>
        <rFont val="Sarabun"/>
        <family val="2"/>
        <charset val="222"/>
      </rPr>
      <t xml:space="preserve">801100
</t>
    </r>
    <r>
      <rPr>
        <sz val="11"/>
        <color rgb="FF000000"/>
        <rFont val="Sarabun"/>
        <family val="2"/>
        <charset val="222"/>
      </rPr>
      <t xml:space="preserve">Architecture in Everyday Life </t>
    </r>
  </si>
  <si>
    <r>
      <rPr>
        <b/>
        <sz val="11"/>
        <color rgb="FF000000"/>
        <rFont val="Sarabun"/>
        <family val="2"/>
        <charset val="222"/>
      </rPr>
      <t>140104</t>
    </r>
    <r>
      <rPr>
        <sz val="11"/>
        <color rgb="FF000000"/>
        <rFont val="Sarabun"/>
        <family val="2"/>
        <charset val="222"/>
      </rPr>
      <t xml:space="preserve">
Citizenship</t>
    </r>
  </si>
  <si>
    <t>ถาม อ.เอม อีกที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</si>
  <si>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</si>
  <si>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</si>
  <si>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</si>
  <si>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</si>
  <si>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</si>
  <si>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</si>
  <si>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</si>
  <si>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</si>
  <si>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</si>
  <si>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</si>
  <si>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</si>
  <si>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</si>
  <si>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</si>
  <si>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</si>
  <si>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อ.ผู้สอน</t>
  </si>
  <si>
    <t>ห้องเรียน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</si>
  <si>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</si>
  <si>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</si>
  <si>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</si>
  <si>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</si>
  <si>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</si>
  <si>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</si>
  <si>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</si>
  <si>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</si>
  <si>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</si>
  <si>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958102</t>
  </si>
  <si>
    <t>Introduction to Digital Games</t>
  </si>
  <si>
    <t>อ.ดร.ศุภรา</t>
  </si>
  <si>
    <t>113,c307,c208</t>
  </si>
  <si>
    <t>958111</t>
  </si>
  <si>
    <t>ผศ.ดร.กฤติยา</t>
  </si>
  <si>
    <t>113,c204,c206,C208</t>
  </si>
  <si>
    <t>013110</t>
  </si>
  <si>
    <t>140104</t>
  </si>
  <si>
    <t>801100</t>
  </si>
  <si>
    <t>001101</t>
  </si>
  <si>
    <t>001101 ภาษาอังกฤษ
***เวลาไม่แน่นอน***</t>
  </si>
  <si>
    <t>รวม</t>
  </si>
  <si>
    <t>ตารางเรียนสาขาวิชาดิจิทัลเกม สำหรับนักศึกษาชั้นปีที่ 2 (รหัส68)</t>
  </si>
  <si>
    <t>(จำนวนนักศึกษา 55 คน)</t>
  </si>
  <si>
    <r>
      <rPr>
        <b/>
        <sz val="11"/>
        <color rgb="FF000000"/>
        <rFont val="Sarabun"/>
        <family val="2"/>
        <charset val="222"/>
      </rPr>
      <t>958201/001
MATH FOR COMP GRAPH &amp; GAME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>40 คน</t>
    </r>
    <r>
      <rPr>
        <sz val="11"/>
        <color rgb="FF980000"/>
        <rFont val="Sarabun"/>
        <family val="2"/>
        <charset val="222"/>
      </rPr>
      <t xml:space="preserve"> เปลี่ยนเป็น 35 คน</t>
    </r>
    <r>
      <rPr>
        <sz val="11"/>
        <color rgb="FF000000"/>
        <rFont val="Sarabun"/>
        <family val="2"/>
        <charset val="222"/>
      </rPr>
      <t xml:space="preserve">
ผศ.ดร.กฤติยา 
(ฺB303)</t>
    </r>
  </si>
  <si>
    <r>
      <rPr>
        <b/>
        <sz val="11"/>
        <color rgb="FF000000"/>
        <rFont val="Sarabun"/>
        <family val="2"/>
        <charset val="222"/>
      </rPr>
      <t>958201/002
MATH FOR COMP GRAPH &amp; GAME</t>
    </r>
    <r>
      <rPr>
        <sz val="11"/>
        <color rgb="FF000000"/>
        <rFont val="Sarabun"/>
        <family val="2"/>
        <charset val="222"/>
      </rPr>
      <t xml:space="preserve">
</t>
    </r>
    <r>
      <rPr>
        <strike/>
        <sz val="11"/>
        <color rgb="FF000000"/>
        <rFont val="Sarabun"/>
        <family val="2"/>
        <charset val="222"/>
      </rPr>
      <t>25 คน</t>
    </r>
    <r>
      <rPr>
        <sz val="11"/>
        <color rgb="FF000000"/>
        <rFont val="Sarabun"/>
        <family val="2"/>
        <charset val="222"/>
      </rPr>
      <t xml:space="preserve"> </t>
    </r>
    <r>
      <rPr>
        <sz val="11"/>
        <color rgb="FF980000"/>
        <rFont val="Sarabun"/>
        <family val="2"/>
        <charset val="222"/>
      </rPr>
      <t>เปลี่ยนเป็น 30 คน</t>
    </r>
    <r>
      <rPr>
        <sz val="11"/>
        <color rgb="FF000000"/>
        <rFont val="Sarabun"/>
        <family val="2"/>
        <charset val="222"/>
      </rPr>
      <t xml:space="preserve">
ผศ.ดร.กฤติยา 
(ฺC301)</t>
    </r>
  </si>
  <si>
    <t>ฺ</t>
  </si>
  <si>
    <r>
      <rPr>
        <b/>
        <sz val="11"/>
        <color rgb="FF00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b302 (Sec001)</t>
    </r>
  </si>
  <si>
    <r>
      <rPr>
        <sz val="11"/>
        <color rgb="FF000000"/>
        <rFont val="Sarabun"/>
        <family val="2"/>
        <charset val="222"/>
      </rPr>
      <t>958225 
Digital Game Production
sec.001
(อ.นพพล)
Lec. ห้อง ILC - B302 และ Lab</t>
    </r>
    <r>
      <rPr>
        <sz val="11"/>
        <color rgb="FF980000"/>
        <rFont val="Sarabun"/>
        <family val="2"/>
        <charset val="222"/>
      </rPr>
      <t xml:space="preserve"> </t>
    </r>
    <r>
      <rPr>
        <sz val="11"/>
        <color rgb="FF000000"/>
        <rFont val="Sarabun"/>
        <family val="2"/>
        <charset val="222"/>
      </rPr>
      <t>ได้ห้อง C308/ C309</t>
    </r>
  </si>
  <si>
    <r>
      <rPr>
        <b/>
        <sz val="11"/>
        <color rgb="FF000000"/>
        <rFont val="Sarabun"/>
        <family val="2"/>
        <charset val="222"/>
      </rPr>
      <t>958201/001
MATH FOR COMP GRAPH &amp; GAME</t>
    </r>
    <r>
      <rPr>
        <sz val="11"/>
        <color rgb="FF000000"/>
        <rFont val="Sarabun"/>
        <family val="2"/>
        <charset val="222"/>
      </rPr>
      <t xml:space="preserve">
40 คน
ผศ.ดร.กฤติยา 
(ฺB303 )</t>
    </r>
  </si>
  <si>
    <r>
      <rPr>
        <b/>
        <sz val="11"/>
        <color rgb="FF000000"/>
        <rFont val="Sarabun"/>
        <family val="2"/>
        <charset val="222"/>
      </rPr>
      <t>958201/002
MATH FOR COMP GRAPH &amp; GAME</t>
    </r>
    <r>
      <rPr>
        <sz val="11"/>
        <color rgb="FF000000"/>
        <rFont val="Sarabun"/>
        <family val="2"/>
        <charset val="222"/>
      </rPr>
      <t xml:space="preserve">
25 คน
ผศ.ดร.กฤติยา 
(ฺC301)</t>
    </r>
  </si>
  <si>
    <r>
      <rPr>
        <sz val="11"/>
        <color rgb="FF000000"/>
        <rFont val="Sarabun"/>
        <family val="2"/>
        <charset val="222"/>
      </rPr>
      <t xml:space="preserve">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</si>
  <si>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r>
      <rPr>
        <b/>
        <sz val="12"/>
        <color rgb="FF000000"/>
        <rFont val="Sarabun"/>
        <family val="2"/>
        <charset val="222"/>
      </rPr>
      <t xml:space="preserve">958221 
</t>
    </r>
    <r>
      <rPr>
        <sz val="12"/>
        <color rgb="FF000000"/>
        <rFont val="Sarabun"/>
        <family val="2"/>
        <charset val="222"/>
      </rPr>
      <t xml:space="preserve">เปิดเป็น 2 Sec. 001/002 
60 คน
ผศ.ดร.ปฏิสนธิ์
ห้อง </t>
    </r>
    <r>
      <rPr>
        <strike/>
        <sz val="12"/>
        <color rgb="FF000000"/>
        <rFont val="Sarabun"/>
        <family val="2"/>
        <charset val="222"/>
      </rPr>
      <t xml:space="preserve">Lec. b304+b306 </t>
    </r>
    <r>
      <rPr>
        <sz val="12"/>
        <color rgb="FF980000"/>
        <rFont val="Sarabun"/>
        <family val="2"/>
        <charset val="222"/>
      </rPr>
      <t>ไปห้อง B 302</t>
    </r>
    <r>
      <rPr>
        <sz val="12"/>
        <color rgb="FF000000"/>
        <rFont val="Sarabun"/>
        <family val="2"/>
        <charset val="222"/>
      </rPr>
      <t xml:space="preserve">
Lab. C308/C309</t>
    </r>
  </si>
  <si>
    <r>
      <rPr>
        <b/>
        <sz val="12"/>
        <color rgb="FF000000"/>
        <rFont val="Sarabun"/>
        <family val="2"/>
        <charset val="222"/>
      </rPr>
      <t>958221 เปิดเป็น 2 Sec.</t>
    </r>
    <r>
      <rPr>
        <sz val="12"/>
        <color rgb="FF000000"/>
        <rFont val="Sarabun"/>
        <family val="2"/>
        <charset val="222"/>
      </rPr>
      <t xml:space="preserve">001/002 ผศ.ดร.ปฏิสนธิ์ Lab.001 
ห้อง Lec. </t>
    </r>
    <r>
      <rPr>
        <strike/>
        <sz val="12"/>
        <color rgb="FF000000"/>
        <rFont val="Sarabun"/>
        <family val="2"/>
        <charset val="222"/>
      </rPr>
      <t>b304+b306</t>
    </r>
    <r>
      <rPr>
        <sz val="12"/>
        <color rgb="FF000000"/>
        <rFont val="Sarabun"/>
        <family val="2"/>
        <charset val="222"/>
      </rPr>
      <t xml:space="preserve"> </t>
    </r>
    <r>
      <rPr>
        <sz val="12"/>
        <color rgb="FF980000"/>
        <rFont val="Sarabun"/>
        <family val="2"/>
        <charset val="222"/>
      </rPr>
      <t>ไปห้อง B-302</t>
    </r>
    <r>
      <rPr>
        <sz val="12"/>
        <color rgb="FF000000"/>
        <rFont val="Sarabun"/>
        <family val="2"/>
        <charset val="222"/>
      </rPr>
      <t xml:space="preserve">
Lab. C308/C309
</t>
    </r>
  </si>
  <si>
    <r>
      <rPr>
        <b/>
        <sz val="11"/>
        <color rgb="FF000000"/>
        <rFont val="Sarabun"/>
        <family val="2"/>
        <charset val="222"/>
      </rPr>
      <t>958211
Data Structure for Game Development</t>
    </r>
    <r>
      <rPr>
        <sz val="11"/>
        <color rgb="FF000000"/>
        <rFont val="Sarabun"/>
        <family val="2"/>
        <charset val="222"/>
      </rPr>
      <t xml:space="preserve">
60 คน
ผศ.ดร.เกียรติกร
b302 (Sec001)</t>
    </r>
  </si>
  <si>
    <t>958205 
Basic Game Design
sec.001 (จำนวน 55 คน)
(อ.ดร.ศุภรา เป็นผู้สอน)
ILC- C208+209</t>
  </si>
  <si>
    <t>ผู้สอน</t>
  </si>
  <si>
    <t>ห้อง</t>
  </si>
  <si>
    <t>001201</t>
  </si>
  <si>
    <t>955104</t>
  </si>
  <si>
    <t>958201</t>
  </si>
  <si>
    <t>b302</t>
  </si>
  <si>
    <t>958221</t>
  </si>
  <si>
    <t>อ.ดร.ปฏิสนธิ์</t>
  </si>
  <si>
    <t>C204,C206</t>
  </si>
  <si>
    <t>1(น้องมาย)</t>
  </si>
  <si>
    <t>958225</t>
  </si>
  <si>
    <t>อ.เอม</t>
  </si>
  <si>
    <t>B302, c204,c206</t>
  </si>
  <si>
    <t>958261</t>
  </si>
  <si>
    <t>อ.ศุภรา</t>
  </si>
  <si>
    <t>เอกเลือก</t>
  </si>
  <si>
    <t>***ให้นักศึกษาเลือกเพิ่ม</t>
  </si>
  <si>
    <t>958373</t>
  </si>
  <si>
    <t>ผศ.ดร.ธีรวัฒน์</t>
  </si>
  <si>
    <t>อ.ดร.เทพฤทธิ์</t>
  </si>
  <si>
    <t>C308 หรือ C309</t>
  </si>
  <si>
    <t>4ชม.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</si>
  <si>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</si>
  <si>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</si>
  <si>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47 คน)                                </t>
  </si>
  <si>
    <r>
      <rPr>
        <b/>
        <sz val="11"/>
        <color rgb="FF000000"/>
        <rFont val="Sarabun"/>
        <family val="2"/>
        <charset val="222"/>
      </rPr>
      <t>958331 (Lec)/sec.001/002 จำนวน 60 คน</t>
    </r>
    <r>
      <rPr>
        <sz val="11"/>
        <color rgb="FF000000"/>
        <rFont val="Sarabun"/>
        <family val="2"/>
        <charset val="222"/>
      </rPr>
      <t xml:space="preserve">
Database and Network for Game Dev 
อ.ดร.สุมาลี  C208+ C209</t>
    </r>
  </si>
  <si>
    <r>
      <rPr>
        <b/>
        <sz val="11"/>
        <color rgb="FF000000"/>
        <rFont val="Sarabun"/>
        <family val="2"/>
        <charset val="222"/>
      </rPr>
      <t>958331 (Lab)/sec.001 จำนวน 60 คน</t>
    </r>
    <r>
      <rPr>
        <sz val="11"/>
        <color rgb="FF000000"/>
        <rFont val="Sarabun"/>
        <family val="2"/>
        <charset val="222"/>
      </rPr>
      <t xml:space="preserve">
Database and Network for Game Dev
อ.ดร.สุมาลี C208+ C209</t>
    </r>
  </si>
  <si>
    <r>
      <rPr>
        <b/>
        <sz val="11"/>
        <color rgb="FF000000"/>
        <rFont val="Sarabun"/>
        <family val="2"/>
        <charset val="222"/>
      </rPr>
      <t>958263</t>
    </r>
    <r>
      <rPr>
        <sz val="11"/>
        <color rgb="FF000000"/>
        <rFont val="Sarabun"/>
        <family val="2"/>
        <charset val="222"/>
      </rPr>
      <t xml:space="preserve">
3D Modeling for Game Dev 2                                              
อ.ดร.กลวัชร ILC- C205</t>
    </r>
  </si>
  <si>
    <t>958263
3D Modeling for Game Dev 2
อ.กลวัชร (Sec. 001, ILC - C205)</t>
  </si>
  <si>
    <r>
      <rPr>
        <strike/>
        <sz val="11"/>
        <color rgb="FF000000"/>
        <rFont val="Sarabun"/>
        <family val="2"/>
        <charset val="222"/>
      </rP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>กระบวนวิชา 958481  (ตอนที่ 002)</t>
    </r>
    <r>
      <rPr>
        <strike/>
        <sz val="11"/>
        <color rgb="FF000000"/>
        <rFont val="Sarabun"/>
        <family val="2"/>
        <charset val="222"/>
      </rPr>
      <t xml:space="preserve">
 Sel Topic in Game  Dev1 ( prog patterns )
 อ.ดร.เกียรติกร (C309)  ย้ายไปห้อง C307</t>
    </r>
  </si>
  <si>
    <r>
      <rPr>
        <sz val="11"/>
        <color rgb="FF980000"/>
        <rFont val="Sarabun,Arial"/>
      </rPr>
      <t xml:space="preserve">(เอกเลือก)   </t>
    </r>
    <r>
      <rPr>
        <sz val="11"/>
        <color rgb="FF000000"/>
        <rFont val="Sarabun,Arial"/>
      </rPr>
      <t>ขวัญ PR ยังไม่ได้ติดต่อมาหา อ.จอห์น</t>
    </r>
    <r>
      <rPr>
        <sz val="11"/>
        <color rgb="FF980000"/>
        <rFont val="Sarabun,Arial"/>
      </rPr>
      <t xml:space="preserve">
</t>
    </r>
    <r>
      <rPr>
        <b/>
        <sz val="11"/>
        <color rgb="FF980000"/>
        <rFont val="Sarabun,Arial"/>
      </rPr>
      <t>958481/sec.006 เวลาเรียน และห้องเรียน TBA. จำนวน 15 คน</t>
    </r>
    <r>
      <rPr>
        <sz val="11"/>
        <color rgb="FF980000"/>
        <rFont val="Sarabun,Arial"/>
      </rPr>
      <t xml:space="preserve">
Sel Topic in Game Dev1 (E-sport management </t>
    </r>
    <r>
      <rPr>
        <sz val="11"/>
        <color rgb="FF274E13"/>
        <rFont val="Sarabun,Arial"/>
      </rPr>
      <t>or activity</t>
    </r>
    <r>
      <rPr>
        <sz val="11"/>
        <color rgb="FF980000"/>
        <rFont val="Sarabun,Arial"/>
      </rPr>
      <t xml:space="preserve">)   อ.ดร.เทพฤทธิ์ 
                             </t>
    </r>
  </si>
  <si>
    <r>
      <rPr>
        <strike/>
        <sz val="11"/>
        <color rgb="FF000000"/>
        <rFont val="Sarabun"/>
        <family val="2"/>
        <charset val="222"/>
      </rPr>
      <t xml:space="preserve"> (เอกเลือก)   จำนวน 30 คน
 </t>
    </r>
    <r>
      <rPr>
        <b/>
        <strike/>
        <sz val="11"/>
        <color rgb="FF000000"/>
        <rFont val="Sarabun"/>
        <family val="2"/>
        <charset val="222"/>
      </rPr>
      <t xml:space="preserve">958341  </t>
    </r>
    <r>
      <rPr>
        <strike/>
        <sz val="11"/>
        <color rgb="FF000000"/>
        <rFont val="Sarabun"/>
        <family val="2"/>
        <charset val="222"/>
      </rPr>
      <t xml:space="preserve">
Realistic Game Development
 อ.ดร.เกียรติกร (C309) </t>
    </r>
  </si>
  <si>
    <t>958321/001 (C203, C204-C206) 
Game Development 3
อ.ดร.เกียรติกร
 Sec 60 คน
ILC - C204+C206</t>
  </si>
  <si>
    <r>
      <rPr>
        <sz val="11"/>
        <color theme="1"/>
        <rFont val="Sarabun"/>
        <family val="2"/>
        <charset val="222"/>
      </rPr>
      <t xml:space="preserve">(เอกเลือก)   
</t>
    </r>
    <r>
      <rPr>
        <b/>
        <sz val="11"/>
        <color theme="1"/>
        <rFont val="Sarabun"/>
        <family val="2"/>
        <charset val="222"/>
      </rPr>
      <t xml:space="preserve">958481/sec.001 </t>
    </r>
    <r>
      <rPr>
        <sz val="11"/>
        <color theme="1"/>
        <rFont val="Sarabun"/>
        <family val="2"/>
        <charset val="222"/>
      </rPr>
      <t xml:space="preserve">    </t>
    </r>
    <r>
      <rPr>
        <strike/>
        <sz val="11"/>
        <color theme="1"/>
        <rFont val="Sarabun"/>
        <family val="2"/>
        <charset val="222"/>
      </rPr>
      <t xml:space="preserve">C305 </t>
    </r>
    <r>
      <rPr>
        <sz val="11"/>
        <color theme="1"/>
        <rFont val="Sarabun"/>
        <family val="2"/>
        <charset val="222"/>
      </rPr>
      <t xml:space="preserve">ได้ห้อง C307  จำนวน  30 คน
  Sel Topic in Game Dev1 (Adv UE)
 Unreal Engine5 อ.ดร.เทพฤทธิ์    
                             </t>
    </r>
  </si>
  <si>
    <r>
      <rPr>
        <sz val="11"/>
        <color rgb="FF000000"/>
        <rFont val="Sarabun"/>
        <family val="2"/>
        <charset val="222"/>
      </rPr>
      <t xml:space="preserve"> (เอกเลือก)   จำนวน 25 คน
 </t>
    </r>
    <r>
      <rPr>
        <b/>
        <sz val="11"/>
        <color rgb="FF000000"/>
        <rFont val="Sarabun"/>
        <family val="2"/>
        <charset val="222"/>
      </rPr>
      <t xml:space="preserve">958345 </t>
    </r>
    <r>
      <rPr>
        <sz val="11"/>
        <color rgb="FF000000"/>
        <rFont val="Sarabun"/>
        <family val="2"/>
        <charset val="222"/>
      </rPr>
      <t xml:space="preserve">VR &amp; MR
 อ.ดร.เทพฤทธิ์ (C305) </t>
    </r>
  </si>
  <si>
    <r>
      <rPr>
        <sz val="11"/>
        <color rgb="FF000000"/>
        <rFont val="Sarabun"/>
        <family val="2"/>
        <charset val="222"/>
      </rPr>
      <t xml:space="preserve">(เอกเลือก)  
</t>
    </r>
    <r>
      <rPr>
        <b/>
        <sz val="11"/>
        <color rgb="FF000000"/>
        <rFont val="Sarabun"/>
        <family val="2"/>
        <charset val="222"/>
      </rPr>
      <t>958441 LAB  / 001 (จำนวนที่รองรับได้ 20 คน)</t>
    </r>
    <r>
      <rPr>
        <sz val="11"/>
        <color rgb="FF000000"/>
        <rFont val="Sarabun"/>
        <family val="2"/>
        <charset val="222"/>
      </rPr>
      <t xml:space="preserve">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   (Lab : 309) </t>
    </r>
  </si>
  <si>
    <t>เอกบังคับ</t>
  </si>
  <si>
    <t>จำนวนรับ Sec001</t>
  </si>
  <si>
    <t>Game Development 3</t>
  </si>
  <si>
    <t>001</t>
  </si>
  <si>
    <t>อ.ดร.เกียรติกร</t>
  </si>
  <si>
    <t>ILC - C204+C206</t>
  </si>
  <si>
    <t xml:space="preserve"> </t>
  </si>
  <si>
    <t>Artificial Intelligence for Game Development</t>
  </si>
  <si>
    <t>C204 - C206</t>
  </si>
  <si>
    <t>Database and Network for Game Development</t>
  </si>
  <si>
    <t>อ.ดร. สุมาลี</t>
  </si>
  <si>
    <t>C206,C207</t>
  </si>
  <si>
    <t>60 (ห้องรับได้ถึง 68)</t>
  </si>
  <si>
    <t>เด็กตกแผนเพิ่มมา 13 คน (รวมใน 60 คนแล้ว)</t>
  </si>
  <si>
    <t>1คน 3ชม.</t>
  </si>
  <si>
    <t>Realistic Game Development (เอกเลือก)</t>
  </si>
  <si>
    <t>C309</t>
  </si>
  <si>
    <t>ปิดกระบวนวิชา</t>
  </si>
  <si>
    <t>002</t>
  </si>
  <si>
    <t>เปิดกระบวนวิชานี้แทน</t>
  </si>
  <si>
    <t>Motion Capture for Game Development(เอกเลือก)</t>
  </si>
  <si>
    <t>112 ,C309</t>
  </si>
  <si>
    <t>1คน 10ชม.(2ครั้ง)</t>
  </si>
  <si>
    <t>ตรวจสอบแล้ว (เทพฤทธิ์)</t>
  </si>
  <si>
    <t>Sel Topic in Game Dev1 (AdvUE)</t>
  </si>
  <si>
    <t>XXX</t>
  </si>
  <si>
    <t>Sel Topic in Game Dev1 (Basic Game Design) (เอกเลือก)</t>
  </si>
  <si>
    <t>003</t>
  </si>
  <si>
    <t xml:space="preserve"> B302</t>
  </si>
  <si>
    <t>1(น้องยู้)</t>
  </si>
  <si>
    <t xml:space="preserve">Three Dimensional Modeling and Animation Design 2 </t>
  </si>
  <si>
    <t>อ.ดร.กลวัชร</t>
  </si>
  <si>
    <t>C205</t>
  </si>
  <si>
    <t xml:space="preserve"> 1/69 เปลี่ยนรหัส ให้เปิดกระบวนวิชา 958263</t>
  </si>
  <si>
    <t>test</t>
  </si>
  <si>
    <t>ตารางเรียนสาขาวิชาดิจิทัลเกม สำหรับนักศึกษาชั้นปีที่ 4 (รหัส65)</t>
  </si>
  <si>
    <t>ภาคการศึกษาที่ 1 ปีการศึกษา 2568</t>
  </si>
  <si>
    <t xml:space="preserve">(จำนวนนักศึกษา 48 คน)   </t>
  </si>
  <si>
    <t>Section</t>
  </si>
  <si>
    <t>คน</t>
  </si>
  <si>
    <t>Work integrated Lerning for Digital Game 1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</si>
  <si>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</si>
  <si>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</si>
  <si>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</si>
  <si>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</si>
  <si>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</si>
  <si>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</si>
  <si>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</si>
  <si>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รายละเอียดข้อมูล ภาระงานสอนของอาจารย์ในสาขาวิชาดิจิทัลเกม ในภาคการศึกษาที่ 1 ปีการศึกษา 2569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</si>
  <si>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</si>
  <si>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</si>
  <si>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</si>
  <si>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</si>
  <si>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</si>
  <si>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</si>
  <si>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</si>
  <si>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</si>
  <si>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ผศ.ดร.ปฏิสนธิ์</t>
  </si>
  <si>
    <t>ผศ.ดร.สุมาลี</t>
  </si>
  <si>
    <t>อ.นพพล</t>
  </si>
  <si>
    <t xml:space="preserve">- 958211 :  DATA STRUCTURE FOR GAME DEVELOPMENT  
</t>
  </si>
  <si>
    <t>อ./ศ. 11.00 - 12.30</t>
  </si>
  <si>
    <t>หมวดวิชาแกน</t>
  </si>
  <si>
    <t>จำนวนวิชา</t>
  </si>
  <si>
    <t xml:space="preserve">- 958321 :  GAME DEVELOPMENT 3
</t>
  </si>
  <si>
    <t>พฤ. 13.00 - 18.00</t>
  </si>
  <si>
    <t>วิชาเอกบังคับ</t>
  </si>
  <si>
    <t>WIL</t>
  </si>
  <si>
    <t xml:space="preserve">- 958102 :  INTRODUCTION TO DIGITAL GAMES  (Sec.001)
</t>
  </si>
  <si>
    <t>อ. 13.00 - 16.00</t>
  </si>
  <si>
    <t xml:space="preserve">- 958441 :  MOTION CAPTURE FOR GAME DEVELOPMENT 
</t>
  </si>
  <si>
    <t>ศ. 13.00 - 18.00</t>
  </si>
  <si>
    <t>วิชาเอกเลือก</t>
  </si>
  <si>
    <t>- 958102 :  INTRODUCTION TO DIGITAL GAMES  (Sec.002)</t>
  </si>
  <si>
    <r>
      <rPr>
        <sz val="16"/>
        <color theme="1"/>
        <rFont val="TH SarabunPSK"/>
        <family val="2"/>
      </rPr>
      <t xml:space="preserve">- 958102 :  INTRODUCTION TO DIGITAL GAMES  (Sec.003) </t>
    </r>
    <r>
      <rPr>
        <sz val="16"/>
        <color rgb="FF980000"/>
        <rFont val="TH SarabunPSK"/>
        <family val="2"/>
      </rPr>
      <t>ม.ชุงอัง ประเทศเกาหลี</t>
    </r>
  </si>
  <si>
    <t>TBA</t>
  </si>
  <si>
    <t>- 958205 :  BASIC GAME DESIGN</t>
  </si>
  <si>
    <t>ศ. 13.00 - 16.00</t>
  </si>
  <si>
    <t>- 958201 : MATH FOR COMP GRAPH &amp; GAME  (Sec.001)</t>
  </si>
  <si>
    <t>จ./พฤ. 08.00 - 09.30</t>
  </si>
  <si>
    <t>- 958201 : MATH FOR COMP GRAPH &amp; GAME  (Sec.002)</t>
  </si>
  <si>
    <t>จ./พฤ. 09.30 - 11.00</t>
  </si>
  <si>
    <t xml:space="preserve">- 958221 :  GAME DEVELOPMENT 1  
</t>
  </si>
  <si>
    <t xml:space="preserve">- 958325 :  ARTIFICAIAL INTELLIGENCE FOR GAME DEVELOPMENT 
</t>
  </si>
  <si>
    <t>จ. 13.00 - 18.00</t>
  </si>
  <si>
    <t>3 และเด็กตกแผน</t>
  </si>
  <si>
    <t>วิิชาเอกบังคับ</t>
  </si>
  <si>
    <t xml:space="preserve">- 958113 :  LOGICAL THINKING FOR GAME DEVELOPMENT (Sec.001)
</t>
  </si>
  <si>
    <t xml:space="preserve">- 958113 :  LOGICAL THINKING FOR GAME DEVELOPMENT (Sec.002)
</t>
  </si>
  <si>
    <t xml:space="preserve">- 958331 :  DATABASE AND NETWORK FOR GAME DEV
</t>
  </si>
  <si>
    <t>อ. 08.00 - 13.00</t>
  </si>
  <si>
    <t xml:space="preserve">- 958345 : VIRTUAL REALITY AND MIXED REALITY
</t>
  </si>
  <si>
    <t>ศ. 08.00 - 13.00</t>
  </si>
  <si>
    <t xml:space="preserve">- 958481 :  SELECTED TOPICS IN GAME DEVELOPMENT1 (ADV UE) UNREAL ENGINE sec.001
</t>
  </si>
  <si>
    <t>- 958111 : COMP &amp; PROGRAM FOR GAME 1  (Sec.001)</t>
  </si>
  <si>
    <t>- 958111 : COMP &amp; PROGRAM FOR GAME 1  (Sec.002)</t>
  </si>
  <si>
    <t>- 958225 : DIGITAL GAME PRODUCTION</t>
  </si>
  <si>
    <t>(1) General Education</t>
  </si>
  <si>
    <t>Course Code</t>
  </si>
  <si>
    <t>Course Abbrev</t>
  </si>
  <si>
    <t>Course Name</t>
  </si>
  <si>
    <t>Course Credits</t>
  </si>
  <si>
    <t>Credits Structure</t>
  </si>
  <si>
    <t>1.1 Required Courses</t>
  </si>
  <si>
    <t>ENGL 101</t>
  </si>
  <si>
    <t>Fundamental English 1</t>
  </si>
  <si>
    <t>3-0-6</t>
  </si>
  <si>
    <t>001102</t>
  </si>
  <si>
    <t>ENGL 102</t>
  </si>
  <si>
    <t>Fundamental English 2</t>
  </si>
  <si>
    <t>ENGL 201</t>
  </si>
  <si>
    <t>Critical Reading and Effective Writing</t>
  </si>
  <si>
    <t>001229</t>
  </si>
  <si>
    <t>ENGL 229</t>
  </si>
  <si>
    <t>English for Media Arts</t>
  </si>
  <si>
    <t>261111</t>
  </si>
  <si>
    <t>Internet and Online Community</t>
  </si>
  <si>
    <t>1.2 Innovative Co-Creator</t>
  </si>
  <si>
    <t>PSY 100</t>
  </si>
  <si>
    <t>Psychology and Daily Life</t>
  </si>
  <si>
    <t>206100</t>
  </si>
  <si>
    <t>Mathematics in Everyday Life</t>
  </si>
  <si>
    <t>356102</t>
  </si>
  <si>
    <t>Ornamental Aquatic Animals</t>
  </si>
  <si>
    <t>852100</t>
  </si>
  <si>
    <t>Introduction to Film</t>
  </si>
  <si>
    <t>888107</t>
  </si>
  <si>
    <t>Business Startup on Digital Platform</t>
  </si>
  <si>
    <t>1.3 Active Citizen</t>
  </si>
  <si>
    <t>Citizenship</t>
  </si>
  <si>
    <t>1.4 Elective Courses</t>
  </si>
  <si>
    <t>057137</t>
  </si>
  <si>
    <t>Sports for Health</t>
  </si>
  <si>
    <t>011155</t>
  </si>
  <si>
    <t>Philosophy of Happiness</t>
  </si>
  <si>
    <t>011100</t>
  </si>
  <si>
    <t>Man and Philosophy</t>
  </si>
  <si>
    <t>012200</t>
  </si>
  <si>
    <t>Mind Volunteer</t>
  </si>
  <si>
    <t>154100</t>
  </si>
  <si>
    <t>Introduction to Geography</t>
  </si>
  <si>
    <t>259108</t>
  </si>
  <si>
    <t>Electricity in Everyday Life</t>
  </si>
  <si>
    <t>Architecture in Everyday Life</t>
  </si>
  <si>
    <t>(2) Field of Specialization</t>
  </si>
  <si>
    <t>(2.1) Core Courses</t>
  </si>
  <si>
    <t>955102</t>
  </si>
  <si>
    <t>Digital Literacy</t>
  </si>
  <si>
    <t>1-2-3</t>
  </si>
  <si>
    <t>955103</t>
  </si>
  <si>
    <t>Programming and Logical Thinking</t>
  </si>
  <si>
    <t>Introduction to Digital Business</t>
  </si>
  <si>
    <t>2-0-4</t>
  </si>
  <si>
    <t>955105</t>
  </si>
  <si>
    <t>Fundamental Design in Digital Arts</t>
  </si>
  <si>
    <t>Computer and Programming for Game 1</t>
  </si>
  <si>
    <t>1-4-4</t>
  </si>
  <si>
    <t>958112</t>
  </si>
  <si>
    <t>Computer and Programming for Game 2</t>
  </si>
  <si>
    <t>(2.2) Major Courses</t>
  </si>
  <si>
    <t>(2.2.1) Required Courses</t>
  </si>
  <si>
    <t xml:space="preserve">Introduction to Digital Games                                                </t>
  </si>
  <si>
    <t>Mathematics for Computer Graphics and Game</t>
  </si>
  <si>
    <t>958202</t>
  </si>
  <si>
    <t>Computer Graphic Programming</t>
  </si>
  <si>
    <t>Game Development 1</t>
  </si>
  <si>
    <t>958222</t>
  </si>
  <si>
    <t>Game Development 2</t>
  </si>
  <si>
    <t>Digital Game Production</t>
  </si>
  <si>
    <t>Graphics Design for Two Dimensional Games</t>
  </si>
  <si>
    <t>958321</t>
  </si>
  <si>
    <t>958322</t>
  </si>
  <si>
    <t>Game Development 4</t>
  </si>
  <si>
    <t>958325</t>
  </si>
  <si>
    <t>958331</t>
  </si>
  <si>
    <t>958421</t>
  </si>
  <si>
    <t>Advanced Game Design</t>
  </si>
  <si>
    <t>958453</t>
  </si>
  <si>
    <t>Digital Game Industry and Distribution</t>
  </si>
  <si>
    <t>958491</t>
  </si>
  <si>
    <t>Work Integrated Learning for Digital Game 1</t>
  </si>
  <si>
    <t>958492</t>
  </si>
  <si>
    <t>Work Integrated Learning for Digital Game 2</t>
  </si>
  <si>
    <t>(2.2.2) Major Electives</t>
  </si>
  <si>
    <t>958332</t>
  </si>
  <si>
    <t>Mobile Game Development</t>
  </si>
  <si>
    <t>958333</t>
  </si>
  <si>
    <t>Multiplayer Online Game Development</t>
  </si>
  <si>
    <t>958341</t>
  </si>
  <si>
    <t xml:space="preserve">Realistic Game Development </t>
  </si>
  <si>
    <t>958361</t>
  </si>
  <si>
    <t>Advanced Modeling for Game</t>
  </si>
  <si>
    <t>958371</t>
  </si>
  <si>
    <t>Interactive Applications</t>
  </si>
  <si>
    <t>958372</t>
  </si>
  <si>
    <t>Serious Games Design and Applications</t>
  </si>
  <si>
    <t>Gamification</t>
  </si>
  <si>
    <t>958441</t>
  </si>
  <si>
    <t>Motion Capture for Game Development</t>
  </si>
  <si>
    <t>951103</t>
  </si>
  <si>
    <t>Sketch Drawing</t>
  </si>
  <si>
    <t>951106</t>
  </si>
  <si>
    <t>Screenwriting and Digital Storytelling</t>
  </si>
  <si>
    <t>951211</t>
  </si>
  <si>
    <t>Three Dimensional Modelling and Animation Design 1</t>
  </si>
  <si>
    <t>951212</t>
  </si>
  <si>
    <t>Three Dimensional Modelling and Animation Design 2</t>
  </si>
  <si>
    <t>951215</t>
  </si>
  <si>
    <t>Storyboarding</t>
  </si>
  <si>
    <t>951301</t>
  </si>
  <si>
    <t>Advanced Animation and Rendering Techniques</t>
  </si>
  <si>
    <t>951411</t>
  </si>
  <si>
    <t>Advanced Three Dimensional Character Design</t>
  </si>
  <si>
    <t>951412</t>
  </si>
  <si>
    <t>Advanced Three Dimensional Scene Design</t>
  </si>
  <si>
    <t>957211</t>
  </si>
  <si>
    <t>Photoshop 1</t>
  </si>
  <si>
    <t>958451</t>
  </si>
  <si>
    <t>Electronics Sports 1</t>
  </si>
  <si>
    <t>958452</t>
  </si>
  <si>
    <t>Electronics Sports 2</t>
  </si>
  <si>
    <t>958481</t>
  </si>
  <si>
    <t>Selected Topics in Game Development 1</t>
  </si>
  <si>
    <t>958482</t>
  </si>
  <si>
    <t>Selected Topics in Game Development 2</t>
  </si>
  <si>
    <t>Language and Communication</t>
  </si>
  <si>
    <t>Humanities and Social Sciences</t>
  </si>
  <si>
    <t>050100</t>
  </si>
  <si>
    <t>HUGE 100</t>
  </si>
  <si>
    <t>Usage of The Thai Language</t>
  </si>
  <si>
    <t>109115</t>
  </si>
  <si>
    <t>FAGE 115</t>
  </si>
  <si>
    <t>Life and Aesthetics</t>
  </si>
  <si>
    <t>176100</t>
  </si>
  <si>
    <t>LAGE 100</t>
  </si>
  <si>
    <t>Law and Modern World</t>
  </si>
  <si>
    <t>703103</t>
  </si>
  <si>
    <t>MGMT 103</t>
  </si>
  <si>
    <t>Introduction to Enterpreneurship and Business</t>
  </si>
  <si>
    <t>751100</t>
  </si>
  <si>
    <t>ECON 100</t>
  </si>
  <si>
    <t>Economics for Everyday Life</t>
  </si>
  <si>
    <t>851100</t>
  </si>
  <si>
    <t>MC 100</t>
  </si>
  <si>
    <t>Introduction to Communication</t>
  </si>
  <si>
    <t>207110</t>
  </si>
  <si>
    <t>Physics : The Science that Changed the World</t>
  </si>
  <si>
    <t>208101</t>
  </si>
  <si>
    <t>Statistics for Everyday Life and Work</t>
  </si>
  <si>
    <t>953111</t>
  </si>
  <si>
    <t>Software for Everyday Life</t>
  </si>
  <si>
    <t>955100</t>
  </si>
  <si>
    <t>Learning through Activities 1</t>
  </si>
  <si>
    <t>0-3-1</t>
  </si>
  <si>
    <t>955101</t>
  </si>
  <si>
    <t>Learning through Activities 2</t>
  </si>
  <si>
    <t>057121</t>
  </si>
  <si>
    <t>Football for Life and Exercise</t>
  </si>
  <si>
    <t xml:space="preserve">057122 </t>
  </si>
  <si>
    <t>Swimming for Life and Exercise</t>
  </si>
  <si>
    <t>057125</t>
  </si>
  <si>
    <t>Rhythmic Activities for Life and Exercise</t>
  </si>
  <si>
    <t>057126</t>
  </si>
  <si>
    <t>Basketball for Life and Exercise</t>
  </si>
  <si>
    <t>057127</t>
  </si>
  <si>
    <t>Badminton for Life and Exercise</t>
  </si>
  <si>
    <t>057128</t>
  </si>
  <si>
    <t>Tennis for Life and Exercise</t>
  </si>
  <si>
    <t>057129</t>
  </si>
  <si>
    <t>Table Tennis for Life and Exercise</t>
  </si>
  <si>
    <t>057130</t>
  </si>
  <si>
    <t>Golf for Life and Exercise</t>
  </si>
  <si>
    <t>057131</t>
  </si>
  <si>
    <t>Exercise and Health</t>
  </si>
  <si>
    <t>057133</t>
  </si>
  <si>
    <t>Recreation for Quality of Life</t>
  </si>
  <si>
    <t>ตารางเปรียบเทียบเวลาเรียน นักศึกษาสาขาวิชาดิจิทัลเกม (DG)</t>
  </si>
  <si>
    <t>ภาคการศึกษาที่ 1 ปีการศึกษา 2569 (ร่าง)</t>
  </si>
  <si>
    <t>วัน</t>
  </si>
  <si>
    <t>ชั้นปี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</si>
  <si>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</si>
  <si>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</si>
  <si>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</si>
  <si>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</si>
  <si>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</si>
  <si>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</si>
  <si>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</si>
  <si>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</si>
  <si>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</si>
  <si>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</si>
  <si>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</si>
  <si>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</si>
  <si>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</si>
  <si>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</si>
  <si>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</si>
  <si>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</si>
  <si>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</si>
  <si>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</si>
  <si>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</si>
  <si>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</si>
  <si>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จันทร์</t>
  </si>
  <si>
    <t>ปี 1
(56 คน)</t>
  </si>
  <si>
    <t>013110
Psychology and Daily Life</t>
  </si>
  <si>
    <t>001101
Fundamental English 1</t>
  </si>
  <si>
    <t>ปี 2
(55 คน)</t>
  </si>
  <si>
    <t>ปี 3
(56 คน)</t>
  </si>
  <si>
    <t>ปี 4
(48 คน)</t>
  </si>
  <si>
    <t>อังคาร</t>
  </si>
  <si>
    <t>140104
Citizenship</t>
  </si>
  <si>
    <t>พุธ</t>
  </si>
  <si>
    <t>พฤหัสบดี</t>
  </si>
  <si>
    <t>ศุกร์</t>
  </si>
  <si>
    <t>958205
Basic Game Design</t>
  </si>
  <si>
    <t>958201/001
Math for Comp Gfx&amp;Game</t>
  </si>
  <si>
    <t>958111/001
Comp &amp; Prog for Game 1
(Lec)</t>
  </si>
  <si>
    <t>958111/001
Comp &amp; Prog for Game 1
(Lab)</t>
  </si>
  <si>
    <t>958201/002
Math for Comp Gfx&amp;Game</t>
  </si>
  <si>
    <t>958325/001
AI for Game Development</t>
  </si>
  <si>
    <t>801100
Architecture in Everyday Life</t>
  </si>
  <si>
    <t>958102/001
Intro to Digital Games</t>
  </si>
  <si>
    <t>958211
Data Structure for Game Dev</t>
  </si>
  <si>
    <t>958225
Digital Game Production
(Lec+Lab)</t>
  </si>
  <si>
    <t>958331
DB &amp; Network for Game Dev
(Lec)</t>
  </si>
  <si>
    <t>958331
DB &amp; Network for Game Dev
(Lab)</t>
  </si>
  <si>
    <t>958263
3D Modeling for Game Dev 2
(Lec)</t>
  </si>
  <si>
    <t>958263
3D Modeling for Game Dev 2
(Lab)</t>
  </si>
  <si>
    <t>958481/006
Sel Topic in Game Dev1
(E-sport / TBA)</t>
  </si>
  <si>
    <t>958111/002
Comp &amp; Prog for Game 1
(Lec)</t>
  </si>
  <si>
    <t>958111/002
Comp &amp; Prog for Game 1
(Lab)</t>
  </si>
  <si>
    <t>958221/001+002
Game Development 1
(Lec)</t>
  </si>
  <si>
    <t>958221/001+002
Game Development 1
(Lab)</t>
  </si>
  <si>
    <t>958321/001
Game Development 3
(Lec)</t>
  </si>
  <si>
    <t>958321/001
Game Development 3
(Lab)</t>
  </si>
  <si>
    <t>958345
VR &amp; MR
(เอกเลือก)</t>
  </si>
  <si>
    <t>958441
Motion Capture for Game Dev
(Lab)</t>
  </si>
  <si>
    <t>958441
Motion Capture for Game Dev
(Lec)</t>
  </si>
  <si>
    <r>
      <t xml:space="preserve">
</t>
    </r>
    <r>
      <rPr>
        <b/>
        <sz val="11"/>
        <color rgb="FF980000"/>
        <rFont val="Sarabun"/>
        <family val="2"/>
        <charset val="222"/>
      </rPr>
      <t>สำหรับเทอม 1 เรียน 001229</t>
    </r>
  </si>
  <si>
    <t>958113/002
Logical Thinking for Game Dev
(Lec)</t>
  </si>
  <si>
    <t>958113/002
Logical Thinking for Game Dev
(Lab)</t>
  </si>
  <si>
    <t>958113/001
Logical Thinking for Game Dev
(Lec)</t>
  </si>
  <si>
    <t>958113/001
Logical Thinking for Game Dev
(Lab)</t>
  </si>
  <si>
    <t>958481/001
Sel Topic in Game Dev1
(Adv UE - เอกเลือก)</t>
  </si>
  <si>
    <r>
      <t xml:space="preserve">(เอกเลือก)  
</t>
    </r>
    <r>
      <rPr>
        <b/>
        <sz val="11"/>
        <color rgb="FF000000"/>
        <rFont val="Sarabun"/>
        <family val="2"/>
        <charset val="222"/>
      </rPr>
      <t xml:space="preserve">958441  (รับเด็ก 20 คน)    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 xml:space="preserve">Motion Capture for Game Development 
ผศ.ดร.ธีรวัฒน์ (112)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</si>
</sst>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73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sz val="10"/>
      <color theme="1"/>
      <name val="Calibri"/>
      <family val="2"/>
      <scheme val="minor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9"/>
      <color rgb="FF000000"/>
      <name val="Tahoma"/>
      <family val="2"/>
    </font>
    <font>
      <sz val="11"/>
      <color theme="1"/>
      <name val="Sarabun"/>
      <family val="2"/>
      <charset val="222"/>
    </font>
    <font>
      <sz val="9"/>
      <color theme="1"/>
      <name val="Sarabun"/>
      <family val="2"/>
      <charset val="222"/>
    </font>
    <font>
      <sz val="9"/>
      <color rgb="FF000000"/>
      <name val="Cordia New"/>
      <family val="2"/>
    </font>
    <font>
      <sz val="10"/>
      <color theme="1"/>
      <name val="Sarabun"/>
      <family val="2"/>
      <charset val="222"/>
    </font>
    <font>
      <sz val="9"/>
      <color theme="1"/>
      <name val="Calibri"/>
      <family val="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strike/>
      <sz val="11"/>
      <color rgb="FF000000"/>
      <name val="Sarabun"/>
      <family val="2"/>
      <charset val="222"/>
    </font>
    <font>
      <b/>
      <sz val="14"/>
      <color rgb="FF000000"/>
      <name val="Sarabun"/>
      <family val="2"/>
      <charset val="222"/>
    </font>
    <font>
      <b/>
      <sz val="12"/>
      <color theme="1"/>
      <name val="Sarabun"/>
      <family val="2"/>
      <charset val="222"/>
    </font>
    <font>
      <sz val="14"/>
      <color theme="1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4"/>
      <color theme="1"/>
      <name val="Calibri"/>
      <family val="2"/>
      <scheme val="minor"/>
    </font>
    <font>
      <sz val="10"/>
      <color rgb="FFFF0000"/>
      <name val="Sarabun"/>
      <family val="2"/>
      <charset val="222"/>
    </font>
    <font>
      <sz val="14"/>
      <color rgb="FF000000"/>
      <name val="Sarabun"/>
      <family val="2"/>
      <charset val="222"/>
    </font>
    <font>
      <sz val="14"/>
      <color rgb="FFFF0000"/>
      <name val="Sarabun"/>
      <family val="2"/>
      <charset val="222"/>
    </font>
    <font>
      <sz val="10"/>
      <color rgb="FF000000"/>
      <name val="Sarabun"/>
      <family val="2"/>
      <charset val="222"/>
    </font>
    <font>
      <sz val="11"/>
      <color rgb="FFFF0000"/>
      <name val="Sarabun"/>
      <family val="2"/>
      <charset val="222"/>
    </font>
    <font>
      <sz val="12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rgb="FF000000"/>
      <name val="Cordia New"/>
      <family val="2"/>
    </font>
    <font>
      <sz val="11"/>
      <color rgb="FF980000"/>
      <name val="Sarabun"/>
      <family val="2"/>
      <charset val="222"/>
    </font>
    <font>
      <strike/>
      <sz val="11"/>
      <color theme="1"/>
      <name val="Sarabun"/>
      <family val="2"/>
      <charset val="222"/>
    </font>
    <font>
      <b/>
      <sz val="12"/>
      <color theme="1"/>
      <name val="Calibri"/>
      <family val="2"/>
      <scheme val="minor"/>
    </font>
    <font>
      <b/>
      <sz val="10"/>
      <color rgb="FF000000"/>
      <name val="Sarabun"/>
      <family val="2"/>
      <charset val="222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trike/>
      <sz val="14"/>
      <color rgb="FF980000"/>
      <name val="Sarabun"/>
      <family val="2"/>
      <charset val="222"/>
    </font>
    <font>
      <strike/>
      <sz val="14"/>
      <color rgb="FF980000"/>
      <name val="Sarabun"/>
      <family val="2"/>
      <charset val="222"/>
    </font>
    <font>
      <b/>
      <sz val="12"/>
      <color rgb="FFFF0000"/>
      <name val="Sarabun"/>
      <family val="2"/>
      <charset val="222"/>
    </font>
    <font>
      <sz val="8"/>
      <color rgb="FFFF0000"/>
      <name val="Sarabun"/>
      <family val="2"/>
      <charset val="222"/>
    </font>
    <font>
      <b/>
      <sz val="18"/>
      <color rgb="FF980000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6"/>
      <color rgb="FF000000"/>
      <name val="TH SarabunPSK"/>
      <family val="2"/>
    </font>
    <font>
      <b/>
      <sz val="10"/>
      <color theme="1"/>
      <name val="Calibri"/>
      <family val="2"/>
      <scheme val="minor"/>
    </font>
    <font>
      <sz val="11"/>
      <color rgb="FF0000FF"/>
      <name val="Sarabun"/>
      <family val="2"/>
      <charset val="222"/>
    </font>
    <font>
      <b/>
      <sz val="11"/>
      <color rgb="FF980000"/>
      <name val="Sarabun"/>
      <family val="2"/>
      <charset val="222"/>
    </font>
    <font>
      <strike/>
      <sz val="12"/>
      <color rgb="FF000000"/>
      <name val="Sarabun"/>
      <family val="2"/>
      <charset val="222"/>
    </font>
    <font>
      <sz val="12"/>
      <color rgb="FF980000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sz val="11"/>
      <color rgb="FF980000"/>
      <name val="Sarabun,Arial"/>
    </font>
    <font>
      <sz val="11"/>
      <color rgb="FF000000"/>
      <name val="Sarabun,Arial"/>
    </font>
    <font>
      <b/>
      <sz val="11"/>
      <color rgb="FF980000"/>
      <name val="Sarabun,Arial"/>
    </font>
    <font>
      <sz val="11"/>
      <color rgb="FF274E13"/>
      <name val="Sarabun,Arial"/>
    </font>
    <font>
      <sz val="16"/>
      <color rgb="FF980000"/>
      <name val="TH SarabunPSK"/>
      <family val="2"/>
    </font>
    <font>
      <b/>
      <sz val="14"/>
      <color rgb="FFFFFFFF"/>
      <name val="Arial"/>
      <family val="2"/>
    </font>
    <font>
      <i/>
      <sz val="11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sz val="10"/>
      <color rgb="FF000000"/>
      <name val="Calibri"/>
      <family val="2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B4A7D6"/>
        <bgColor rgb="FFB4A7D6"/>
      </patternFill>
    </fill>
    <fill>
      <patternFill patternType="solid">
        <fgColor theme="5"/>
        <bgColor theme="5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rgb="FFCC0000"/>
        <bgColor rgb="FFCC0000"/>
      </patternFill>
    </fill>
    <fill>
      <patternFill patternType="solid">
        <fgColor rgb="FF674EA7"/>
        <bgColor rgb="FF674EA7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B45F06"/>
        <bgColor rgb="FFB45F06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6AA84F"/>
        <bgColor rgb="FF6AA84F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/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/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 style="thin">
        <color rgb="FF888888"/>
      </right>
      <top style="medium">
        <color indexed="64"/>
      </top>
      <bottom/>
      <diagonal/>
    </border>
    <border>
      <left style="thin">
        <color rgb="FF888888"/>
      </left>
      <right/>
      <top style="medium">
        <color indexed="64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/>
      <bottom style="medium">
        <color indexed="64"/>
      </bottom>
      <diagonal/>
    </border>
    <border>
      <left style="thin">
        <color rgb="FF888888"/>
      </left>
      <right style="medium">
        <color indexed="64"/>
      </right>
      <top/>
      <bottom style="medium">
        <color indexed="64"/>
      </bottom>
      <diagonal/>
    </border>
    <border>
      <left style="thin">
        <color rgb="FF888888"/>
      </left>
      <right style="thin">
        <color rgb="FF888888"/>
      </right>
      <top/>
      <bottom/>
      <diagonal/>
    </border>
    <border>
      <left style="thin">
        <color rgb="FF888888"/>
      </left>
      <right style="medium">
        <color indexed="64"/>
      </right>
      <top style="medium">
        <color indexed="64"/>
      </top>
      <bottom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thin">
        <color rgb="FF888888"/>
      </left>
      <right style="thin">
        <color rgb="FF888888"/>
      </right>
      <top style="medium">
        <color rgb="FFFF0000"/>
      </top>
      <bottom style="thin">
        <color rgb="FF888888"/>
      </bottom>
      <diagonal/>
    </border>
    <border>
      <left style="medium">
        <color rgb="FFFF0000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medium">
        <color rgb="FFFF0000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rgb="FFFF0000"/>
      </bottom>
      <diagonal/>
    </border>
    <border>
      <left style="thin">
        <color rgb="FF888888"/>
      </left>
      <right style="medium">
        <color rgb="FFFF0000"/>
      </right>
      <top style="thin">
        <color rgb="FF888888"/>
      </top>
      <bottom style="medium">
        <color rgb="FFFF0000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/>
      <diagonal/>
    </border>
    <border>
      <left style="thin">
        <color rgb="FF888888"/>
      </left>
      <right/>
      <top style="thin">
        <color rgb="FF888888"/>
      </top>
      <bottom/>
      <diagonal/>
    </border>
    <border>
      <left/>
      <right style="thin">
        <color rgb="FF888888"/>
      </right>
      <top/>
      <bottom/>
      <diagonal/>
    </border>
    <border>
      <left style="thin">
        <color rgb="FF888888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medium">
        <color rgb="FFFF0000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rgb="FFFF0000"/>
      </left>
      <right/>
      <top style="medium">
        <color rgb="FFFF0000"/>
      </top>
      <bottom style="thin">
        <color rgb="FF888888"/>
      </bottom>
      <diagonal/>
    </border>
    <border>
      <left/>
      <right style="thin">
        <color rgb="FF888888"/>
      </right>
      <top style="medium">
        <color rgb="FFFF0000"/>
      </top>
      <bottom style="thin">
        <color rgb="FF888888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 style="medium">
        <color rgb="FFFF0000"/>
      </left>
      <right/>
      <top style="thin">
        <color rgb="FF888888"/>
      </top>
      <bottom style="thin">
        <color rgb="FF888888"/>
      </bottom>
      <diagonal/>
    </border>
    <border>
      <left/>
      <right/>
      <top style="medium">
        <color indexed="64"/>
      </top>
      <bottom style="thin">
        <color rgb="FF888888"/>
      </bottom>
      <diagonal/>
    </border>
    <border>
      <left/>
      <right style="thin">
        <color rgb="FF888888"/>
      </right>
      <top style="medium">
        <color indexed="64"/>
      </top>
      <bottom style="thin">
        <color rgb="FF888888"/>
      </bottom>
      <diagonal/>
    </border>
    <border>
      <left/>
      <right style="medium">
        <color rgb="FFFF0000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  <border>
      <left/>
      <right style="thin">
        <color rgb="FF888888"/>
      </right>
      <top style="thin">
        <color rgb="FF888888"/>
      </top>
      <bottom/>
      <diagonal/>
    </border>
    <border>
      <left style="medium">
        <color rgb="FFFF0000"/>
      </left>
      <right/>
      <top style="thin">
        <color rgb="FF888888"/>
      </top>
      <bottom style="medium">
        <color rgb="FFFF0000"/>
      </bottom>
      <diagonal/>
    </border>
    <border>
      <left/>
      <right style="thin">
        <color rgb="FF888888"/>
      </right>
      <top style="thin">
        <color rgb="FF888888"/>
      </top>
      <bottom style="medium">
        <color rgb="FFFF0000"/>
      </bottom>
      <diagonal/>
    </border>
    <border>
      <left style="thin">
        <color rgb="FF888888"/>
      </left>
      <right/>
      <top style="medium">
        <color rgb="FFFF0000"/>
      </top>
      <bottom style="thin">
        <color rgb="FF888888"/>
      </bottom>
      <diagonal/>
    </border>
    <border>
      <left/>
      <right/>
      <top style="medium">
        <color rgb="FFFF0000"/>
      </top>
      <bottom style="thin">
        <color rgb="FF888888"/>
      </bottom>
      <diagonal/>
    </border>
    <border>
      <left/>
      <right style="medium">
        <color rgb="FFFF0000"/>
      </right>
      <top style="medium">
        <color rgb="FFFF0000"/>
      </top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medium">
        <color rgb="FFFF0000"/>
      </bottom>
      <diagonal/>
    </border>
    <border>
      <left/>
      <right/>
      <top style="thin">
        <color rgb="FF888888"/>
      </top>
      <bottom style="medium">
        <color rgb="FFFF0000"/>
      </bottom>
      <diagonal/>
    </border>
    <border>
      <left/>
      <right style="medium">
        <color rgb="FFFF0000"/>
      </right>
      <top style="thin">
        <color rgb="FF888888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rgb="FF888888"/>
      </left>
      <right/>
      <top style="medium">
        <color indexed="64"/>
      </top>
      <bottom/>
      <diagonal/>
    </border>
    <border>
      <left style="thin">
        <color rgb="FF888888"/>
      </left>
      <right/>
      <top/>
      <bottom style="medium">
        <color indexed="64"/>
      </bottom>
      <diagonal/>
    </border>
    <border>
      <left style="medium">
        <color theme="1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 style="thin">
        <color rgb="FF888888"/>
      </right>
      <top style="medium">
        <color theme="1"/>
      </top>
      <bottom/>
      <diagonal/>
    </border>
    <border>
      <left style="thin">
        <color rgb="FF888888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/>
      <top style="medium">
        <color theme="1"/>
      </top>
      <bottom style="thin">
        <color rgb="FF888888"/>
      </bottom>
      <diagonal/>
    </border>
    <border>
      <left/>
      <right/>
      <top style="medium">
        <color theme="1"/>
      </top>
      <bottom style="thin">
        <color rgb="FF888888"/>
      </bottom>
      <diagonal/>
    </border>
    <border>
      <left/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 style="medium">
        <color theme="1"/>
      </right>
      <top style="thin">
        <color rgb="FF888888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 style="thin">
        <color rgb="FF888888"/>
      </right>
      <top/>
      <bottom style="medium">
        <color theme="1"/>
      </bottom>
      <diagonal/>
    </border>
    <border>
      <left style="thin">
        <color rgb="FF888888"/>
      </left>
      <right/>
      <top/>
      <bottom style="medium">
        <color theme="1"/>
      </bottom>
      <diagonal/>
    </border>
    <border>
      <left/>
      <right style="thin">
        <color rgb="FF888888"/>
      </right>
      <top/>
      <bottom style="medium">
        <color theme="1"/>
      </bottom>
      <diagonal/>
    </border>
    <border>
      <left style="thin">
        <color rgb="FF888888"/>
      </left>
      <right style="medium">
        <color theme="1"/>
      </right>
      <top/>
      <bottom style="medium">
        <color theme="1"/>
      </bottom>
      <diagonal/>
    </border>
    <border>
      <left style="thin">
        <color rgb="FF888888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thin">
        <color rgb="FF888888"/>
      </right>
      <top style="medium">
        <color theme="1"/>
      </top>
      <bottom/>
      <diagonal/>
    </border>
    <border>
      <left style="thin">
        <color rgb="FF888888"/>
      </left>
      <right style="medium">
        <color theme="1"/>
      </right>
      <top style="medium">
        <color theme="1"/>
      </top>
      <bottom/>
      <diagonal/>
    </border>
    <border>
      <left style="thin">
        <color rgb="FF888888"/>
      </left>
      <right style="medium">
        <color theme="1"/>
      </right>
      <top style="medium">
        <color rgb="FFFF0000"/>
      </top>
      <bottom style="thin">
        <color rgb="FF888888"/>
      </bottom>
      <diagonal/>
    </border>
    <border>
      <left/>
      <right style="medium">
        <color theme="1"/>
      </right>
      <top style="thin">
        <color rgb="FF888888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rgb="FF888888"/>
      </left>
      <right style="medium">
        <color theme="1"/>
      </right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rgb="FF888888"/>
      </left>
      <right style="medium">
        <color theme="1"/>
      </right>
      <top/>
      <bottom/>
      <diagonal/>
    </border>
    <border>
      <left/>
      <right style="thin">
        <color rgb="FF888888"/>
      </right>
      <top style="medium">
        <color indexed="64"/>
      </top>
      <bottom/>
      <diagonal/>
    </border>
    <border>
      <left/>
      <right style="thin">
        <color rgb="FF888888"/>
      </right>
      <top/>
      <bottom style="medium">
        <color indexed="64"/>
      </bottom>
      <diagonal/>
    </border>
    <border>
      <left style="thin">
        <color rgb="FF888888"/>
      </left>
      <right style="medium">
        <color theme="1"/>
      </right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1"/>
      </bottom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medium">
        <color rgb="FFFF0000"/>
      </bottom>
      <diagonal/>
    </border>
    <border>
      <left style="thin">
        <color rgb="FF888888"/>
      </left>
      <right style="thin">
        <color theme="0" tint="-0.499984740745262"/>
      </right>
      <top style="medium">
        <color rgb="FFFF0000"/>
      </top>
      <bottom style="medium">
        <color theme="1"/>
      </bottom>
      <diagonal/>
    </border>
  </borders>
  <cellStyleXfs count="1">
    <xf numFmtId="0" fontId="0" fillId="0" borderId="0"/>
  </cellStyleXfs>
  <cellXfs count="502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2" fillId="0" borderId="1" xfId="0" applyFont="1" applyBorder="1"/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0" fontId="11" fillId="0" borderId="11" xfId="0" applyFont="1" applyBorder="1" applyAlignment="1">
      <alignment vertical="center" wrapText="1"/>
    </xf>
    <xf numFmtId="0" fontId="11" fillId="0" borderId="11" xfId="0" applyFont="1" applyBorder="1" applyAlignment="1">
      <alignment wrapText="1"/>
    </xf>
    <xf numFmtId="0" fontId="11" fillId="0" borderId="11" xfId="0" applyFont="1" applyBorder="1" applyAlignment="1">
      <alignment horizontal="center"/>
    </xf>
    <xf numFmtId="0" fontId="11" fillId="0" borderId="11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1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15" xfId="0" applyFont="1" applyBorder="1" applyAlignment="1">
      <alignment vertical="center"/>
    </xf>
    <xf numFmtId="0" fontId="12" fillId="0" borderId="11" xfId="0" applyFont="1" applyBorder="1" applyAlignment="1">
      <alignment wrapText="1"/>
    </xf>
    <xf numFmtId="0" fontId="2" fillId="12" borderId="10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0" fontId="11" fillId="0" borderId="13" xfId="0" applyFont="1" applyBorder="1" applyAlignment="1">
      <alignment vertical="center"/>
    </xf>
    <xf numFmtId="0" fontId="12" fillId="0" borderId="1" xfId="0" applyFont="1" applyBorder="1" applyAlignment="1">
      <alignment wrapText="1"/>
    </xf>
    <xf numFmtId="0" fontId="11" fillId="0" borderId="11" xfId="0" applyFont="1" applyBorder="1"/>
    <xf numFmtId="0" fontId="11" fillId="0" borderId="7" xfId="0" applyFont="1" applyBorder="1"/>
    <xf numFmtId="0" fontId="11" fillId="0" borderId="1" xfId="0" applyFont="1" applyBorder="1"/>
    <xf numFmtId="0" fontId="11" fillId="0" borderId="14" xfId="0" applyFont="1" applyBorder="1"/>
    <xf numFmtId="0" fontId="11" fillId="0" borderId="0" xfId="0" applyFont="1"/>
    <xf numFmtId="0" fontId="11" fillId="0" borderId="15" xfId="0" applyFont="1" applyBorder="1"/>
    <xf numFmtId="0" fontId="11" fillId="0" borderId="5" xfId="0" applyFont="1" applyBorder="1" applyAlignment="1">
      <alignment horizontal="center" vertical="center" wrapText="1"/>
    </xf>
    <xf numFmtId="0" fontId="8" fillId="0" borderId="0" xfId="0" applyFont="1"/>
    <xf numFmtId="0" fontId="11" fillId="0" borderId="1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14" borderId="3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 wrapText="1"/>
    </xf>
    <xf numFmtId="0" fontId="2" fillId="15" borderId="2" xfId="0" applyFont="1" applyFill="1" applyBorder="1"/>
    <xf numFmtId="0" fontId="2" fillId="0" borderId="3" xfId="0" applyFont="1" applyBorder="1"/>
    <xf numFmtId="0" fontId="2" fillId="0" borderId="19" xfId="0" applyFont="1" applyBorder="1"/>
    <xf numFmtId="0" fontId="2" fillId="0" borderId="8" xfId="0" applyFont="1" applyBorder="1"/>
    <xf numFmtId="0" fontId="2" fillId="0" borderId="11" xfId="0" applyFont="1" applyBorder="1"/>
    <xf numFmtId="0" fontId="15" fillId="0" borderId="0" xfId="0" applyFont="1"/>
    <xf numFmtId="0" fontId="16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4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17" fillId="16" borderId="10" xfId="0" applyFont="1" applyFill="1" applyBorder="1" applyAlignment="1">
      <alignment horizontal="center" wrapText="1"/>
    </xf>
    <xf numFmtId="0" fontId="18" fillId="0" borderId="0" xfId="0" applyFont="1" applyAlignment="1">
      <alignment horizontal="center"/>
    </xf>
    <xf numFmtId="0" fontId="11" fillId="17" borderId="0" xfId="0" applyFont="1" applyFill="1" applyAlignment="1">
      <alignment horizontal="center"/>
    </xf>
    <xf numFmtId="49" fontId="1" fillId="17" borderId="0" xfId="0" applyNumberFormat="1" applyFont="1" applyFill="1" applyAlignment="1">
      <alignment horizontal="left" wrapText="1"/>
    </xf>
    <xf numFmtId="0" fontId="11" fillId="17" borderId="0" xfId="0" applyFont="1" applyFill="1" applyAlignment="1">
      <alignment horizontal="right"/>
    </xf>
    <xf numFmtId="0" fontId="19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0" fillId="17" borderId="20" xfId="0" applyFont="1" applyFill="1" applyBorder="1" applyAlignment="1">
      <alignment wrapText="1"/>
    </xf>
    <xf numFmtId="0" fontId="17" fillId="17" borderId="20" xfId="0" applyFont="1" applyFill="1" applyBorder="1" applyAlignment="1">
      <alignment horizontal="center" wrapText="1"/>
    </xf>
    <xf numFmtId="0" fontId="17" fillId="17" borderId="20" xfId="0" applyFont="1" applyFill="1" applyBorder="1" applyAlignment="1">
      <alignment horizontal="right" wrapText="1"/>
    </xf>
    <xf numFmtId="164" fontId="17" fillId="17" borderId="20" xfId="0" applyNumberFormat="1" applyFont="1" applyFill="1" applyBorder="1" applyAlignment="1">
      <alignment horizontal="right" wrapText="1"/>
    </xf>
    <xf numFmtId="0" fontId="11" fillId="6" borderId="0" xfId="0" applyFont="1" applyFill="1" applyAlignment="1">
      <alignment horizontal="center"/>
    </xf>
    <xf numFmtId="49" fontId="1" fillId="6" borderId="0" xfId="0" applyNumberFormat="1" applyFont="1" applyFill="1" applyAlignment="1">
      <alignment horizontal="left" wrapText="1"/>
    </xf>
    <xf numFmtId="0" fontId="11" fillId="6" borderId="0" xfId="0" applyFont="1" applyFill="1" applyAlignment="1">
      <alignment horizontal="right"/>
    </xf>
    <xf numFmtId="0" fontId="21" fillId="0" borderId="0" xfId="0" applyFont="1"/>
    <xf numFmtId="0" fontId="20" fillId="6" borderId="20" xfId="0" applyFont="1" applyFill="1" applyBorder="1" applyAlignment="1">
      <alignment wrapText="1"/>
    </xf>
    <xf numFmtId="164" fontId="17" fillId="6" borderId="20" xfId="0" applyNumberFormat="1" applyFont="1" applyFill="1" applyBorder="1" applyAlignment="1">
      <alignment horizontal="right" wrapText="1"/>
    </xf>
    <xf numFmtId="49" fontId="5" fillId="5" borderId="21" xfId="0" applyNumberFormat="1" applyFont="1" applyFill="1" applyBorder="1" applyAlignment="1">
      <alignment horizontal="left"/>
    </xf>
    <xf numFmtId="0" fontId="11" fillId="5" borderId="0" xfId="0" applyFont="1" applyFill="1" applyAlignment="1">
      <alignment horizontal="right"/>
    </xf>
    <xf numFmtId="0" fontId="21" fillId="0" borderId="0" xfId="0" applyFont="1" applyAlignment="1">
      <alignment wrapText="1"/>
    </xf>
    <xf numFmtId="49" fontId="5" fillId="10" borderId="21" xfId="0" applyNumberFormat="1" applyFont="1" applyFill="1" applyBorder="1" applyAlignment="1">
      <alignment horizontal="left"/>
    </xf>
    <xf numFmtId="0" fontId="11" fillId="10" borderId="0" xfId="0" applyFont="1" applyFill="1" applyAlignment="1">
      <alignment horizontal="right"/>
    </xf>
    <xf numFmtId="49" fontId="5" fillId="19" borderId="21" xfId="0" applyNumberFormat="1" applyFont="1" applyFill="1" applyBorder="1" applyAlignment="1">
      <alignment horizontal="left"/>
    </xf>
    <xf numFmtId="0" fontId="11" fillId="19" borderId="0" xfId="0" applyFont="1" applyFill="1" applyAlignment="1">
      <alignment horizontal="right"/>
    </xf>
    <xf numFmtId="49" fontId="5" fillId="4" borderId="0" xfId="0" applyNumberFormat="1" applyFont="1" applyFill="1" applyAlignment="1">
      <alignment horizontal="left"/>
    </xf>
    <xf numFmtId="0" fontId="11" fillId="4" borderId="0" xfId="0" applyFont="1" applyFill="1" applyAlignment="1">
      <alignment horizontal="right"/>
    </xf>
    <xf numFmtId="0" fontId="5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5" fillId="0" borderId="0" xfId="0" applyFont="1" applyAlignment="1">
      <alignment horizontal="right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3" fillId="0" borderId="0" xfId="0" applyFont="1"/>
    <xf numFmtId="0" fontId="24" fillId="0" borderId="0" xfId="0" applyFont="1"/>
    <xf numFmtId="0" fontId="6" fillId="0" borderId="9" xfId="0" applyFont="1" applyBorder="1"/>
    <xf numFmtId="0" fontId="12" fillId="0" borderId="5" xfId="0" applyFont="1" applyBorder="1" applyAlignment="1">
      <alignment wrapText="1"/>
    </xf>
    <xf numFmtId="0" fontId="12" fillId="0" borderId="7" xfId="0" applyFont="1" applyBorder="1" applyAlignment="1">
      <alignment wrapText="1"/>
    </xf>
    <xf numFmtId="0" fontId="12" fillId="0" borderId="13" xfId="0" applyFont="1" applyBorder="1" applyAlignment="1">
      <alignment wrapText="1"/>
    </xf>
    <xf numFmtId="0" fontId="12" fillId="0" borderId="14" xfId="0" applyFont="1" applyBorder="1" applyAlignment="1">
      <alignment wrapText="1"/>
    </xf>
    <xf numFmtId="0" fontId="25" fillId="0" borderId="11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1" fillId="0" borderId="5" xfId="0" applyFont="1" applyBorder="1" applyAlignment="1">
      <alignment vertical="center"/>
    </xf>
    <xf numFmtId="0" fontId="9" fillId="0" borderId="0" xfId="0" applyFont="1"/>
    <xf numFmtId="0" fontId="2" fillId="14" borderId="2" xfId="0" applyFont="1" applyFill="1" applyBorder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12" fillId="0" borderId="0" xfId="0" applyFont="1" applyAlignment="1">
      <alignment wrapText="1"/>
    </xf>
    <xf numFmtId="0" fontId="26" fillId="0" borderId="0" xfId="0" applyFont="1" applyAlignment="1">
      <alignment horizontal="center"/>
    </xf>
    <xf numFmtId="0" fontId="27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9" fillId="0" borderId="0" xfId="0" applyFont="1" applyAlignment="1">
      <alignment wrapText="1"/>
    </xf>
    <xf numFmtId="0" fontId="2" fillId="10" borderId="2" xfId="0" applyFont="1" applyFill="1" applyBorder="1" applyAlignment="1">
      <alignment horizontal="center"/>
    </xf>
    <xf numFmtId="49" fontId="8" fillId="10" borderId="2" xfId="0" applyNumberFormat="1" applyFont="1" applyFill="1" applyBorder="1" applyAlignment="1">
      <alignment horizontal="left" wrapText="1"/>
    </xf>
    <xf numFmtId="49" fontId="2" fillId="10" borderId="2" xfId="0" applyNumberFormat="1" applyFont="1" applyFill="1" applyBorder="1" applyAlignment="1">
      <alignment horizontal="left"/>
    </xf>
    <xf numFmtId="49" fontId="2" fillId="10" borderId="2" xfId="0" applyNumberFormat="1" applyFont="1" applyFill="1" applyBorder="1" applyAlignment="1">
      <alignment horizontal="left" wrapText="1"/>
    </xf>
    <xf numFmtId="49" fontId="30" fillId="0" borderId="2" xfId="0" applyNumberFormat="1" applyFont="1" applyBorder="1" applyAlignment="1">
      <alignment horizontal="center" wrapText="1"/>
    </xf>
    <xf numFmtId="0" fontId="2" fillId="25" borderId="2" xfId="0" applyFont="1" applyFill="1" applyBorder="1" applyAlignment="1">
      <alignment horizontal="center"/>
    </xf>
    <xf numFmtId="49" fontId="8" fillId="25" borderId="2" xfId="0" applyNumberFormat="1" applyFont="1" applyFill="1" applyBorder="1" applyAlignment="1">
      <alignment horizontal="left" wrapText="1"/>
    </xf>
    <xf numFmtId="0" fontId="30" fillId="0" borderId="2" xfId="0" applyFont="1" applyBorder="1" applyAlignment="1">
      <alignment horizontal="center" wrapText="1"/>
    </xf>
    <xf numFmtId="0" fontId="31" fillId="0" borderId="0" xfId="0" applyFont="1" applyAlignment="1">
      <alignment wrapText="1"/>
    </xf>
    <xf numFmtId="0" fontId="32" fillId="0" borderId="0" xfId="0" applyFont="1" applyAlignment="1">
      <alignment horizontal="center"/>
    </xf>
    <xf numFmtId="0" fontId="12" fillId="0" borderId="20" xfId="0" applyFont="1" applyBorder="1" applyAlignment="1">
      <alignment wrapText="1"/>
    </xf>
    <xf numFmtId="0" fontId="20" fillId="0" borderId="20" xfId="0" applyFont="1" applyBorder="1" applyAlignment="1">
      <alignment wrapText="1"/>
    </xf>
    <xf numFmtId="0" fontId="17" fillId="0" borderId="20" xfId="0" applyFont="1" applyBorder="1" applyAlignment="1">
      <alignment horizontal="center" wrapText="1"/>
    </xf>
    <xf numFmtId="0" fontId="17" fillId="0" borderId="20" xfId="0" applyFont="1" applyBorder="1" applyAlignment="1">
      <alignment horizontal="right" wrapText="1"/>
    </xf>
    <xf numFmtId="164" fontId="17" fillId="0" borderId="20" xfId="0" applyNumberFormat="1" applyFont="1" applyBorder="1" applyAlignment="1">
      <alignment horizontal="right" wrapText="1"/>
    </xf>
    <xf numFmtId="0" fontId="2" fillId="21" borderId="2" xfId="0" applyFont="1" applyFill="1" applyBorder="1" applyAlignment="1">
      <alignment horizontal="center"/>
    </xf>
    <xf numFmtId="49" fontId="8" fillId="21" borderId="2" xfId="0" applyNumberFormat="1" applyFont="1" applyFill="1" applyBorder="1" applyAlignment="1">
      <alignment horizontal="left" wrapText="1"/>
    </xf>
    <xf numFmtId="0" fontId="33" fillId="0" borderId="0" xfId="0" applyFont="1" applyAlignment="1">
      <alignment wrapText="1"/>
    </xf>
    <xf numFmtId="164" fontId="14" fillId="0" borderId="20" xfId="0" applyNumberFormat="1" applyFont="1" applyBorder="1" applyAlignment="1">
      <alignment horizontal="right" wrapText="1"/>
    </xf>
    <xf numFmtId="0" fontId="2" fillId="6" borderId="2" xfId="0" applyFont="1" applyFill="1" applyBorder="1" applyAlignment="1">
      <alignment horizontal="center"/>
    </xf>
    <xf numFmtId="49" fontId="8" fillId="6" borderId="2" xfId="0" applyNumberFormat="1" applyFont="1" applyFill="1" applyBorder="1" applyAlignment="1">
      <alignment horizontal="left" wrapText="1"/>
    </xf>
    <xf numFmtId="0" fontId="34" fillId="0" borderId="0" xfId="0" applyFont="1" applyAlignment="1">
      <alignment horizontal="left" wrapText="1"/>
    </xf>
    <xf numFmtId="0" fontId="32" fillId="6" borderId="20" xfId="0" applyFont="1" applyFill="1" applyBorder="1" applyAlignment="1">
      <alignment horizontal="center"/>
    </xf>
    <xf numFmtId="0" fontId="10" fillId="6" borderId="20" xfId="0" applyFont="1" applyFill="1" applyBorder="1" applyAlignment="1">
      <alignment horizontal="center"/>
    </xf>
    <xf numFmtId="0" fontId="2" fillId="26" borderId="2" xfId="0" applyFont="1" applyFill="1" applyBorder="1" applyAlignment="1">
      <alignment horizontal="center"/>
    </xf>
    <xf numFmtId="49" fontId="8" fillId="26" borderId="2" xfId="0" applyNumberFormat="1" applyFont="1" applyFill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32" fillId="0" borderId="20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49" fontId="8" fillId="4" borderId="2" xfId="0" applyNumberFormat="1" applyFont="1" applyFill="1" applyBorder="1" applyAlignment="1">
      <alignment horizontal="left" wrapText="1"/>
    </xf>
    <xf numFmtId="0" fontId="35" fillId="0" borderId="0" xfId="0" applyFont="1"/>
    <xf numFmtId="0" fontId="32" fillId="4" borderId="20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36" fillId="0" borderId="2" xfId="0" applyFont="1" applyBorder="1" applyAlignment="1">
      <alignment wrapText="1"/>
    </xf>
    <xf numFmtId="0" fontId="32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2" fillId="7" borderId="0" xfId="0" applyFont="1" applyFill="1" applyAlignment="1">
      <alignment horizontal="center"/>
    </xf>
    <xf numFmtId="49" fontId="8" fillId="7" borderId="0" xfId="0" applyNumberFormat="1" applyFont="1" applyFill="1" applyAlignment="1">
      <alignment horizontal="center" wrapText="1"/>
    </xf>
    <xf numFmtId="0" fontId="30" fillId="0" borderId="0" xfId="0" applyFont="1" applyAlignment="1">
      <alignment wrapText="1"/>
    </xf>
    <xf numFmtId="0" fontId="19" fillId="0" borderId="0" xfId="0" applyFont="1" applyAlignment="1">
      <alignment horizontal="left" wrapText="1"/>
    </xf>
    <xf numFmtId="0" fontId="3" fillId="27" borderId="0" xfId="0" applyFont="1" applyFill="1" applyAlignment="1">
      <alignment horizontal="center" wrapText="1"/>
    </xf>
    <xf numFmtId="49" fontId="8" fillId="27" borderId="0" xfId="0" applyNumberFormat="1" applyFont="1" applyFill="1" applyAlignment="1">
      <alignment horizontal="center" wrapText="1"/>
    </xf>
    <xf numFmtId="0" fontId="32" fillId="0" borderId="0" xfId="0" applyFont="1" applyAlignment="1">
      <alignment horizontal="left" wrapText="1"/>
    </xf>
    <xf numFmtId="0" fontId="37" fillId="0" borderId="0" xfId="0" applyFont="1"/>
    <xf numFmtId="0" fontId="32" fillId="27" borderId="20" xfId="0" applyFont="1" applyFill="1" applyBorder="1" applyAlignment="1">
      <alignment horizontal="center"/>
    </xf>
    <xf numFmtId="0" fontId="37" fillId="27" borderId="20" xfId="0" applyFont="1" applyFill="1" applyBorder="1"/>
    <xf numFmtId="0" fontId="10" fillId="27" borderId="20" xfId="0" applyFont="1" applyFill="1" applyBorder="1" applyAlignment="1">
      <alignment horizontal="center"/>
    </xf>
    <xf numFmtId="49" fontId="5" fillId="0" borderId="0" xfId="0" applyNumberFormat="1" applyFont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38" fillId="0" borderId="0" xfId="0" applyFont="1" applyAlignment="1">
      <alignment vertical="center" wrapText="1"/>
    </xf>
    <xf numFmtId="0" fontId="8" fillId="0" borderId="1" xfId="0" applyFont="1" applyBorder="1" applyAlignment="1">
      <alignment horizontal="right"/>
    </xf>
    <xf numFmtId="0" fontId="11" fillId="0" borderId="9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40" fillId="31" borderId="5" xfId="0" applyFont="1" applyFill="1" applyBorder="1" applyAlignment="1">
      <alignment horizontal="center" vertical="center" wrapText="1"/>
    </xf>
    <xf numFmtId="0" fontId="40" fillId="31" borderId="11" xfId="0" applyFont="1" applyFill="1" applyBorder="1" applyAlignment="1">
      <alignment horizontal="center" vertical="center" wrapText="1"/>
    </xf>
    <xf numFmtId="0" fontId="40" fillId="31" borderId="7" xfId="0" applyFont="1" applyFill="1" applyBorder="1" applyAlignment="1">
      <alignment horizontal="center" vertical="center" wrapText="1"/>
    </xf>
    <xf numFmtId="0" fontId="40" fillId="31" borderId="13" xfId="0" applyFont="1" applyFill="1" applyBorder="1" applyAlignment="1">
      <alignment horizontal="center" vertical="center" wrapText="1"/>
    </xf>
    <xf numFmtId="0" fontId="40" fillId="31" borderId="1" xfId="0" applyFont="1" applyFill="1" applyBorder="1" applyAlignment="1">
      <alignment horizontal="center" vertical="center" wrapText="1"/>
    </xf>
    <xf numFmtId="0" fontId="40" fillId="31" borderId="14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11" fillId="0" borderId="0" xfId="0" applyFont="1" applyAlignment="1">
      <alignment horizontal="center" vertical="center"/>
    </xf>
    <xf numFmtId="0" fontId="41" fillId="0" borderId="0" xfId="0" applyFont="1" applyAlignment="1">
      <alignment wrapText="1"/>
    </xf>
    <xf numFmtId="0" fontId="32" fillId="6" borderId="0" xfId="0" applyFont="1" applyFill="1" applyAlignment="1">
      <alignment horizontal="center"/>
    </xf>
    <xf numFmtId="0" fontId="26" fillId="6" borderId="0" xfId="0" applyFont="1" applyFill="1" applyAlignment="1">
      <alignment horizontal="left" wrapText="1"/>
    </xf>
    <xf numFmtId="0" fontId="32" fillId="6" borderId="0" xfId="0" applyFont="1" applyFill="1" applyAlignment="1">
      <alignment wrapText="1"/>
    </xf>
    <xf numFmtId="49" fontId="32" fillId="6" borderId="0" xfId="0" applyNumberFormat="1" applyFont="1" applyFill="1" applyAlignment="1">
      <alignment wrapText="1"/>
    </xf>
    <xf numFmtId="0" fontId="42" fillId="0" borderId="0" xfId="0" applyFont="1" applyAlignment="1">
      <alignment horizontal="left"/>
    </xf>
    <xf numFmtId="0" fontId="43" fillId="0" borderId="0" xfId="0" applyFont="1"/>
    <xf numFmtId="0" fontId="44" fillId="0" borderId="0" xfId="0" applyFont="1" applyAlignment="1">
      <alignment wrapText="1"/>
    </xf>
    <xf numFmtId="0" fontId="32" fillId="28" borderId="0" xfId="0" applyFont="1" applyFill="1" applyAlignment="1">
      <alignment horizontal="center"/>
    </xf>
    <xf numFmtId="0" fontId="26" fillId="28" borderId="0" xfId="0" applyFont="1" applyFill="1" applyAlignment="1">
      <alignment horizontal="left" wrapText="1"/>
    </xf>
    <xf numFmtId="0" fontId="32" fillId="28" borderId="0" xfId="0" applyFont="1" applyFill="1" applyAlignment="1">
      <alignment wrapText="1"/>
    </xf>
    <xf numFmtId="49" fontId="32" fillId="28" borderId="0" xfId="0" applyNumberFormat="1" applyFont="1" applyFill="1" applyAlignment="1">
      <alignment wrapText="1"/>
    </xf>
    <xf numFmtId="0" fontId="19" fillId="0" borderId="0" xfId="0" applyFont="1" applyAlignment="1">
      <alignment horizontal="left"/>
    </xf>
    <xf numFmtId="0" fontId="32" fillId="4" borderId="0" xfId="0" applyFont="1" applyFill="1" applyAlignment="1">
      <alignment horizontal="center"/>
    </xf>
    <xf numFmtId="0" fontId="26" fillId="4" borderId="0" xfId="0" applyFont="1" applyFill="1" applyAlignment="1">
      <alignment horizontal="left" wrapText="1"/>
    </xf>
    <xf numFmtId="0" fontId="32" fillId="4" borderId="0" xfId="0" applyFont="1" applyFill="1" applyAlignment="1">
      <alignment wrapText="1"/>
    </xf>
    <xf numFmtId="49" fontId="32" fillId="4" borderId="0" xfId="0" applyNumberFormat="1" applyFont="1" applyFill="1" applyAlignment="1">
      <alignment wrapText="1"/>
    </xf>
    <xf numFmtId="0" fontId="12" fillId="4" borderId="20" xfId="0" applyFont="1" applyFill="1" applyBorder="1" applyAlignment="1">
      <alignment wrapText="1"/>
    </xf>
    <xf numFmtId="49" fontId="2" fillId="0" borderId="0" xfId="0" applyNumberFormat="1" applyFont="1" applyAlignment="1">
      <alignment horizontal="left" wrapText="1"/>
    </xf>
    <xf numFmtId="0" fontId="32" fillId="0" borderId="0" xfId="0" applyFont="1" applyAlignment="1">
      <alignment wrapText="1"/>
    </xf>
    <xf numFmtId="49" fontId="32" fillId="0" borderId="0" xfId="0" applyNumberFormat="1" applyFont="1" applyAlignment="1">
      <alignment wrapText="1"/>
    </xf>
    <xf numFmtId="0" fontId="31" fillId="0" borderId="0" xfId="0" applyFont="1"/>
    <xf numFmtId="0" fontId="32" fillId="5" borderId="0" xfId="0" applyFont="1" applyFill="1" applyAlignment="1">
      <alignment horizontal="center"/>
    </xf>
    <xf numFmtId="0" fontId="45" fillId="5" borderId="0" xfId="0" applyFont="1" applyFill="1" applyAlignment="1">
      <alignment horizontal="left" wrapText="1"/>
    </xf>
    <xf numFmtId="0" fontId="46" fillId="5" borderId="0" xfId="0" applyFont="1" applyFill="1" applyAlignment="1">
      <alignment wrapText="1"/>
    </xf>
    <xf numFmtId="49" fontId="46" fillId="5" borderId="0" xfId="0" applyNumberFormat="1" applyFont="1" applyFill="1" applyAlignment="1">
      <alignment wrapText="1"/>
    </xf>
    <xf numFmtId="0" fontId="26" fillId="5" borderId="0" xfId="0" applyFont="1" applyFill="1" applyAlignment="1">
      <alignment horizontal="left" wrapText="1"/>
    </xf>
    <xf numFmtId="0" fontId="32" fillId="5" borderId="0" xfId="0" applyFont="1" applyFill="1" applyAlignment="1">
      <alignment wrapText="1"/>
    </xf>
    <xf numFmtId="49" fontId="32" fillId="5" borderId="0" xfId="0" applyNumberFormat="1" applyFont="1" applyFill="1" applyAlignment="1">
      <alignment wrapText="1"/>
    </xf>
    <xf numFmtId="0" fontId="32" fillId="33" borderId="0" xfId="0" applyFont="1" applyFill="1" applyAlignment="1">
      <alignment horizontal="center"/>
    </xf>
    <xf numFmtId="0" fontId="26" fillId="33" borderId="0" xfId="0" applyFont="1" applyFill="1" applyAlignment="1">
      <alignment horizontal="left" wrapText="1"/>
    </xf>
    <xf numFmtId="0" fontId="32" fillId="33" borderId="0" xfId="0" applyFont="1" applyFill="1" applyAlignment="1">
      <alignment wrapText="1"/>
    </xf>
    <xf numFmtId="49" fontId="32" fillId="33" borderId="0" xfId="0" applyNumberFormat="1" applyFont="1" applyFill="1" applyAlignment="1">
      <alignment wrapText="1"/>
    </xf>
    <xf numFmtId="0" fontId="12" fillId="34" borderId="20" xfId="0" applyFont="1" applyFill="1" applyBorder="1" applyAlignment="1">
      <alignment wrapText="1"/>
    </xf>
    <xf numFmtId="0" fontId="10" fillId="34" borderId="20" xfId="0" applyFont="1" applyFill="1" applyBorder="1" applyAlignment="1">
      <alignment horizontal="center"/>
    </xf>
    <xf numFmtId="0" fontId="32" fillId="9" borderId="0" xfId="0" applyFont="1" applyFill="1" applyAlignment="1">
      <alignment horizontal="center"/>
    </xf>
    <xf numFmtId="0" fontId="26" fillId="9" borderId="0" xfId="0" applyFont="1" applyFill="1" applyAlignment="1">
      <alignment horizontal="left" wrapText="1"/>
    </xf>
    <xf numFmtId="0" fontId="32" fillId="9" borderId="0" xfId="0" applyFont="1" applyFill="1" applyAlignment="1">
      <alignment wrapText="1"/>
    </xf>
    <xf numFmtId="49" fontId="32" fillId="9" borderId="0" xfId="0" applyNumberFormat="1" applyFont="1" applyFill="1" applyAlignment="1">
      <alignment wrapText="1"/>
    </xf>
    <xf numFmtId="0" fontId="31" fillId="0" borderId="0" xfId="0" applyFont="1" applyAlignment="1">
      <alignment horizontal="left"/>
    </xf>
    <xf numFmtId="0" fontId="32" fillId="10" borderId="0" xfId="0" applyFont="1" applyFill="1" applyAlignment="1">
      <alignment horizontal="center"/>
    </xf>
    <xf numFmtId="0" fontId="26" fillId="10" borderId="0" xfId="0" applyFont="1" applyFill="1" applyAlignment="1">
      <alignment horizontal="left" wrapText="1"/>
    </xf>
    <xf numFmtId="0" fontId="32" fillId="10" borderId="0" xfId="0" applyFont="1" applyFill="1" applyAlignment="1">
      <alignment wrapText="1"/>
    </xf>
    <xf numFmtId="49" fontId="32" fillId="10" borderId="0" xfId="0" applyNumberFormat="1" applyFont="1" applyFill="1" applyAlignment="1">
      <alignment wrapText="1"/>
    </xf>
    <xf numFmtId="0" fontId="35" fillId="0" borderId="0" xfId="0" applyFont="1" applyAlignment="1">
      <alignment wrapText="1"/>
    </xf>
    <xf numFmtId="0" fontId="12" fillId="10" borderId="20" xfId="0" applyFont="1" applyFill="1" applyBorder="1" applyAlignment="1">
      <alignment wrapText="1"/>
    </xf>
    <xf numFmtId="0" fontId="10" fillId="10" borderId="20" xfId="0" applyFont="1" applyFill="1" applyBorder="1" applyAlignment="1">
      <alignment horizontal="center"/>
    </xf>
    <xf numFmtId="0" fontId="32" fillId="29" borderId="0" xfId="0" applyFont="1" applyFill="1" applyAlignment="1">
      <alignment horizontal="center"/>
    </xf>
    <xf numFmtId="0" fontId="26" fillId="29" borderId="0" xfId="0" applyFont="1" applyFill="1" applyAlignment="1">
      <alignment horizontal="left" wrapText="1"/>
    </xf>
    <xf numFmtId="0" fontId="32" fillId="29" borderId="0" xfId="0" applyFont="1" applyFill="1" applyAlignment="1">
      <alignment wrapText="1"/>
    </xf>
    <xf numFmtId="49" fontId="32" fillId="29" borderId="0" xfId="0" applyNumberFormat="1" applyFont="1" applyFill="1" applyAlignment="1">
      <alignment wrapText="1"/>
    </xf>
    <xf numFmtId="0" fontId="47" fillId="6" borderId="0" xfId="0" applyFont="1" applyFill="1"/>
    <xf numFmtId="0" fontId="36" fillId="6" borderId="0" xfId="0" applyFont="1" applyFill="1" applyAlignment="1">
      <alignment wrapText="1"/>
    </xf>
    <xf numFmtId="0" fontId="30" fillId="0" borderId="20" xfId="0" applyFont="1" applyBorder="1"/>
    <xf numFmtId="0" fontId="38" fillId="0" borderId="0" xfId="0" applyFont="1" applyAlignment="1">
      <alignment vertical="center"/>
    </xf>
    <xf numFmtId="0" fontId="34" fillId="0" borderId="5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4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wrapText="1"/>
    </xf>
    <xf numFmtId="0" fontId="11" fillId="0" borderId="11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1" fillId="0" borderId="7" xfId="0" applyFont="1" applyBorder="1" applyAlignment="1">
      <alignment vertical="center" wrapText="1"/>
    </xf>
    <xf numFmtId="0" fontId="11" fillId="0" borderId="14" xfId="0" applyFont="1" applyBorder="1" applyAlignment="1">
      <alignment wrapText="1"/>
    </xf>
    <xf numFmtId="0" fontId="36" fillId="0" borderId="0" xfId="0" applyFont="1" applyAlignment="1">
      <alignment horizontal="center" wrapText="1"/>
    </xf>
    <xf numFmtId="0" fontId="48" fillId="0" borderId="0" xfId="0" applyFont="1" applyAlignment="1">
      <alignment wrapText="1"/>
    </xf>
    <xf numFmtId="0" fontId="32" fillId="0" borderId="0" xfId="0" applyFont="1" applyAlignment="1">
      <alignment horizontal="center" wrapText="1"/>
    </xf>
    <xf numFmtId="0" fontId="48" fillId="0" borderId="0" xfId="0" applyFont="1" applyAlignment="1">
      <alignment horizontal="center"/>
    </xf>
    <xf numFmtId="0" fontId="33" fillId="0" borderId="0" xfId="0" applyFont="1"/>
    <xf numFmtId="0" fontId="32" fillId="35" borderId="0" xfId="0" applyFont="1" applyFill="1" applyAlignment="1">
      <alignment wrapText="1"/>
    </xf>
    <xf numFmtId="0" fontId="30" fillId="0" borderId="0" xfId="0" applyFont="1"/>
    <xf numFmtId="0" fontId="12" fillId="24" borderId="0" xfId="0" applyFont="1" applyFill="1" applyAlignment="1">
      <alignment wrapText="1"/>
    </xf>
    <xf numFmtId="0" fontId="16" fillId="23" borderId="0" xfId="0" applyFont="1" applyFill="1" applyAlignment="1">
      <alignment wrapText="1"/>
    </xf>
    <xf numFmtId="0" fontId="2" fillId="0" borderId="0" xfId="0" applyFont="1" applyAlignment="1">
      <alignment horizontal="left"/>
    </xf>
    <xf numFmtId="0" fontId="50" fillId="0" borderId="0" xfId="0" applyFont="1" applyAlignment="1">
      <alignment horizontal="center" vertical="top" wrapText="1"/>
    </xf>
    <xf numFmtId="0" fontId="51" fillId="0" borderId="0" xfId="0" applyFont="1" applyAlignment="1">
      <alignment horizontal="center" vertical="top" wrapText="1"/>
    </xf>
    <xf numFmtId="0" fontId="51" fillId="36" borderId="2" xfId="0" applyFont="1" applyFill="1" applyBorder="1" applyAlignment="1">
      <alignment horizontal="center" vertical="top" wrapText="1"/>
    </xf>
    <xf numFmtId="0" fontId="51" fillId="37" borderId="3" xfId="0" applyFont="1" applyFill="1" applyBorder="1" applyAlignment="1">
      <alignment horizontal="center" vertical="top" wrapText="1"/>
    </xf>
    <xf numFmtId="0" fontId="51" fillId="37" borderId="2" xfId="0" applyFont="1" applyFill="1" applyBorder="1" applyAlignment="1">
      <alignment horizontal="center" vertical="top" wrapText="1"/>
    </xf>
    <xf numFmtId="0" fontId="50" fillId="3" borderId="2" xfId="0" applyFont="1" applyFill="1" applyBorder="1" applyAlignment="1">
      <alignment horizontal="left" vertical="top" wrapText="1"/>
    </xf>
    <xf numFmtId="0" fontId="50" fillId="3" borderId="2" xfId="0" applyFont="1" applyFill="1" applyBorder="1" applyAlignment="1">
      <alignment horizontal="center" vertical="top" wrapText="1"/>
    </xf>
    <xf numFmtId="0" fontId="50" fillId="0" borderId="2" xfId="0" applyFont="1" applyBorder="1" applyAlignment="1">
      <alignment horizontal="center" vertical="top" wrapText="1"/>
    </xf>
    <xf numFmtId="0" fontId="52" fillId="0" borderId="2" xfId="0" applyFont="1" applyBorder="1" applyAlignment="1">
      <alignment horizontal="center" vertical="top" wrapText="1"/>
    </xf>
    <xf numFmtId="0" fontId="50" fillId="38" borderId="2" xfId="0" applyFont="1" applyFill="1" applyBorder="1" applyAlignment="1">
      <alignment horizontal="left" vertical="top" wrapText="1"/>
    </xf>
    <xf numFmtId="0" fontId="50" fillId="38" borderId="2" xfId="0" applyFont="1" applyFill="1" applyBorder="1" applyAlignment="1">
      <alignment horizontal="center" vertical="top" wrapText="1"/>
    </xf>
    <xf numFmtId="0" fontId="52" fillId="3" borderId="2" xfId="0" applyFont="1" applyFill="1" applyBorder="1" applyAlignment="1">
      <alignment horizontal="center" vertical="top" wrapText="1"/>
    </xf>
    <xf numFmtId="49" fontId="12" fillId="0" borderId="0" xfId="0" applyNumberFormat="1" applyFont="1" applyAlignment="1">
      <alignment wrapText="1"/>
    </xf>
    <xf numFmtId="49" fontId="53" fillId="13" borderId="0" xfId="0" applyNumberFormat="1" applyFont="1" applyFill="1" applyAlignment="1">
      <alignment horizontal="left" wrapText="1"/>
    </xf>
    <xf numFmtId="49" fontId="12" fillId="39" borderId="0" xfId="0" applyNumberFormat="1" applyFont="1" applyFill="1" applyAlignment="1">
      <alignment wrapText="1"/>
    </xf>
    <xf numFmtId="0" fontId="12" fillId="39" borderId="0" xfId="0" applyFont="1" applyFill="1" applyAlignment="1">
      <alignment wrapText="1"/>
    </xf>
    <xf numFmtId="49" fontId="53" fillId="37" borderId="0" xfId="0" applyNumberFormat="1" applyFont="1" applyFill="1" applyAlignment="1">
      <alignment wrapText="1"/>
    </xf>
    <xf numFmtId="0" fontId="0" fillId="0" borderId="0" xfId="0"/>
    <xf numFmtId="0" fontId="68" fillId="44" borderId="28" xfId="0" applyFont="1" applyFill="1" applyBorder="1" applyAlignment="1">
      <alignment horizontal="center" vertical="center" wrapText="1"/>
    </xf>
    <xf numFmtId="0" fontId="68" fillId="45" borderId="28" xfId="0" applyFont="1" applyFill="1" applyBorder="1" applyAlignment="1">
      <alignment horizontal="center" vertical="center" wrapText="1"/>
    </xf>
    <xf numFmtId="0" fontId="69" fillId="0" borderId="28" xfId="0" applyFont="1" applyBorder="1" applyAlignment="1">
      <alignment horizontal="center" vertical="center" wrapText="1"/>
    </xf>
    <xf numFmtId="0" fontId="69" fillId="0" borderId="31" xfId="0" applyFont="1" applyBorder="1" applyAlignment="1">
      <alignment horizontal="center" vertical="center" wrapText="1"/>
    </xf>
    <xf numFmtId="0" fontId="69" fillId="0" borderId="32" xfId="0" applyFont="1" applyBorder="1" applyAlignment="1">
      <alignment horizontal="center" vertical="center" wrapText="1"/>
    </xf>
    <xf numFmtId="0" fontId="69" fillId="0" borderId="30" xfId="0" applyFont="1" applyBorder="1" applyAlignment="1">
      <alignment horizontal="center" vertical="center" wrapText="1"/>
    </xf>
    <xf numFmtId="0" fontId="68" fillId="46" borderId="30" xfId="0" applyFont="1" applyFill="1" applyBorder="1" applyAlignment="1">
      <alignment horizontal="center" vertical="center" wrapText="1"/>
    </xf>
    <xf numFmtId="0" fontId="69" fillId="0" borderId="34" xfId="0" applyFont="1" applyBorder="1" applyAlignment="1">
      <alignment horizontal="center" vertical="center" wrapText="1"/>
    </xf>
    <xf numFmtId="0" fontId="68" fillId="46" borderId="37" xfId="0" applyFont="1" applyFill="1" applyBorder="1" applyAlignment="1">
      <alignment horizontal="center" vertical="center" wrapText="1"/>
    </xf>
    <xf numFmtId="0" fontId="69" fillId="0" borderId="37" xfId="0" applyFont="1" applyBorder="1" applyAlignment="1">
      <alignment horizontal="center" vertical="center" wrapText="1"/>
    </xf>
    <xf numFmtId="0" fontId="69" fillId="0" borderId="40" xfId="0" applyFont="1" applyBorder="1" applyAlignment="1">
      <alignment horizontal="center" vertical="center" wrapText="1"/>
    </xf>
    <xf numFmtId="0" fontId="69" fillId="0" borderId="41" xfId="0" applyFont="1" applyBorder="1" applyAlignment="1">
      <alignment horizontal="center" vertical="center" wrapText="1"/>
    </xf>
    <xf numFmtId="0" fontId="69" fillId="0" borderId="42" xfId="0" applyFont="1" applyBorder="1" applyAlignment="1">
      <alignment horizontal="center" vertical="center" wrapText="1"/>
    </xf>
    <xf numFmtId="0" fontId="68" fillId="43" borderId="34" xfId="0" applyFont="1" applyFill="1" applyBorder="1" applyAlignment="1">
      <alignment horizontal="center" vertical="center" wrapText="1"/>
    </xf>
    <xf numFmtId="0" fontId="69" fillId="0" borderId="38" xfId="0" applyFont="1" applyBorder="1" applyAlignment="1">
      <alignment horizontal="center" vertical="center" wrapText="1"/>
    </xf>
    <xf numFmtId="0" fontId="69" fillId="0" borderId="43" xfId="0" applyFont="1" applyBorder="1" applyAlignment="1">
      <alignment horizontal="center" vertical="center" wrapText="1"/>
    </xf>
    <xf numFmtId="0" fontId="66" fillId="41" borderId="44" xfId="0" applyFont="1" applyFill="1" applyBorder="1" applyAlignment="1">
      <alignment horizontal="center" vertical="center" wrapText="1"/>
    </xf>
    <xf numFmtId="0" fontId="69" fillId="0" borderId="46" xfId="0" applyFont="1" applyBorder="1" applyAlignment="1">
      <alignment horizontal="center" vertical="center" wrapText="1"/>
    </xf>
    <xf numFmtId="0" fontId="69" fillId="0" borderId="47" xfId="0" applyFont="1" applyBorder="1" applyAlignment="1">
      <alignment horizontal="center" vertical="center" wrapText="1"/>
    </xf>
    <xf numFmtId="0" fontId="69" fillId="0" borderId="48" xfId="0" applyFont="1" applyBorder="1" applyAlignment="1">
      <alignment horizontal="center" vertical="center" wrapText="1"/>
    </xf>
    <xf numFmtId="0" fontId="69" fillId="0" borderId="49" xfId="0" applyFont="1" applyBorder="1" applyAlignment="1">
      <alignment horizontal="center" vertical="center" wrapText="1"/>
    </xf>
    <xf numFmtId="0" fontId="68" fillId="45" borderId="30" xfId="0" applyFont="1" applyFill="1" applyBorder="1" applyAlignment="1">
      <alignment horizontal="center" vertical="center" wrapText="1"/>
    </xf>
    <xf numFmtId="0" fontId="69" fillId="0" borderId="51" xfId="0" applyFont="1" applyBorder="1" applyAlignment="1">
      <alignment horizontal="center" vertical="center" wrapText="1"/>
    </xf>
    <xf numFmtId="0" fontId="69" fillId="0" borderId="54" xfId="0" applyFont="1" applyBorder="1" applyAlignment="1">
      <alignment horizontal="center" vertical="center" wrapText="1"/>
    </xf>
    <xf numFmtId="0" fontId="69" fillId="0" borderId="57" xfId="0" applyFont="1" applyBorder="1" applyAlignment="1">
      <alignment horizontal="center" vertical="center" wrapText="1"/>
    </xf>
    <xf numFmtId="0" fontId="66" fillId="41" borderId="44" xfId="0" applyFont="1" applyFill="1" applyBorder="1" applyAlignment="1">
      <alignment horizontal="left" vertical="center" wrapText="1"/>
    </xf>
    <xf numFmtId="20" fontId="66" fillId="41" borderId="27" xfId="0" applyNumberFormat="1" applyFont="1" applyFill="1" applyBorder="1" applyAlignment="1">
      <alignment horizontal="left" vertical="center" wrapText="1"/>
    </xf>
    <xf numFmtId="0" fontId="69" fillId="0" borderId="68" xfId="0" applyFont="1" applyBorder="1" applyAlignment="1">
      <alignment horizontal="center" vertical="center" wrapText="1"/>
    </xf>
    <xf numFmtId="0" fontId="69" fillId="0" borderId="45" xfId="0" applyFont="1" applyBorder="1" applyAlignment="1">
      <alignment horizontal="center" vertical="center" wrapText="1"/>
    </xf>
    <xf numFmtId="0" fontId="69" fillId="0" borderId="78" xfId="0" applyFont="1" applyBorder="1" applyAlignment="1">
      <alignment horizontal="center" vertical="center" wrapText="1"/>
    </xf>
    <xf numFmtId="0" fontId="69" fillId="0" borderId="79" xfId="0" applyFont="1" applyBorder="1" applyAlignment="1">
      <alignment horizontal="center" vertical="center" wrapText="1"/>
    </xf>
    <xf numFmtId="0" fontId="69" fillId="0" borderId="82" xfId="0" applyFont="1" applyBorder="1" applyAlignment="1">
      <alignment horizontal="center" vertical="center" wrapText="1"/>
    </xf>
    <xf numFmtId="0" fontId="69" fillId="0" borderId="83" xfId="0" applyFont="1" applyBorder="1" applyAlignment="1">
      <alignment horizontal="center" vertical="center" wrapText="1"/>
    </xf>
    <xf numFmtId="0" fontId="69" fillId="0" borderId="85" xfId="0" applyFont="1" applyBorder="1" applyAlignment="1">
      <alignment horizontal="center" vertical="center" wrapText="1"/>
    </xf>
    <xf numFmtId="0" fontId="69" fillId="0" borderId="87" xfId="0" applyFont="1" applyBorder="1" applyAlignment="1">
      <alignment horizontal="center" vertical="center" wrapText="1"/>
    </xf>
    <xf numFmtId="0" fontId="68" fillId="46" borderId="89" xfId="0" applyFont="1" applyFill="1" applyBorder="1" applyAlignment="1">
      <alignment horizontal="center" vertical="center" wrapText="1"/>
    </xf>
    <xf numFmtId="0" fontId="69" fillId="0" borderId="89" xfId="0" applyFont="1" applyBorder="1" applyAlignment="1">
      <alignment horizontal="center" vertical="center" wrapText="1"/>
    </xf>
    <xf numFmtId="0" fontId="69" fillId="0" borderId="90" xfId="0" applyFont="1" applyBorder="1" applyAlignment="1">
      <alignment horizontal="center" vertical="center" wrapText="1"/>
    </xf>
    <xf numFmtId="0" fontId="69" fillId="0" borderId="91" xfId="0" applyFont="1" applyBorder="1" applyAlignment="1">
      <alignment horizontal="center" vertical="center" wrapText="1"/>
    </xf>
    <xf numFmtId="0" fontId="69" fillId="0" borderId="92" xfId="0" applyFont="1" applyBorder="1" applyAlignment="1">
      <alignment horizontal="center" vertical="center" wrapText="1"/>
    </xf>
    <xf numFmtId="0" fontId="69" fillId="0" borderId="93" xfId="0" applyFont="1" applyBorder="1" applyAlignment="1">
      <alignment horizontal="center" vertical="center" wrapText="1"/>
    </xf>
    <xf numFmtId="0" fontId="68" fillId="43" borderId="82" xfId="0" applyFont="1" applyFill="1" applyBorder="1" applyAlignment="1">
      <alignment horizontal="center" vertical="center" wrapText="1"/>
    </xf>
    <xf numFmtId="0" fontId="69" fillId="0" borderId="81" xfId="0" applyFont="1" applyBorder="1" applyAlignment="1">
      <alignment horizontal="center" vertical="center" wrapText="1"/>
    </xf>
    <xf numFmtId="0" fontId="69" fillId="0" borderId="97" xfId="0" applyFont="1" applyBorder="1" applyAlignment="1">
      <alignment horizontal="center" vertical="center" wrapText="1"/>
    </xf>
    <xf numFmtId="0" fontId="69" fillId="0" borderId="98" xfId="0" applyFont="1" applyBorder="1" applyAlignment="1">
      <alignment horizontal="center" vertical="center" wrapText="1"/>
    </xf>
    <xf numFmtId="0" fontId="69" fillId="0" borderId="100" xfId="0" applyFont="1" applyBorder="1" applyAlignment="1">
      <alignment horizontal="center" vertical="center" wrapText="1"/>
    </xf>
    <xf numFmtId="0" fontId="69" fillId="0" borderId="101" xfId="0" applyFont="1" applyBorder="1" applyAlignment="1">
      <alignment horizontal="center" vertical="center" wrapText="1"/>
    </xf>
    <xf numFmtId="0" fontId="69" fillId="0" borderId="53" xfId="0" applyFont="1" applyBorder="1" applyAlignment="1">
      <alignment horizontal="center" vertical="center" wrapText="1"/>
    </xf>
    <xf numFmtId="0" fontId="69" fillId="0" borderId="52" xfId="0" applyFont="1" applyBorder="1" applyAlignment="1">
      <alignment horizontal="center" vertical="center" wrapText="1"/>
    </xf>
    <xf numFmtId="0" fontId="69" fillId="0" borderId="103" xfId="0" applyFont="1" applyBorder="1" applyAlignment="1">
      <alignment horizontal="center" vertical="center" wrapText="1"/>
    </xf>
    <xf numFmtId="0" fontId="69" fillId="0" borderId="104" xfId="0" applyFont="1" applyBorder="1" applyAlignment="1">
      <alignment horizontal="center" vertical="center" wrapText="1"/>
    </xf>
    <xf numFmtId="0" fontId="69" fillId="0" borderId="105" xfId="0" applyFont="1" applyBorder="1" applyAlignment="1">
      <alignment horizontal="center" vertical="center" wrapText="1"/>
    </xf>
    <xf numFmtId="0" fontId="69" fillId="0" borderId="106" xfId="0" applyFont="1" applyBorder="1" applyAlignment="1">
      <alignment horizontal="center" vertical="center" wrapText="1"/>
    </xf>
    <xf numFmtId="0" fontId="69" fillId="0" borderId="107" xfId="0" applyFont="1" applyBorder="1" applyAlignment="1">
      <alignment horizontal="center" vertical="center" wrapText="1"/>
    </xf>
    <xf numFmtId="0" fontId="69" fillId="0" borderId="108" xfId="0" applyFont="1" applyBorder="1" applyAlignment="1">
      <alignment horizontal="center" vertical="center" wrapText="1"/>
    </xf>
    <xf numFmtId="0" fontId="69" fillId="0" borderId="109" xfId="0" applyFont="1" applyBorder="1" applyAlignment="1">
      <alignment horizontal="center" vertical="center" wrapText="1"/>
    </xf>
    <xf numFmtId="0" fontId="69" fillId="0" borderId="110" xfId="0" applyFont="1" applyBorder="1" applyAlignment="1">
      <alignment horizontal="center" vertical="center" wrapText="1"/>
    </xf>
    <xf numFmtId="0" fontId="69" fillId="0" borderId="111" xfId="0" applyFont="1" applyBorder="1" applyAlignment="1">
      <alignment horizontal="center" vertical="center" wrapText="1"/>
    </xf>
    <xf numFmtId="0" fontId="69" fillId="0" borderId="56" xfId="0" applyFont="1" applyBorder="1" applyAlignment="1">
      <alignment horizontal="center" vertical="center" wrapText="1"/>
    </xf>
    <xf numFmtId="0" fontId="69" fillId="0" borderId="112" xfId="0" applyFont="1" applyBorder="1" applyAlignment="1">
      <alignment horizontal="center" vertical="center" wrapText="1"/>
    </xf>
    <xf numFmtId="0" fontId="69" fillId="0" borderId="113" xfId="0" applyFont="1" applyBorder="1" applyAlignment="1">
      <alignment horizontal="center" vertical="center" wrapText="1"/>
    </xf>
    <xf numFmtId="0" fontId="69" fillId="0" borderId="114" xfId="0" applyFont="1" applyBorder="1" applyAlignment="1">
      <alignment horizontal="center" vertical="center" wrapText="1"/>
    </xf>
    <xf numFmtId="0" fontId="69" fillId="0" borderId="115" xfId="0" applyFont="1" applyBorder="1" applyAlignment="1">
      <alignment horizontal="center" vertical="center" wrapText="1"/>
    </xf>
    <xf numFmtId="0" fontId="69" fillId="49" borderId="69" xfId="0" applyFont="1" applyFill="1" applyBorder="1" applyAlignment="1">
      <alignment horizontal="center" vertical="center" wrapText="1"/>
    </xf>
    <xf numFmtId="0" fontId="69" fillId="49" borderId="70" xfId="0" applyFont="1" applyFill="1" applyBorder="1" applyAlignment="1">
      <alignment horizontal="center" vertical="center" wrapText="1"/>
    </xf>
    <xf numFmtId="0" fontId="69" fillId="49" borderId="31" xfId="0" applyFont="1" applyFill="1" applyBorder="1" applyAlignment="1">
      <alignment horizontal="center" vertical="center" wrapText="1"/>
    </xf>
    <xf numFmtId="0" fontId="69" fillId="49" borderId="62" xfId="0" applyFont="1" applyFill="1" applyBorder="1" applyAlignment="1">
      <alignment horizontal="center" vertical="center" wrapText="1"/>
    </xf>
    <xf numFmtId="0" fontId="69" fillId="49" borderId="58" xfId="0" applyFont="1" applyFill="1" applyBorder="1" applyAlignment="1">
      <alignment horizontal="center" vertical="center" wrapText="1"/>
    </xf>
    <xf numFmtId="0" fontId="69" fillId="49" borderId="54" xfId="0" applyFont="1" applyFill="1" applyBorder="1" applyAlignment="1">
      <alignment horizontal="center" vertical="center" wrapText="1"/>
    </xf>
    <xf numFmtId="0" fontId="69" fillId="49" borderId="59" xfId="0" applyFont="1" applyFill="1" applyBorder="1" applyAlignment="1">
      <alignment horizontal="center" vertical="center" wrapText="1"/>
    </xf>
    <xf numFmtId="0" fontId="69" fillId="49" borderId="113" xfId="0" applyFont="1" applyFill="1" applyBorder="1" applyAlignment="1">
      <alignment horizontal="center" vertical="center" wrapText="1"/>
    </xf>
    <xf numFmtId="0" fontId="69" fillId="48" borderId="31" xfId="0" applyFont="1" applyFill="1" applyBorder="1" applyAlignment="1">
      <alignment horizontal="center" vertical="center" wrapText="1"/>
    </xf>
    <xf numFmtId="0" fontId="69" fillId="48" borderId="62" xfId="0" applyFont="1" applyFill="1" applyBorder="1" applyAlignment="1">
      <alignment horizontal="center" vertical="center" wrapText="1"/>
    </xf>
    <xf numFmtId="0" fontId="69" fillId="48" borderId="66" xfId="0" applyFont="1" applyFill="1" applyBorder="1" applyAlignment="1">
      <alignment horizontal="center" vertical="center" wrapText="1"/>
    </xf>
    <xf numFmtId="0" fontId="69" fillId="48" borderId="55" xfId="0" applyFont="1" applyFill="1" applyBorder="1" applyAlignment="1">
      <alignment horizontal="center" vertical="center" wrapText="1"/>
    </xf>
    <xf numFmtId="0" fontId="69" fillId="48" borderId="56" xfId="0" applyFont="1" applyFill="1" applyBorder="1" applyAlignment="1">
      <alignment horizontal="center" vertical="center" wrapText="1"/>
    </xf>
    <xf numFmtId="0" fontId="69" fillId="0" borderId="31" xfId="0" applyFont="1" applyBorder="1" applyAlignment="1">
      <alignment horizontal="center" vertical="center" wrapText="1"/>
    </xf>
    <xf numFmtId="0" fontId="69" fillId="0" borderId="62" xfId="0" applyFont="1" applyBorder="1" applyAlignment="1">
      <alignment horizontal="center" vertical="center" wrapText="1"/>
    </xf>
    <xf numFmtId="0" fontId="69" fillId="0" borderId="69" xfId="0" applyFont="1" applyBorder="1" applyAlignment="1">
      <alignment horizontal="center" vertical="center" wrapText="1"/>
    </xf>
    <xf numFmtId="0" fontId="69" fillId="0" borderId="75" xfId="0" applyFont="1" applyBorder="1" applyAlignment="1">
      <alignment horizontal="center" vertical="center" wrapText="1"/>
    </xf>
    <xf numFmtId="0" fontId="69" fillId="0" borderId="77" xfId="0" applyFont="1" applyBorder="1" applyAlignment="1">
      <alignment horizontal="center" vertical="center" wrapText="1"/>
    </xf>
    <xf numFmtId="0" fontId="69" fillId="0" borderId="70" xfId="0" applyFont="1" applyBorder="1" applyAlignment="1">
      <alignment horizontal="center" vertical="center" wrapText="1"/>
    </xf>
    <xf numFmtId="0" fontId="69" fillId="49" borderId="32" xfId="0" applyFont="1" applyFill="1" applyBorder="1" applyAlignment="1">
      <alignment horizontal="center" vertical="center" wrapText="1"/>
    </xf>
    <xf numFmtId="0" fontId="69" fillId="49" borderId="66" xfId="0" applyFont="1" applyFill="1" applyBorder="1" applyAlignment="1">
      <alignment horizontal="center" vertical="center" wrapText="1"/>
    </xf>
    <xf numFmtId="0" fontId="69" fillId="49" borderId="74" xfId="0" applyFont="1" applyFill="1" applyBorder="1" applyAlignment="1">
      <alignment horizontal="center" vertical="center" wrapText="1"/>
    </xf>
    <xf numFmtId="0" fontId="69" fillId="49" borderId="75" xfId="0" applyFont="1" applyFill="1" applyBorder="1" applyAlignment="1">
      <alignment horizontal="center" vertical="center" wrapText="1"/>
    </xf>
    <xf numFmtId="0" fontId="69" fillId="49" borderId="99" xfId="0" applyFont="1" applyFill="1" applyBorder="1" applyAlignment="1">
      <alignment horizontal="center" vertical="center" wrapText="1"/>
    </xf>
    <xf numFmtId="0" fontId="69" fillId="0" borderId="32" xfId="0" applyFont="1" applyBorder="1" applyAlignment="1">
      <alignment horizontal="center" vertical="center" wrapText="1"/>
    </xf>
    <xf numFmtId="0" fontId="69" fillId="49" borderId="76" xfId="0" applyFont="1" applyFill="1" applyBorder="1" applyAlignment="1">
      <alignment horizontal="center" vertical="center" wrapText="1"/>
    </xf>
    <xf numFmtId="0" fontId="64" fillId="40" borderId="0" xfId="0" applyFont="1" applyFill="1" applyAlignment="1">
      <alignment horizontal="center" vertical="center"/>
    </xf>
    <xf numFmtId="0" fontId="69" fillId="47" borderId="31" xfId="0" applyFont="1" applyFill="1" applyBorder="1" applyAlignment="1">
      <alignment horizontal="center" vertical="center" wrapText="1"/>
    </xf>
    <xf numFmtId="0" fontId="69" fillId="47" borderId="62" xfId="0" applyFont="1" applyFill="1" applyBorder="1" applyAlignment="1">
      <alignment horizontal="center" vertical="center" wrapText="1"/>
    </xf>
    <xf numFmtId="0" fontId="69" fillId="47" borderId="66" xfId="0" applyFont="1" applyFill="1" applyBorder="1" applyAlignment="1">
      <alignment horizontal="center" vertical="center" wrapText="1"/>
    </xf>
    <xf numFmtId="0" fontId="69" fillId="47" borderId="63" xfId="0" applyFont="1" applyFill="1" applyBorder="1" applyAlignment="1">
      <alignment horizontal="center" vertical="center" wrapText="1"/>
    </xf>
    <xf numFmtId="0" fontId="69" fillId="47" borderId="32" xfId="0" applyFont="1" applyFill="1" applyBorder="1" applyAlignment="1">
      <alignment horizontal="center" vertical="center" wrapText="1"/>
    </xf>
    <xf numFmtId="0" fontId="69" fillId="48" borderId="32" xfId="0" applyFont="1" applyFill="1" applyBorder="1" applyAlignment="1">
      <alignment horizontal="center" vertical="center" wrapText="1"/>
    </xf>
    <xf numFmtId="0" fontId="69" fillId="0" borderId="66" xfId="0" applyFont="1" applyBorder="1" applyAlignment="1">
      <alignment horizontal="center" vertical="center" wrapText="1"/>
    </xf>
    <xf numFmtId="0" fontId="69" fillId="48" borderId="60" xfId="0" applyFont="1" applyFill="1" applyBorder="1" applyAlignment="1">
      <alignment horizontal="center" vertical="center" wrapText="1"/>
    </xf>
    <xf numFmtId="0" fontId="69" fillId="48" borderId="72" xfId="0" applyFont="1" applyFill="1" applyBorder="1" applyAlignment="1">
      <alignment horizontal="center" vertical="center" wrapText="1"/>
    </xf>
    <xf numFmtId="0" fontId="69" fillId="48" borderId="61" xfId="0" applyFont="1" applyFill="1" applyBorder="1" applyAlignment="1">
      <alignment horizontal="center" vertical="center" wrapText="1"/>
    </xf>
    <xf numFmtId="0" fontId="69" fillId="0" borderId="94" xfId="0" applyFont="1" applyBorder="1" applyAlignment="1">
      <alignment horizontal="center" vertical="center" wrapText="1"/>
    </xf>
    <xf numFmtId="0" fontId="69" fillId="0" borderId="95" xfId="0" applyFont="1" applyBorder="1" applyAlignment="1">
      <alignment horizontal="center" vertical="center" wrapText="1"/>
    </xf>
    <xf numFmtId="0" fontId="69" fillId="0" borderId="96" xfId="0" applyFont="1" applyBorder="1" applyAlignment="1">
      <alignment horizontal="center" vertical="center" wrapText="1"/>
    </xf>
    <xf numFmtId="0" fontId="69" fillId="0" borderId="83" xfId="0" applyFont="1" applyBorder="1" applyAlignment="1">
      <alignment horizontal="center" vertical="center" wrapText="1"/>
    </xf>
    <xf numFmtId="0" fontId="69" fillId="0" borderId="84" xfId="0" applyFont="1" applyBorder="1" applyAlignment="1">
      <alignment horizontal="center" vertical="center" wrapText="1"/>
    </xf>
    <xf numFmtId="0" fontId="69" fillId="0" borderId="85" xfId="0" applyFont="1" applyBorder="1" applyAlignment="1">
      <alignment horizontal="center" vertical="center" wrapText="1"/>
    </xf>
    <xf numFmtId="0" fontId="69" fillId="0" borderId="39" xfId="0" applyFont="1" applyBorder="1" applyAlignment="1">
      <alignment horizontal="center" vertical="center" wrapText="1"/>
    </xf>
    <xf numFmtId="0" fontId="69" fillId="0" borderId="64" xfId="0" applyFont="1" applyBorder="1" applyAlignment="1">
      <alignment horizontal="center" vertical="center" wrapText="1"/>
    </xf>
    <xf numFmtId="0" fontId="69" fillId="0" borderId="65" xfId="0" applyFont="1" applyBorder="1" applyAlignment="1">
      <alignment horizontal="center" vertical="center" wrapText="1"/>
    </xf>
    <xf numFmtId="0" fontId="69" fillId="47" borderId="60" xfId="0" applyFont="1" applyFill="1" applyBorder="1" applyAlignment="1">
      <alignment horizontal="center" vertical="center" wrapText="1"/>
    </xf>
    <xf numFmtId="0" fontId="69" fillId="47" borderId="61" xfId="0" applyFont="1" applyFill="1" applyBorder="1" applyAlignment="1">
      <alignment horizontal="center" vertical="center" wrapText="1"/>
    </xf>
    <xf numFmtId="0" fontId="69" fillId="47" borderId="71" xfId="0" applyFont="1" applyFill="1" applyBorder="1" applyAlignment="1">
      <alignment horizontal="center" vertical="center" wrapText="1"/>
    </xf>
    <xf numFmtId="0" fontId="69" fillId="47" borderId="72" xfId="0" applyFont="1" applyFill="1" applyBorder="1" applyAlignment="1">
      <alignment horizontal="center" vertical="center" wrapText="1"/>
    </xf>
    <xf numFmtId="0" fontId="69" fillId="47" borderId="73" xfId="0" applyFont="1" applyFill="1" applyBorder="1" applyAlignment="1">
      <alignment horizontal="center" vertical="center" wrapText="1"/>
    </xf>
    <xf numFmtId="0" fontId="69" fillId="48" borderId="63" xfId="0" applyFont="1" applyFill="1" applyBorder="1" applyAlignment="1">
      <alignment horizontal="center" vertical="center" wrapText="1"/>
    </xf>
    <xf numFmtId="0" fontId="67" fillId="42" borderId="33" xfId="0" applyFont="1" applyFill="1" applyBorder="1" applyAlignment="1">
      <alignment horizontal="center" vertical="center"/>
    </xf>
    <xf numFmtId="0" fontId="67" fillId="42" borderId="35" xfId="0" applyFont="1" applyFill="1" applyBorder="1" applyAlignment="1">
      <alignment horizontal="center" vertical="center"/>
    </xf>
    <xf numFmtId="0" fontId="67" fillId="42" borderId="50" xfId="0" applyFont="1" applyFill="1" applyBorder="1" applyAlignment="1">
      <alignment horizontal="center" vertical="center"/>
    </xf>
    <xf numFmtId="0" fontId="67" fillId="42" borderId="36" xfId="0" applyFont="1" applyFill="1" applyBorder="1" applyAlignment="1">
      <alignment horizontal="center" vertical="center"/>
    </xf>
    <xf numFmtId="0" fontId="68" fillId="43" borderId="81" xfId="0" applyFont="1" applyFill="1" applyBorder="1" applyAlignment="1">
      <alignment horizontal="center" vertical="center" wrapText="1"/>
    </xf>
    <xf numFmtId="0" fontId="68" fillId="43" borderId="29" xfId="0" applyFont="1" applyFill="1" applyBorder="1" applyAlignment="1">
      <alignment horizontal="center" vertical="center" wrapText="1"/>
    </xf>
    <xf numFmtId="0" fontId="65" fillId="0" borderId="0" xfId="0" applyFont="1" applyAlignment="1">
      <alignment horizontal="center" vertical="center"/>
    </xf>
    <xf numFmtId="0" fontId="67" fillId="42" borderId="80" xfId="0" applyFont="1" applyFill="1" applyBorder="1" applyAlignment="1">
      <alignment horizontal="center" vertical="center"/>
    </xf>
    <xf numFmtId="0" fontId="67" fillId="42" borderId="86" xfId="0" applyFont="1" applyFill="1" applyBorder="1" applyAlignment="1">
      <alignment horizontal="center" vertical="center"/>
    </xf>
    <xf numFmtId="0" fontId="67" fillId="42" borderId="88" xfId="0" applyFont="1" applyFill="1" applyBorder="1" applyAlignment="1">
      <alignment horizontal="center" vertical="center"/>
    </xf>
    <xf numFmtId="0" fontId="67" fillId="42" borderId="102" xfId="0" applyFont="1" applyFill="1" applyBorder="1" applyAlignment="1">
      <alignment horizontal="center" vertical="center"/>
    </xf>
    <xf numFmtId="0" fontId="69" fillId="47" borderId="67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4" xfId="0" applyFont="1" applyBorder="1" applyAlignment="1">
      <alignment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wrapText="1"/>
    </xf>
    <xf numFmtId="0" fontId="7" fillId="0" borderId="19" xfId="0" applyFont="1" applyBorder="1" applyAlignment="1">
      <alignment wrapText="1"/>
    </xf>
    <xf numFmtId="0" fontId="7" fillId="0" borderId="8" xfId="0" applyFont="1" applyBorder="1" applyAlignment="1">
      <alignment wrapText="1"/>
    </xf>
    <xf numFmtId="0" fontId="11" fillId="11" borderId="5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/>
    </xf>
    <xf numFmtId="0" fontId="7" fillId="0" borderId="12" xfId="0" applyFont="1" applyBorder="1" applyAlignment="1">
      <alignment wrapText="1"/>
    </xf>
    <xf numFmtId="0" fontId="7" fillId="0" borderId="16" xfId="0" applyFont="1" applyBorder="1" applyAlignment="1">
      <alignment wrapText="1"/>
    </xf>
    <xf numFmtId="0" fontId="11" fillId="5" borderId="5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wrapText="1"/>
    </xf>
    <xf numFmtId="0" fontId="11" fillId="10" borderId="11" xfId="0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  <xf numFmtId="0" fontId="11" fillId="10" borderId="5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4" borderId="17" xfId="0" applyFont="1" applyFill="1" applyBorder="1" applyAlignment="1">
      <alignment horizontal="center" vertical="center"/>
    </xf>
    <xf numFmtId="0" fontId="7" fillId="0" borderId="18" xfId="0" applyFont="1" applyBorder="1" applyAlignment="1">
      <alignment wrapText="1"/>
    </xf>
    <xf numFmtId="0" fontId="11" fillId="4" borderId="5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2" fillId="2" borderId="5" xfId="0" applyFont="1" applyFill="1" applyBorder="1" applyAlignment="1">
      <alignment horizontal="left"/>
    </xf>
    <xf numFmtId="0" fontId="8" fillId="0" borderId="9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7" fillId="0" borderId="22" xfId="0" applyFont="1" applyBorder="1" applyAlignment="1">
      <alignment wrapText="1"/>
    </xf>
    <xf numFmtId="0" fontId="11" fillId="5" borderId="0" xfId="0" applyFont="1" applyFill="1" applyAlignment="1">
      <alignment horizontal="left"/>
    </xf>
    <xf numFmtId="0" fontId="11" fillId="10" borderId="0" xfId="0" applyFont="1" applyFill="1" applyAlignment="1">
      <alignment horizontal="left"/>
    </xf>
    <xf numFmtId="0" fontId="11" fillId="19" borderId="0" xfId="0" applyFont="1" applyFill="1" applyAlignment="1">
      <alignment horizontal="left"/>
    </xf>
    <xf numFmtId="0" fontId="11" fillId="4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1" fillId="6" borderId="0" xfId="0" applyFont="1" applyFill="1" applyAlignment="1">
      <alignment horizontal="left"/>
    </xf>
    <xf numFmtId="0" fontId="22" fillId="18" borderId="0" xfId="0" applyFont="1" applyFill="1" applyAlignment="1">
      <alignment horizontal="left" wrapText="1"/>
    </xf>
    <xf numFmtId="0" fontId="14" fillId="16" borderId="10" xfId="0" applyFont="1" applyFill="1" applyBorder="1" applyAlignment="1">
      <alignment horizontal="center" vertical="center" wrapText="1"/>
    </xf>
    <xf numFmtId="0" fontId="11" fillId="17" borderId="0" xfId="0" applyFont="1" applyFill="1" applyAlignment="1">
      <alignment horizontal="left"/>
    </xf>
    <xf numFmtId="49" fontId="2" fillId="0" borderId="3" xfId="0" applyNumberFormat="1" applyFont="1" applyBorder="1" applyAlignment="1">
      <alignment horizontal="left" wrapText="1"/>
    </xf>
    <xf numFmtId="49" fontId="2" fillId="7" borderId="0" xfId="0" applyNumberFormat="1" applyFont="1" applyFill="1" applyAlignment="1">
      <alignment horizontal="left" wrapText="1"/>
    </xf>
    <xf numFmtId="49" fontId="2" fillId="27" borderId="0" xfId="0" applyNumberFormat="1" applyFont="1" applyFill="1" applyAlignment="1">
      <alignment horizontal="left" wrapText="1"/>
    </xf>
    <xf numFmtId="0" fontId="5" fillId="0" borderId="0" xfId="0" applyFont="1" applyAlignment="1">
      <alignment wrapText="1"/>
    </xf>
    <xf numFmtId="0" fontId="11" fillId="0" borderId="0" xfId="0" applyFont="1" applyAlignment="1">
      <alignment horizontal="left" wrapText="1"/>
    </xf>
    <xf numFmtId="0" fontId="2" fillId="14" borderId="10" xfId="0" applyFont="1" applyFill="1" applyBorder="1" applyAlignment="1">
      <alignment horizontal="center" vertical="center"/>
    </xf>
    <xf numFmtId="49" fontId="2" fillId="26" borderId="3" xfId="0" applyNumberFormat="1" applyFont="1" applyFill="1" applyBorder="1" applyAlignment="1">
      <alignment horizontal="left" wrapText="1"/>
    </xf>
    <xf numFmtId="0" fontId="33" fillId="0" borderId="0" xfId="0" applyFont="1" applyAlignment="1">
      <alignment wrapText="1"/>
    </xf>
    <xf numFmtId="49" fontId="2" fillId="4" borderId="3" xfId="0" applyNumberFormat="1" applyFont="1" applyFill="1" applyBorder="1" applyAlignment="1">
      <alignment horizontal="left" wrapText="1"/>
    </xf>
    <xf numFmtId="0" fontId="11" fillId="10" borderId="11" xfId="0" applyFont="1" applyFill="1" applyBorder="1" applyAlignment="1">
      <alignment horizontal="center" vertical="top" wrapText="1"/>
    </xf>
    <xf numFmtId="0" fontId="11" fillId="22" borderId="5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49" fontId="2" fillId="25" borderId="3" xfId="0" applyNumberFormat="1" applyFont="1" applyFill="1" applyBorder="1" applyAlignment="1">
      <alignment horizontal="left" wrapText="1"/>
    </xf>
    <xf numFmtId="0" fontId="31" fillId="0" borderId="0" xfId="0" applyFont="1" applyAlignment="1">
      <alignment wrapText="1"/>
    </xf>
    <xf numFmtId="49" fontId="2" fillId="21" borderId="3" xfId="0" applyNumberFormat="1" applyFont="1" applyFill="1" applyBorder="1" applyAlignment="1">
      <alignment horizontal="left" wrapText="1"/>
    </xf>
    <xf numFmtId="49" fontId="2" fillId="6" borderId="3" xfId="0" applyNumberFormat="1" applyFont="1" applyFill="1" applyBorder="1" applyAlignment="1">
      <alignment horizontal="left" wrapText="1"/>
    </xf>
    <xf numFmtId="0" fontId="2" fillId="12" borderId="10" xfId="0" applyFont="1" applyFill="1" applyBorder="1" applyAlignment="1">
      <alignment horizontal="center" vertical="center"/>
    </xf>
    <xf numFmtId="0" fontId="11" fillId="20" borderId="5" xfId="0" applyFont="1" applyFill="1" applyBorder="1" applyAlignment="1">
      <alignment horizontal="center" vertical="center" wrapText="1"/>
    </xf>
    <xf numFmtId="0" fontId="11" fillId="21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top" wrapText="1"/>
    </xf>
    <xf numFmtId="0" fontId="11" fillId="23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left"/>
    </xf>
    <xf numFmtId="0" fontId="7" fillId="0" borderId="24" xfId="0" applyFont="1" applyBorder="1" applyAlignment="1">
      <alignment wrapText="1"/>
    </xf>
    <xf numFmtId="0" fontId="9" fillId="0" borderId="9" xfId="0" applyFont="1" applyBorder="1" applyAlignment="1">
      <alignment horizontal="left"/>
    </xf>
    <xf numFmtId="0" fontId="11" fillId="24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13" fillId="16" borderId="3" xfId="0" applyFont="1" applyFill="1" applyBorder="1" applyAlignment="1">
      <alignment horizontal="center" vertical="center" wrapText="1"/>
    </xf>
    <xf numFmtId="0" fontId="14" fillId="16" borderId="3" xfId="0" applyFont="1" applyFill="1" applyBorder="1" applyAlignment="1">
      <alignment horizontal="center" vertical="center" wrapText="1"/>
    </xf>
    <xf numFmtId="0" fontId="34" fillId="28" borderId="5" xfId="0" applyFont="1" applyFill="1" applyBorder="1" applyAlignment="1">
      <alignment horizontal="center" vertical="center" wrapText="1"/>
    </xf>
    <xf numFmtId="0" fontId="25" fillId="5" borderId="5" xfId="0" applyFont="1" applyFill="1" applyBorder="1" applyAlignment="1">
      <alignment horizontal="center" vertical="center" wrapText="1"/>
    </xf>
    <xf numFmtId="0" fontId="39" fillId="30" borderId="5" xfId="0" applyFont="1" applyFill="1" applyBorder="1" applyAlignment="1">
      <alignment horizontal="center" wrapText="1"/>
    </xf>
    <xf numFmtId="0" fontId="16" fillId="32" borderId="5" xfId="0" applyFont="1" applyFill="1" applyBorder="1" applyAlignment="1">
      <alignment horizontal="center" vertical="center" wrapText="1"/>
    </xf>
    <xf numFmtId="0" fontId="11" fillId="32" borderId="5" xfId="0" applyFont="1" applyFill="1" applyBorder="1" applyAlignment="1">
      <alignment horizontal="center" vertical="center" wrapText="1"/>
    </xf>
    <xf numFmtId="0" fontId="11" fillId="33" borderId="11" xfId="0" applyFont="1" applyFill="1" applyBorder="1" applyAlignment="1">
      <alignment horizontal="center" wrapText="1"/>
    </xf>
    <xf numFmtId="0" fontId="11" fillId="29" borderId="5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wrapText="1"/>
    </xf>
    <xf numFmtId="0" fontId="32" fillId="9" borderId="0" xfId="0" applyFont="1" applyFill="1" applyAlignment="1">
      <alignment wrapText="1"/>
    </xf>
    <xf numFmtId="0" fontId="32" fillId="10" borderId="0" xfId="0" applyFont="1" applyFill="1" applyAlignment="1">
      <alignment horizontal="left" vertical="center" wrapText="1"/>
    </xf>
    <xf numFmtId="0" fontId="32" fillId="29" borderId="0" xfId="0" applyFont="1" applyFill="1" applyAlignment="1">
      <alignment wrapText="1"/>
    </xf>
    <xf numFmtId="0" fontId="32" fillId="6" borderId="0" xfId="0" applyFont="1" applyFill="1" applyAlignment="1">
      <alignment wrapText="1"/>
    </xf>
    <xf numFmtId="0" fontId="32" fillId="28" borderId="0" xfId="0" applyFont="1" applyFill="1" applyAlignment="1">
      <alignment wrapText="1"/>
    </xf>
    <xf numFmtId="0" fontId="32" fillId="4" borderId="0" xfId="0" applyFont="1" applyFill="1" applyAlignment="1">
      <alignment wrapText="1"/>
    </xf>
    <xf numFmtId="0" fontId="11" fillId="0" borderId="0" xfId="0" applyFont="1" applyAlignment="1">
      <alignment horizontal="center"/>
    </xf>
    <xf numFmtId="0" fontId="32" fillId="0" borderId="0" xfId="0" applyFont="1" applyAlignment="1">
      <alignment wrapText="1"/>
    </xf>
    <xf numFmtId="0" fontId="46" fillId="5" borderId="0" xfId="0" applyFont="1" applyFill="1" applyAlignment="1">
      <alignment wrapText="1"/>
    </xf>
    <xf numFmtId="0" fontId="32" fillId="5" borderId="0" xfId="0" applyFont="1" applyFill="1" applyAlignment="1">
      <alignment wrapText="1"/>
    </xf>
    <xf numFmtId="0" fontId="32" fillId="33" borderId="0" xfId="0" applyFont="1" applyFill="1" applyAlignment="1">
      <alignment wrapText="1"/>
    </xf>
    <xf numFmtId="0" fontId="11" fillId="33" borderId="5" xfId="0" applyFont="1" applyFill="1" applyBorder="1" applyAlignment="1">
      <alignment horizontal="center" wrapText="1"/>
    </xf>
    <xf numFmtId="0" fontId="32" fillId="35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8" fillId="0" borderId="1" xfId="0" applyFont="1" applyBorder="1" applyAlignment="1">
      <alignment horizontal="center"/>
    </xf>
    <xf numFmtId="0" fontId="2" fillId="14" borderId="26" xfId="0" applyFont="1" applyFill="1" applyBorder="1" applyAlignment="1">
      <alignment horizontal="center" vertical="center"/>
    </xf>
    <xf numFmtId="0" fontId="51" fillId="3" borderId="10" xfId="0" applyFont="1" applyFill="1" applyBorder="1" applyAlignment="1">
      <alignment horizontal="center" vertical="top" wrapText="1"/>
    </xf>
    <xf numFmtId="0" fontId="50" fillId="3" borderId="10" xfId="0" applyFont="1" applyFill="1" applyBorder="1" applyAlignment="1">
      <alignment horizontal="center" vertical="top" wrapText="1"/>
    </xf>
    <xf numFmtId="0" fontId="51" fillId="38" borderId="10" xfId="0" applyFont="1" applyFill="1" applyBorder="1" applyAlignment="1">
      <alignment horizontal="center" vertical="top" wrapText="1"/>
    </xf>
    <xf numFmtId="0" fontId="50" fillId="38" borderId="10" xfId="0" applyFont="1" applyFill="1" applyBorder="1" applyAlignment="1">
      <alignment horizontal="center" vertical="top" wrapText="1"/>
    </xf>
    <xf numFmtId="0" fontId="49" fillId="0" borderId="0" xfId="0" applyFont="1" applyAlignment="1">
      <alignment horizontal="center" vertical="top" wrapText="1"/>
    </xf>
    <xf numFmtId="49" fontId="53" fillId="37" borderId="0" xfId="0" applyNumberFormat="1" applyFont="1" applyFill="1" applyAlignment="1">
      <alignment wrapText="1"/>
    </xf>
    <xf numFmtId="49" fontId="53" fillId="12" borderId="0" xfId="0" applyNumberFormat="1" applyFont="1" applyFill="1" applyAlignment="1">
      <alignment horizontal="center" wrapText="1"/>
    </xf>
    <xf numFmtId="49" fontId="53" fillId="37" borderId="0" xfId="0" applyNumberFormat="1" applyFont="1" applyFill="1" applyAlignment="1">
      <alignment horizontal="center" wrapText="1"/>
    </xf>
    <xf numFmtId="49" fontId="53" fillId="6" borderId="0" xfId="0" applyNumberFormat="1" applyFont="1" applyFill="1" applyAlignment="1">
      <alignment horizontal="center" wrapText="1"/>
    </xf>
    <xf numFmtId="49" fontId="53" fillId="38" borderId="0" xfId="0" applyNumberFormat="1" applyFont="1" applyFill="1" applyAlignment="1">
      <alignment horizontal="center" wrapText="1"/>
    </xf>
    <xf numFmtId="49" fontId="53" fillId="13" borderId="0" xfId="0" applyNumberFormat="1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th-TH" b="0">
                <a:solidFill>
                  <a:srgbClr val="757575"/>
                </a:solidFill>
                <a:latin typeface="+mn-lt"/>
              </a:rPr>
              <a:t>จำนวนวิชา และ </a:t>
            </a:r>
            <a:r>
              <a:rPr lang="en-US" b="0">
                <a:solidFill>
                  <a:srgbClr val="757575"/>
                </a:solidFill>
                <a:latin typeface="+mn-lt"/>
              </a:rPr>
              <a:t>WIL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Workload!$I$4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Workload!$J$4:$Q$4</c:f>
              <c:numCache>
                <c:formatCode>General</c:formatCode>
                <c:ptCount val="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A3-894D-8775-79CA26F85EE2}"/>
            </c:ext>
          </c:extLst>
        </c:ser>
        <c:ser>
          <c:idx val="1"/>
          <c:order val="1"/>
          <c:tx>
            <c:strRef>
              <c:f>Workload!$I$5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Workload!$J$5:$Q$5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A3-894D-8775-79CA26F85EE2}"/>
            </c:ext>
          </c:extLst>
        </c:ser>
        <c:ser>
          <c:idx val="2"/>
          <c:order val="2"/>
          <c:tx>
            <c:strRef>
              <c:f>Workload!$I$6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Workload!$J$3:$Q$3</c:f>
              <c:strCache>
                <c:ptCount val="8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</c:strCache>
            </c:strRef>
          </c:cat>
          <c:val>
            <c:numRef>
              <c:f>Workload!$J$6:$Q$6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7A3-894D-8775-79CA26F85E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11644365"/>
        <c:axId val="1901214796"/>
      </c:barChart>
      <c:catAx>
        <c:axId val="20116443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1901214796"/>
        <c:crosses val="autoZero"/>
        <c:auto val="1"/>
        <c:lblAlgn val="ctr"/>
        <c:lblOffset val="100"/>
        <c:noMultiLvlLbl val="1"/>
      </c:catAx>
      <c:valAx>
        <c:axId val="1901214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20116443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TH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933450</xdr:colOff>
      <xdr:row>6</xdr:row>
      <xdr:rowOff>342900</xdr:rowOff>
    </xdr:from>
    <xdr:ext cx="8686800" cy="4962525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799222-7E8E-4C41-821B-D1C234BD70F7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035d340-2df1-4925-b788-2791ba3ff25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 summaryRight="0"/>
    <pageSetUpPr fitToPage="1"/>
  </sheetPr>
  <dimension ref="A1:AS1007"/>
  <sheetViews>
    <sheetView topLeftCell="A7" workbookViewId="0">
      <selection activeCell="L9" sqref="L9:Q9"/>
    </sheetView>
  </sheetViews>
  <sheetFormatPr baseColWidth="10" defaultColWidth="14.3984375" defaultRowHeight="15" customHeight="1"/>
  <cols>
    <col min="1" max="1" width="18.796875" customWidth="1"/>
    <col min="2" max="2" width="7.59765625" customWidth="1"/>
    <col min="3" max="3" width="11.796875" customWidth="1"/>
    <col min="4" max="10" width="7.59765625" customWidth="1"/>
    <col min="11" max="11" width="9" customWidth="1"/>
    <col min="12" max="12" width="15" customWidth="1"/>
    <col min="13" max="13" width="22.59765625" customWidth="1"/>
    <col min="14" max="23" width="7.59765625" customWidth="1"/>
    <col min="24" max="24" width="7.796875" customWidth="1"/>
    <col min="25" max="25" width="8.59765625" customWidth="1"/>
    <col min="26" max="26" width="8.3984375" customWidth="1"/>
    <col min="27" max="27" width="9.19921875" customWidth="1"/>
    <col min="28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5" width="13.19921875" customWidth="1"/>
  </cols>
  <sheetData>
    <row r="1" spans="1:45" ht="23.25" customHeight="1">
      <c r="A1" s="420" t="s">
        <v>0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ht="19.5" customHeight="1">
      <c r="A2" s="422" t="s">
        <v>1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  <c r="O2" s="421"/>
      <c r="P2" s="421"/>
      <c r="Q2" s="421"/>
      <c r="R2" s="421"/>
      <c r="S2" s="421"/>
      <c r="T2" s="421"/>
      <c r="U2" s="421"/>
      <c r="V2" s="421"/>
      <c r="W2" s="421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  <c r="AS2" s="5"/>
    </row>
    <row r="3" spans="1:45" ht="19.5" customHeight="1">
      <c r="A3" s="7"/>
      <c r="B3" s="7"/>
      <c r="C3" s="7"/>
      <c r="D3" s="7"/>
      <c r="E3" s="7"/>
      <c r="F3" s="7"/>
      <c r="G3" s="7"/>
      <c r="H3" s="7"/>
      <c r="I3" s="423" t="s">
        <v>2</v>
      </c>
      <c r="J3" s="399"/>
      <c r="K3" s="399"/>
      <c r="L3" s="399"/>
      <c r="M3" s="399"/>
      <c r="N3" s="8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  <c r="AS3" s="5"/>
    </row>
    <row r="4" spans="1:45" ht="19.5" customHeight="1">
      <c r="A4" s="9"/>
      <c r="B4" s="424" t="s">
        <v>3</v>
      </c>
      <c r="C4" s="425"/>
      <c r="D4" s="426" t="s">
        <v>4</v>
      </c>
      <c r="E4" s="419"/>
      <c r="F4" s="426" t="s">
        <v>5</v>
      </c>
      <c r="G4" s="419"/>
      <c r="H4" s="426" t="s">
        <v>6</v>
      </c>
      <c r="I4" s="419"/>
      <c r="J4" s="424" t="s">
        <v>7</v>
      </c>
      <c r="K4" s="425"/>
      <c r="L4" s="426" t="s">
        <v>8</v>
      </c>
      <c r="M4" s="419"/>
      <c r="N4" s="426" t="s">
        <v>9</v>
      </c>
      <c r="O4" s="419"/>
      <c r="P4" s="426" t="s">
        <v>10</v>
      </c>
      <c r="Q4" s="397"/>
      <c r="R4" s="424" t="s">
        <v>11</v>
      </c>
      <c r="S4" s="404"/>
      <c r="T4" s="424" t="s">
        <v>12</v>
      </c>
      <c r="U4" s="425"/>
      <c r="V4" s="424" t="s">
        <v>13</v>
      </c>
      <c r="W4" s="425"/>
      <c r="X4" s="427"/>
      <c r="Y4" s="421"/>
      <c r="Z4" s="428"/>
      <c r="AA4" s="421"/>
      <c r="AB4" s="428"/>
      <c r="AC4" s="421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  <c r="AS4" s="5"/>
    </row>
    <row r="5" spans="1:45" ht="78.75" customHeight="1">
      <c r="A5" s="406" t="s">
        <v>14</v>
      </c>
      <c r="B5" s="11"/>
      <c r="C5" s="12"/>
      <c r="D5" s="12"/>
      <c r="E5" s="418" t="s">
        <v>15</v>
      </c>
      <c r="F5" s="396"/>
      <c r="G5" s="396"/>
      <c r="H5" s="409" t="s">
        <v>16</v>
      </c>
      <c r="I5" s="396"/>
      <c r="J5" s="397"/>
      <c r="K5" s="13"/>
      <c r="L5" s="395" t="s">
        <v>17</v>
      </c>
      <c r="M5" s="397"/>
      <c r="N5" s="395" t="s">
        <v>18</v>
      </c>
      <c r="O5" s="396"/>
      <c r="P5" s="396"/>
      <c r="Q5" s="396"/>
      <c r="R5" s="396"/>
      <c r="S5" s="396"/>
      <c r="T5" s="396"/>
      <c r="U5" s="397"/>
      <c r="V5" s="14"/>
      <c r="W5" s="1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  <c r="AQ5" s="5"/>
      <c r="AR5" s="5"/>
      <c r="AS5" s="5"/>
    </row>
    <row r="6" spans="1:45" ht="43.5" customHeight="1">
      <c r="A6" s="407"/>
      <c r="B6" s="16"/>
      <c r="C6" s="16"/>
      <c r="D6" s="16"/>
      <c r="E6" s="398"/>
      <c r="F6" s="399"/>
      <c r="G6" s="399"/>
      <c r="H6" s="398"/>
      <c r="I6" s="399"/>
      <c r="J6" s="400"/>
      <c r="K6" s="17"/>
      <c r="L6" s="398"/>
      <c r="M6" s="400"/>
      <c r="N6" s="398"/>
      <c r="O6" s="399"/>
      <c r="P6" s="399"/>
      <c r="Q6" s="399"/>
      <c r="R6" s="399"/>
      <c r="S6" s="399"/>
      <c r="T6" s="399"/>
      <c r="U6" s="400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  <c r="AQ6" s="5"/>
      <c r="AR6" s="5"/>
      <c r="AS6" s="5"/>
    </row>
    <row r="7" spans="1:45" ht="63.75" customHeight="1">
      <c r="A7" s="407"/>
      <c r="B7" s="20"/>
      <c r="C7" s="20"/>
      <c r="D7" s="20"/>
      <c r="E7" s="20"/>
      <c r="F7" s="20"/>
      <c r="G7" s="20"/>
      <c r="H7" s="20"/>
      <c r="I7" s="20"/>
      <c r="J7" s="20"/>
      <c r="K7" s="20"/>
      <c r="L7" s="410" t="s">
        <v>19</v>
      </c>
      <c r="M7" s="396"/>
      <c r="N7" s="401" t="s">
        <v>20</v>
      </c>
      <c r="O7" s="396"/>
      <c r="P7" s="396"/>
      <c r="Q7" s="396"/>
      <c r="R7" s="396"/>
      <c r="S7" s="396"/>
      <c r="T7" s="396"/>
      <c r="U7" s="396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</row>
    <row r="8" spans="1:45" ht="49.5" customHeight="1">
      <c r="A8" s="408"/>
      <c r="B8" s="16"/>
      <c r="C8" s="16"/>
      <c r="D8" s="16"/>
      <c r="E8" s="16"/>
      <c r="F8" s="16"/>
      <c r="G8" s="16"/>
      <c r="H8" s="16"/>
      <c r="I8" s="16"/>
      <c r="J8" s="16"/>
      <c r="K8" s="16"/>
      <c r="L8" s="398"/>
      <c r="M8" s="399"/>
      <c r="N8" s="398"/>
      <c r="O8" s="399"/>
      <c r="P8" s="399"/>
      <c r="Q8" s="399"/>
      <c r="R8" s="399"/>
      <c r="S8" s="399"/>
      <c r="T8" s="399"/>
      <c r="U8" s="399"/>
      <c r="V8" s="17"/>
      <c r="W8" s="23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</row>
    <row r="9" spans="1:45" ht="82.5" customHeight="1">
      <c r="A9" s="414" t="s">
        <v>21</v>
      </c>
      <c r="B9" s="20"/>
      <c r="C9" s="20"/>
      <c r="D9" s="20"/>
      <c r="E9" s="412" t="s">
        <v>22</v>
      </c>
      <c r="F9" s="396"/>
      <c r="G9" s="419"/>
      <c r="H9" s="411" t="s">
        <v>23</v>
      </c>
      <c r="I9" s="396"/>
      <c r="J9" s="397"/>
      <c r="K9" s="14"/>
      <c r="L9" s="405" t="s">
        <v>24</v>
      </c>
      <c r="M9" s="396"/>
      <c r="N9" s="396"/>
      <c r="O9" s="396"/>
      <c r="P9" s="396"/>
      <c r="Q9" s="396"/>
      <c r="R9" s="24"/>
      <c r="S9" s="24"/>
      <c r="T9" s="24"/>
      <c r="U9" s="13"/>
      <c r="V9" s="13"/>
      <c r="W9" s="25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  <c r="AQ9" s="5"/>
      <c r="AR9" s="5"/>
      <c r="AS9" s="5"/>
    </row>
    <row r="10" spans="1:45" ht="83.25" customHeight="1">
      <c r="A10" s="407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405" t="s">
        <v>25</v>
      </c>
      <c r="M10" s="396"/>
      <c r="N10" s="396"/>
      <c r="O10" s="396"/>
      <c r="P10" s="396"/>
      <c r="Q10" s="396"/>
      <c r="V10" s="26"/>
      <c r="W10" s="27"/>
      <c r="X10" s="1"/>
      <c r="Y10" s="1"/>
      <c r="Z10" s="5"/>
      <c r="AK10" s="5"/>
      <c r="AL10" s="6"/>
      <c r="AM10" s="6"/>
      <c r="AN10" s="5"/>
      <c r="AO10" s="5"/>
      <c r="AP10" s="5"/>
      <c r="AQ10" s="5"/>
      <c r="AR10" s="5"/>
      <c r="AS10" s="5"/>
    </row>
    <row r="11" spans="1:45" ht="45.75" customHeight="1">
      <c r="A11" s="407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405" t="s">
        <v>26</v>
      </c>
      <c r="M11" s="396"/>
      <c r="N11" s="396"/>
      <c r="O11" s="396"/>
      <c r="P11" s="396"/>
      <c r="Q11" s="396"/>
      <c r="R11" s="28"/>
      <c r="S11" s="28"/>
      <c r="T11" s="28"/>
      <c r="U11" s="28"/>
      <c r="V11" s="14"/>
      <c r="W11" s="15"/>
      <c r="X11" s="1"/>
      <c r="Y11" s="1"/>
      <c r="Z11" s="5"/>
      <c r="AK11" s="5"/>
      <c r="AL11" s="6"/>
      <c r="AM11" s="6"/>
      <c r="AN11" s="5"/>
      <c r="AO11" s="5"/>
      <c r="AP11" s="5"/>
      <c r="AQ11" s="5"/>
      <c r="AR11" s="5"/>
      <c r="AS11" s="5"/>
    </row>
    <row r="12" spans="1:45" ht="69.75" customHeight="1">
      <c r="A12" s="408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398"/>
      <c r="M12" s="399"/>
      <c r="N12" s="399"/>
      <c r="O12" s="399"/>
      <c r="P12" s="399"/>
      <c r="Q12" s="399"/>
      <c r="V12" s="26"/>
      <c r="W12" s="27"/>
      <c r="X12" s="1"/>
      <c r="Y12" s="1"/>
      <c r="Z12" s="5"/>
      <c r="AK12" s="5"/>
      <c r="AL12" s="6"/>
      <c r="AM12" s="6"/>
      <c r="AN12" s="5"/>
      <c r="AO12" s="5"/>
      <c r="AP12" s="5"/>
      <c r="AQ12" s="5"/>
      <c r="AR12" s="5"/>
      <c r="AS12" s="5"/>
    </row>
    <row r="13" spans="1:45" ht="40.5" customHeight="1">
      <c r="A13" s="29" t="s">
        <v>27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14"/>
      <c r="W13" s="15"/>
      <c r="X13" s="1"/>
      <c r="Y13" s="1"/>
      <c r="Z13" s="5"/>
      <c r="AK13" s="5"/>
      <c r="AL13" s="6"/>
      <c r="AM13" s="6"/>
      <c r="AN13" s="5"/>
      <c r="AO13" s="5"/>
      <c r="AP13" s="5"/>
      <c r="AQ13" s="5"/>
      <c r="AR13" s="5"/>
      <c r="AS13" s="5"/>
    </row>
    <row r="14" spans="1:45" ht="53.25" customHeight="1">
      <c r="A14" s="30"/>
      <c r="B14" s="31"/>
      <c r="C14" s="18"/>
      <c r="D14" s="18"/>
      <c r="E14" s="18"/>
      <c r="F14" s="18"/>
      <c r="G14" s="18"/>
      <c r="H14" s="18"/>
      <c r="I14" s="18"/>
      <c r="J14" s="18"/>
      <c r="K14" s="18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18"/>
      <c r="W14" s="19"/>
      <c r="X14" s="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  <c r="AQ14" s="5"/>
      <c r="AR14" s="5"/>
      <c r="AS14" s="5"/>
    </row>
    <row r="15" spans="1:45" ht="52.5" customHeight="1">
      <c r="A15" s="415" t="s">
        <v>28</v>
      </c>
      <c r="B15" s="20"/>
      <c r="C15" s="20"/>
      <c r="D15" s="20"/>
      <c r="E15" s="418" t="s">
        <v>29</v>
      </c>
      <c r="F15" s="396"/>
      <c r="G15" s="397"/>
      <c r="H15" s="409" t="s">
        <v>30</v>
      </c>
      <c r="I15" s="396"/>
      <c r="J15" s="397"/>
      <c r="K15" s="14"/>
      <c r="L15" s="395" t="s">
        <v>31</v>
      </c>
      <c r="M15" s="397"/>
      <c r="N15" s="395" t="s">
        <v>32</v>
      </c>
      <c r="O15" s="396"/>
      <c r="P15" s="396"/>
      <c r="Q15" s="396"/>
      <c r="R15" s="396"/>
      <c r="S15" s="396"/>
      <c r="T15" s="396"/>
      <c r="U15" s="397"/>
      <c r="V15" s="33"/>
      <c r="W15" s="34"/>
      <c r="X15" s="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  <c r="AQ15" s="5"/>
      <c r="AR15" s="5"/>
      <c r="AS15" s="5"/>
    </row>
    <row r="16" spans="1:45" ht="39" customHeight="1">
      <c r="A16" s="407"/>
      <c r="B16" s="20"/>
      <c r="C16" s="20"/>
      <c r="D16" s="20"/>
      <c r="E16" s="398"/>
      <c r="F16" s="399"/>
      <c r="G16" s="400"/>
      <c r="H16" s="398"/>
      <c r="I16" s="399"/>
      <c r="J16" s="400"/>
      <c r="K16" s="18"/>
      <c r="L16" s="398"/>
      <c r="M16" s="400"/>
      <c r="N16" s="398"/>
      <c r="O16" s="399"/>
      <c r="P16" s="399"/>
      <c r="Q16" s="399"/>
      <c r="R16" s="399"/>
      <c r="S16" s="399"/>
      <c r="T16" s="399"/>
      <c r="U16" s="400"/>
      <c r="V16" s="35"/>
      <c r="W16" s="36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  <c r="AS16" s="5"/>
    </row>
    <row r="17" spans="1:45" ht="45" customHeight="1">
      <c r="A17" s="407"/>
      <c r="B17" s="20"/>
      <c r="C17" s="20"/>
      <c r="D17" s="20"/>
      <c r="E17" s="14"/>
      <c r="F17" s="14"/>
      <c r="G17" s="14"/>
      <c r="H17" s="14"/>
      <c r="I17" s="14"/>
      <c r="J17" s="14"/>
      <c r="K17" s="26"/>
      <c r="L17" s="410" t="s">
        <v>33</v>
      </c>
      <c r="M17" s="396"/>
      <c r="N17" s="401" t="s">
        <v>34</v>
      </c>
      <c r="O17" s="396"/>
      <c r="P17" s="396"/>
      <c r="Q17" s="396"/>
      <c r="R17" s="396"/>
      <c r="S17" s="396"/>
      <c r="T17" s="396"/>
      <c r="U17" s="396"/>
      <c r="V17" s="37"/>
      <c r="W17" s="38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  <c r="AQ17" s="5"/>
      <c r="AR17" s="5"/>
      <c r="AS17" s="5"/>
    </row>
    <row r="18" spans="1:45" ht="54" customHeight="1">
      <c r="A18" s="408"/>
      <c r="B18" s="20"/>
      <c r="C18" s="20"/>
      <c r="D18" s="20"/>
      <c r="E18" s="18"/>
      <c r="F18" s="18"/>
      <c r="G18" s="18"/>
      <c r="H18" s="18"/>
      <c r="I18" s="18"/>
      <c r="J18" s="18"/>
      <c r="K18" s="26"/>
      <c r="L18" s="398"/>
      <c r="M18" s="399"/>
      <c r="N18" s="398"/>
      <c r="O18" s="399"/>
      <c r="P18" s="399"/>
      <c r="Q18" s="399"/>
      <c r="R18" s="399"/>
      <c r="S18" s="399"/>
      <c r="T18" s="399"/>
      <c r="U18" s="399"/>
      <c r="V18" s="37"/>
      <c r="W18" s="38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  <c r="AQ18" s="5"/>
      <c r="AR18" s="5"/>
      <c r="AS18" s="5"/>
    </row>
    <row r="19" spans="1:45" ht="50.25" customHeight="1">
      <c r="A19" s="416" t="s">
        <v>35</v>
      </c>
      <c r="B19" s="39"/>
      <c r="C19" s="24"/>
      <c r="D19" s="24"/>
      <c r="E19" s="412" t="s">
        <v>36</v>
      </c>
      <c r="F19" s="396"/>
      <c r="G19" s="397"/>
      <c r="H19" s="413" t="s">
        <v>37</v>
      </c>
      <c r="I19" s="396"/>
      <c r="J19" s="397"/>
      <c r="K19" s="14"/>
      <c r="L19" s="12"/>
      <c r="M19" s="12"/>
      <c r="N19" s="14"/>
      <c r="O19" s="14"/>
      <c r="P19" s="14"/>
      <c r="Q19" s="33"/>
      <c r="R19" s="14"/>
      <c r="S19" s="14"/>
      <c r="T19" s="14"/>
      <c r="U19" s="33"/>
      <c r="V19" s="33"/>
      <c r="W19" s="34"/>
      <c r="X19" s="40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  <c r="AQ19" s="5"/>
      <c r="AR19" s="5"/>
      <c r="AS19" s="5"/>
    </row>
    <row r="20" spans="1:45" ht="66.75" customHeight="1">
      <c r="A20" s="417"/>
      <c r="B20" s="41"/>
      <c r="C20" s="42"/>
      <c r="D20" s="42"/>
      <c r="E20" s="398"/>
      <c r="F20" s="399"/>
      <c r="G20" s="400"/>
      <c r="H20" s="398"/>
      <c r="I20" s="399"/>
      <c r="J20" s="400"/>
      <c r="K20" s="18"/>
      <c r="L20" s="16"/>
      <c r="M20" s="16"/>
      <c r="N20" s="18"/>
      <c r="O20" s="18"/>
      <c r="P20" s="18"/>
      <c r="Q20" s="35"/>
      <c r="R20" s="18"/>
      <c r="S20" s="18"/>
      <c r="T20" s="18"/>
      <c r="U20" s="35"/>
      <c r="V20" s="35"/>
      <c r="W20" s="36"/>
      <c r="X20" s="40"/>
      <c r="Y20" s="1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  <c r="AQ20" s="5"/>
      <c r="AR20" s="5"/>
      <c r="AS20" s="5"/>
    </row>
    <row r="21" spans="1:45" ht="52.5" customHeight="1">
      <c r="A21" s="43"/>
      <c r="B21" s="41"/>
      <c r="C21" s="42"/>
      <c r="D21" s="42"/>
      <c r="E21" s="44"/>
      <c r="F21" s="44"/>
      <c r="G21" s="44"/>
      <c r="H21" s="44"/>
      <c r="I21" s="44"/>
      <c r="J21" s="44"/>
      <c r="K21" s="18"/>
      <c r="L21" s="42"/>
      <c r="M21" s="44"/>
      <c r="N21" s="44"/>
      <c r="O21" s="44"/>
      <c r="P21" s="44"/>
      <c r="Q21" s="44"/>
      <c r="R21" s="44"/>
      <c r="S21" s="18"/>
      <c r="T21" s="42"/>
      <c r="U21" s="44"/>
      <c r="V21" s="44"/>
      <c r="W21" s="44"/>
      <c r="X21" s="40"/>
      <c r="Y21" s="1" t="s">
        <v>38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  <c r="AQ21" s="5"/>
      <c r="AR21" s="5"/>
      <c r="AS21" s="5"/>
    </row>
    <row r="22" spans="1:45" ht="19.5" customHeight="1">
      <c r="A22" s="45" t="s">
        <v>39</v>
      </c>
      <c r="B22" s="46"/>
      <c r="C22" s="47"/>
      <c r="D22" s="47"/>
      <c r="E22" s="47"/>
      <c r="F22" s="47"/>
      <c r="G22" s="47"/>
      <c r="H22" s="47"/>
      <c r="I22" s="47"/>
      <c r="J22" s="4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47"/>
      <c r="W22" s="48"/>
      <c r="X22" s="1"/>
      <c r="Y22" s="1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  <c r="AQ22" s="5"/>
      <c r="AR22" s="5"/>
      <c r="AS22" s="5"/>
    </row>
    <row r="23" spans="1:45" ht="19.5" customHeight="1">
      <c r="A23" s="45" t="s">
        <v>40</v>
      </c>
      <c r="B23" s="46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8"/>
      <c r="X23" s="1"/>
      <c r="Y23" s="1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  <c r="AQ23" s="5"/>
      <c r="AR23" s="5"/>
      <c r="AS23" s="5"/>
    </row>
    <row r="24" spans="1:45" ht="14.25" customHeight="1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1"/>
      <c r="V24" s="1"/>
      <c r="W24" s="1"/>
      <c r="X24" s="1"/>
      <c r="Y24" s="1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  <c r="AQ24" s="5"/>
      <c r="AR24" s="5"/>
      <c r="AS24" s="5"/>
    </row>
    <row r="25" spans="1:4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6"/>
      <c r="AM25" s="6"/>
      <c r="AN25" s="5"/>
      <c r="AO25" s="5"/>
      <c r="AP25" s="5"/>
      <c r="AQ25" s="5"/>
      <c r="AR25" s="5"/>
      <c r="AS25" s="5"/>
    </row>
    <row r="26" spans="1:45" ht="14.2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402" t="s">
        <v>41</v>
      </c>
      <c r="R26" s="403"/>
      <c r="S26" s="404"/>
      <c r="T26" s="402" t="s">
        <v>42</v>
      </c>
      <c r="U26" s="404"/>
      <c r="V26" s="402" t="s">
        <v>43</v>
      </c>
      <c r="W26" s="404"/>
      <c r="X26" s="437" t="s">
        <v>44</v>
      </c>
      <c r="Y26" s="437" t="s">
        <v>45</v>
      </c>
      <c r="Z26" s="437" t="s">
        <v>46</v>
      </c>
      <c r="AA26" s="437" t="s">
        <v>47</v>
      </c>
      <c r="AB26" s="50"/>
      <c r="AC26" s="5"/>
      <c r="AD26" s="5"/>
      <c r="AE26" s="5"/>
      <c r="AF26" s="5"/>
      <c r="AG26" s="5"/>
      <c r="AH26" s="5"/>
      <c r="AI26" s="5"/>
      <c r="AJ26" s="5"/>
      <c r="AK26" s="5"/>
      <c r="AL26" s="6"/>
      <c r="AM26" s="6"/>
      <c r="AN26" s="5"/>
      <c r="AO26" s="5"/>
      <c r="AP26" s="5"/>
      <c r="AQ26" s="5"/>
      <c r="AR26" s="5"/>
      <c r="AS26" s="5"/>
    </row>
    <row r="27" spans="1:45" ht="28.5" customHeight="1">
      <c r="A27" s="51" t="s">
        <v>48</v>
      </c>
      <c r="B27" s="52" t="s">
        <v>49</v>
      </c>
      <c r="C27" s="4" t="s">
        <v>50</v>
      </c>
      <c r="D27" s="422" t="s">
        <v>51</v>
      </c>
      <c r="E27" s="421"/>
      <c r="F27" s="421"/>
      <c r="G27" s="421"/>
      <c r="H27" s="421"/>
      <c r="I27" s="421"/>
      <c r="J27" s="421"/>
      <c r="K27" s="4" t="s">
        <v>52</v>
      </c>
      <c r="L27" s="53" t="s">
        <v>53</v>
      </c>
      <c r="M27" s="53" t="s">
        <v>54</v>
      </c>
      <c r="N27" s="422" t="s">
        <v>55</v>
      </c>
      <c r="O27" s="421"/>
      <c r="P27" s="54"/>
      <c r="Q27" s="55" t="s">
        <v>56</v>
      </c>
      <c r="R27" s="55" t="s">
        <v>57</v>
      </c>
      <c r="S27" s="55" t="s">
        <v>58</v>
      </c>
      <c r="T27" s="55" t="s">
        <v>59</v>
      </c>
      <c r="U27" s="55" t="s">
        <v>60</v>
      </c>
      <c r="V27" s="55" t="s">
        <v>61</v>
      </c>
      <c r="W27" s="55" t="s">
        <v>62</v>
      </c>
      <c r="X27" s="408"/>
      <c r="Y27" s="408"/>
      <c r="Z27" s="408"/>
      <c r="AA27" s="408"/>
      <c r="AB27" s="56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</row>
    <row r="28" spans="1:45" ht="19.5" customHeight="1">
      <c r="A28" s="21" t="s">
        <v>63</v>
      </c>
      <c r="B28" s="57">
        <v>1</v>
      </c>
      <c r="C28" s="58" t="s">
        <v>64</v>
      </c>
      <c r="D28" s="438" t="s">
        <v>65</v>
      </c>
      <c r="E28" s="421"/>
      <c r="F28" s="421"/>
      <c r="G28" s="421"/>
      <c r="H28" s="421"/>
      <c r="I28" s="421"/>
      <c r="J28" s="421"/>
      <c r="K28" s="59">
        <f>VLOOKUP($C28,'DG2562V1.2Courses'!$B$4:$F$99,4,FALSE)</f>
        <v>3</v>
      </c>
      <c r="L28" s="60" t="s">
        <v>66</v>
      </c>
      <c r="M28" s="60" t="s">
        <v>67</v>
      </c>
      <c r="N28" s="61"/>
      <c r="O28" s="61"/>
      <c r="P28" s="61"/>
      <c r="Q28" s="62"/>
      <c r="R28" s="62"/>
      <c r="S28" s="62"/>
      <c r="T28" s="62"/>
      <c r="U28" s="62"/>
      <c r="V28" s="63">
        <v>4</v>
      </c>
      <c r="W28" s="62"/>
      <c r="X28" s="62"/>
      <c r="Y28" s="64"/>
      <c r="Z28" s="64"/>
      <c r="AA28" s="65"/>
      <c r="AB28" s="56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</row>
    <row r="29" spans="1:45" ht="21" customHeight="1">
      <c r="A29" s="21" t="s">
        <v>63</v>
      </c>
      <c r="B29" s="66">
        <v>2</v>
      </c>
      <c r="C29" s="67" t="s">
        <v>68</v>
      </c>
      <c r="D29" s="435" t="str">
        <f>VLOOKUP($C29,'DG2562V1.2Courses'!$B$4:$F$99,3,FALSE)</f>
        <v>Computer and Programming for Game 1</v>
      </c>
      <c r="E29" s="421"/>
      <c r="F29" s="421"/>
      <c r="G29" s="421"/>
      <c r="H29" s="421"/>
      <c r="I29" s="421"/>
      <c r="J29" s="421"/>
      <c r="K29" s="68">
        <f>VLOOKUP($C29,'DG2562V1.2Courses'!$B$4:$F$99,4,FALSE)</f>
        <v>3</v>
      </c>
      <c r="L29" s="60" t="s">
        <v>69</v>
      </c>
      <c r="M29" s="69" t="s">
        <v>70</v>
      </c>
      <c r="N29" s="436"/>
      <c r="O29" s="421"/>
      <c r="P29" s="61"/>
      <c r="Q29" s="70"/>
      <c r="R29" s="70"/>
      <c r="S29" s="70"/>
      <c r="T29" s="70"/>
      <c r="U29" s="70"/>
      <c r="V29" s="70">
        <v>4</v>
      </c>
      <c r="W29" s="70"/>
      <c r="X29" s="70"/>
      <c r="Y29" s="70"/>
      <c r="Z29" s="70"/>
      <c r="AA29" s="71"/>
      <c r="AB29" s="56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</row>
    <row r="30" spans="1:45" ht="18.75" customHeight="1">
      <c r="A30" s="21" t="s">
        <v>63</v>
      </c>
      <c r="B30" s="57">
        <v>3</v>
      </c>
      <c r="C30" s="72" t="s">
        <v>71</v>
      </c>
      <c r="D30" s="430" t="str">
        <f>VLOOKUP($C30,'DG2562V1.2Courses'!$B$4:$F$99,3,FALSE)</f>
        <v>Psychology and Daily Life</v>
      </c>
      <c r="E30" s="421"/>
      <c r="F30" s="421"/>
      <c r="G30" s="421"/>
      <c r="H30" s="421"/>
      <c r="I30" s="421"/>
      <c r="J30" s="421"/>
      <c r="K30" s="73">
        <f>VLOOKUP($C30,'DG2562V1.2Courses'!$B$4:$F$99,4,FALSE)</f>
        <v>3</v>
      </c>
      <c r="M30" s="74"/>
      <c r="N30" s="61"/>
      <c r="O30" s="61"/>
      <c r="P30" s="61"/>
      <c r="Q30" s="61"/>
      <c r="R30" s="61"/>
      <c r="S30" s="61"/>
      <c r="T30" s="61"/>
      <c r="U30" s="61"/>
      <c r="V30" s="61"/>
      <c r="W30" s="54"/>
      <c r="X30" s="54"/>
      <c r="Y30" s="54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</row>
    <row r="31" spans="1:45" ht="18.75" customHeight="1">
      <c r="A31" s="21" t="s">
        <v>63</v>
      </c>
      <c r="B31" s="66">
        <v>4</v>
      </c>
      <c r="C31" s="75" t="s">
        <v>72</v>
      </c>
      <c r="D31" s="431" t="str">
        <f>VLOOKUP($C31,'DG2562V1.2Courses'!$B$4:$F$99,3,FALSE)</f>
        <v>Citizenship</v>
      </c>
      <c r="E31" s="421"/>
      <c r="F31" s="421"/>
      <c r="G31" s="421"/>
      <c r="H31" s="421"/>
      <c r="I31" s="421"/>
      <c r="J31" s="421"/>
      <c r="K31" s="76">
        <f>VLOOKUP($C31,'DG2562V1.2Courses'!$B$4:$F$99,4,FALSE)</f>
        <v>3</v>
      </c>
      <c r="L31" s="51"/>
      <c r="M31" s="51"/>
      <c r="N31" s="61"/>
      <c r="O31" s="61"/>
      <c r="P31" s="61"/>
      <c r="Q31" s="61"/>
      <c r="R31" s="61"/>
      <c r="S31" s="61"/>
      <c r="T31" s="61"/>
      <c r="U31" s="61"/>
      <c r="V31" s="61"/>
      <c r="W31" s="54"/>
      <c r="X31" s="54"/>
      <c r="Y31" s="54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</row>
    <row r="32" spans="1:45" ht="18.75" customHeight="1">
      <c r="A32" s="21" t="s">
        <v>63</v>
      </c>
      <c r="B32" s="57">
        <v>5</v>
      </c>
      <c r="C32" s="77" t="s">
        <v>73</v>
      </c>
      <c r="D32" s="432" t="str">
        <f>VLOOKUP($C32,'DG2562V1.2Courses'!$B$4:$F$99,3,FALSE)</f>
        <v>Architecture in Everyday Life</v>
      </c>
      <c r="E32" s="421"/>
      <c r="F32" s="421"/>
      <c r="G32" s="421"/>
      <c r="H32" s="421"/>
      <c r="I32" s="421"/>
      <c r="J32" s="421"/>
      <c r="K32" s="78">
        <f>VLOOKUP($C32,'DG2562V1.2Courses'!$B$4:$F$99,4,FALSE)</f>
        <v>3</v>
      </c>
      <c r="L32" s="51"/>
      <c r="M32" s="51"/>
      <c r="N32" s="61"/>
      <c r="O32" s="61"/>
      <c r="P32" s="61"/>
      <c r="Q32" s="61"/>
      <c r="R32" s="61"/>
      <c r="S32" s="61"/>
      <c r="T32" s="61"/>
      <c r="U32" s="61"/>
      <c r="V32" s="61"/>
      <c r="W32" s="54"/>
      <c r="X32" s="54"/>
      <c r="Y32" s="54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</row>
    <row r="33" spans="1:45" ht="18.75" customHeight="1">
      <c r="A33" s="21" t="s">
        <v>63</v>
      </c>
      <c r="B33" s="66">
        <v>6</v>
      </c>
      <c r="C33" s="79" t="s">
        <v>74</v>
      </c>
      <c r="D33" s="433" t="str">
        <f>VLOOKUP($C33,'DG2562V1.2Courses'!$B$4:$F$99,3,FALSE)</f>
        <v>Fundamental English 1</v>
      </c>
      <c r="E33" s="421"/>
      <c r="F33" s="421"/>
      <c r="G33" s="421"/>
      <c r="H33" s="421"/>
      <c r="I33" s="421"/>
      <c r="J33" s="421"/>
      <c r="K33" s="80">
        <f>VLOOKUP($C33,'DG2562V1.2Courses'!$B$4:$F$99,4,FALSE)</f>
        <v>3</v>
      </c>
      <c r="L33" s="21"/>
      <c r="M33" s="21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</row>
    <row r="34" spans="1:45" ht="18.75" customHeight="1">
      <c r="A34" s="21"/>
      <c r="L34" s="21"/>
      <c r="M34" s="21"/>
      <c r="N34" s="412" t="s">
        <v>75</v>
      </c>
      <c r="O34" s="396"/>
      <c r="P34" s="419"/>
      <c r="Q34" s="21"/>
      <c r="R34" s="412">
        <v>140104</v>
      </c>
      <c r="S34" s="396"/>
      <c r="T34" s="419"/>
      <c r="U34" s="21"/>
      <c r="V34" s="412">
        <v>13110</v>
      </c>
      <c r="W34" s="396"/>
      <c r="X34" s="419"/>
      <c r="Y34" s="54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</row>
    <row r="35" spans="1:45" ht="18.75" customHeight="1">
      <c r="A35" s="21"/>
      <c r="B35" s="21"/>
      <c r="C35" s="434" t="s">
        <v>76</v>
      </c>
      <c r="D35" s="421"/>
      <c r="E35" s="421"/>
      <c r="F35" s="421"/>
      <c r="G35" s="421"/>
      <c r="H35" s="82"/>
      <c r="I35" s="81"/>
      <c r="J35" s="4"/>
      <c r="K35" s="83">
        <f>SUM(K28:K33)</f>
        <v>18</v>
      </c>
      <c r="L35" s="21"/>
      <c r="M35" s="21"/>
      <c r="N35" s="398"/>
      <c r="O35" s="399"/>
      <c r="P35" s="429"/>
      <c r="Q35" s="21"/>
      <c r="R35" s="398"/>
      <c r="S35" s="399"/>
      <c r="T35" s="429"/>
      <c r="U35" s="21"/>
      <c r="V35" s="398"/>
      <c r="W35" s="399"/>
      <c r="X35" s="429"/>
      <c r="Y35" s="54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</row>
    <row r="36" spans="1:45" ht="18.75" customHeight="1">
      <c r="A36" s="37"/>
      <c r="B36" s="37"/>
      <c r="C36" s="37"/>
      <c r="D36" s="37"/>
      <c r="E36" s="37"/>
      <c r="F36" s="37"/>
      <c r="G36" s="37"/>
      <c r="H36" s="37"/>
      <c r="I36" s="37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54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</row>
    <row r="37" spans="1:45" ht="18.75" customHeight="1">
      <c r="A37" s="54"/>
      <c r="B37" s="1"/>
      <c r="C37" s="1"/>
      <c r="D37" s="1"/>
      <c r="E37" s="1"/>
      <c r="F37" s="1"/>
      <c r="G37" s="1"/>
      <c r="H37" s="1"/>
      <c r="I37" s="1"/>
      <c r="J37" s="54"/>
      <c r="K37" s="54"/>
      <c r="L37" s="54"/>
      <c r="M37" s="21"/>
      <c r="N37" s="412" t="s">
        <v>75</v>
      </c>
      <c r="O37" s="396"/>
      <c r="P37" s="419"/>
      <c r="Q37" s="21"/>
      <c r="R37" s="412">
        <v>140104</v>
      </c>
      <c r="S37" s="396"/>
      <c r="T37" s="419"/>
      <c r="U37" s="21"/>
      <c r="V37" s="412">
        <v>13110</v>
      </c>
      <c r="W37" s="396"/>
      <c r="X37" s="419"/>
      <c r="Y37" s="54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</row>
    <row r="38" spans="1:45" ht="14.25" customHeight="1">
      <c r="A38" s="84"/>
      <c r="B38" s="84"/>
      <c r="C38" s="84"/>
      <c r="D38" s="84"/>
      <c r="E38" s="84"/>
      <c r="F38" s="84"/>
      <c r="G38" s="84"/>
      <c r="H38" s="84"/>
      <c r="I38" s="84"/>
      <c r="J38" s="54"/>
      <c r="K38" s="54"/>
      <c r="L38" s="54"/>
      <c r="M38" s="21"/>
      <c r="N38" s="398"/>
      <c r="O38" s="399"/>
      <c r="P38" s="429"/>
      <c r="Q38" s="21"/>
      <c r="R38" s="398"/>
      <c r="S38" s="399"/>
      <c r="T38" s="429"/>
      <c r="U38" s="21"/>
      <c r="V38" s="398"/>
      <c r="W38" s="399"/>
      <c r="X38" s="429"/>
      <c r="Y38" s="54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</row>
    <row r="39" spans="1:45" ht="14.25" customHeight="1">
      <c r="A39" s="84"/>
      <c r="B39" s="84"/>
      <c r="C39" s="84"/>
      <c r="D39" s="84"/>
      <c r="E39" s="84"/>
      <c r="F39" s="84"/>
      <c r="G39" s="84"/>
      <c r="H39" s="84"/>
      <c r="I39" s="84"/>
      <c r="J39" s="54"/>
      <c r="K39" s="54"/>
      <c r="L39" s="54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54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</row>
    <row r="40" spans="1:45" ht="14.25" customHeight="1">
      <c r="A40" s="84"/>
      <c r="B40" s="84"/>
      <c r="C40" s="84"/>
      <c r="D40" s="84"/>
      <c r="E40" s="84"/>
      <c r="F40" s="84"/>
      <c r="G40" s="84"/>
      <c r="H40" s="84"/>
      <c r="I40" s="8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</row>
    <row r="41" spans="1:45" ht="14.25" customHeight="1">
      <c r="A41" s="1"/>
      <c r="B41" s="1"/>
      <c r="C41" s="1"/>
      <c r="D41" s="1"/>
      <c r="E41" s="1"/>
      <c r="F41" s="1"/>
      <c r="G41" s="1"/>
      <c r="H41" s="1"/>
      <c r="I41" s="1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</row>
    <row r="42" spans="1:45" ht="14.25" customHeight="1">
      <c r="A42" s="1"/>
      <c r="B42" s="1"/>
      <c r="C42" s="1"/>
      <c r="D42" s="1"/>
      <c r="E42" s="1"/>
      <c r="F42" s="1"/>
      <c r="G42" s="1"/>
      <c r="H42" s="1"/>
      <c r="I42" s="1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</row>
    <row r="43" spans="1:45" ht="14.25" customHeight="1">
      <c r="A43" s="1"/>
      <c r="B43" s="1"/>
      <c r="C43" s="1"/>
      <c r="D43" s="1"/>
      <c r="E43" s="1"/>
      <c r="F43" s="1"/>
      <c r="G43" s="1"/>
      <c r="H43" s="1"/>
      <c r="I43" s="1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</row>
    <row r="44" spans="1:45" ht="14.25" customHeight="1">
      <c r="A44" s="1"/>
      <c r="B44" s="1"/>
      <c r="C44" s="1"/>
      <c r="D44" s="1"/>
      <c r="E44" s="1"/>
      <c r="F44" s="1"/>
      <c r="G44" s="1"/>
      <c r="H44" s="1"/>
      <c r="I44" s="1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</row>
    <row r="45" spans="1:45" ht="14.25" customHeight="1">
      <c r="A45" s="1"/>
      <c r="B45" s="1"/>
      <c r="C45" s="1"/>
      <c r="D45" s="1"/>
      <c r="E45" s="1"/>
      <c r="F45" s="1"/>
      <c r="G45" s="1"/>
      <c r="H45" s="1"/>
      <c r="I45" s="1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</row>
    <row r="46" spans="1:45" ht="14.25" customHeight="1">
      <c r="A46" s="1"/>
      <c r="B46" s="1"/>
      <c r="C46" s="1"/>
      <c r="D46" s="1"/>
      <c r="E46" s="1"/>
      <c r="F46" s="1"/>
      <c r="G46" s="1"/>
      <c r="H46" s="1"/>
      <c r="I46" s="1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</row>
    <row r="47" spans="1:45" ht="14.25" customHeight="1">
      <c r="A47" s="1"/>
      <c r="B47" s="1"/>
      <c r="C47" s="1"/>
      <c r="D47" s="1"/>
      <c r="E47" s="1"/>
      <c r="F47" s="1"/>
      <c r="G47" s="1"/>
      <c r="H47" s="1"/>
      <c r="I47" s="1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</row>
    <row r="48" spans="1:45" ht="14.25" customHeight="1">
      <c r="A48" s="1"/>
      <c r="B48" s="1"/>
      <c r="C48" s="1"/>
      <c r="D48" s="1"/>
      <c r="E48" s="1"/>
      <c r="F48" s="1"/>
      <c r="G48" s="1"/>
      <c r="H48" s="1"/>
      <c r="I48" s="1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</row>
    <row r="49" spans="1:45" ht="14.25" customHeight="1">
      <c r="A49" s="1"/>
      <c r="B49" s="1"/>
      <c r="C49" s="1"/>
      <c r="D49" s="1"/>
      <c r="E49" s="1"/>
      <c r="F49" s="1"/>
      <c r="G49" s="1"/>
      <c r="H49" s="1"/>
      <c r="I49" s="1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</row>
    <row r="50" spans="1:45" ht="14.25" customHeight="1">
      <c r="A50" s="1"/>
      <c r="B50" s="1"/>
      <c r="C50" s="1"/>
      <c r="D50" s="1"/>
      <c r="E50" s="1"/>
      <c r="F50" s="1"/>
      <c r="G50" s="1"/>
      <c r="H50" s="1"/>
      <c r="I50" s="1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</row>
    <row r="51" spans="1:45" ht="14.25" customHeight="1">
      <c r="A51" s="1"/>
      <c r="B51" s="1"/>
      <c r="C51" s="1"/>
      <c r="D51" s="1"/>
      <c r="E51" s="1"/>
      <c r="F51" s="1"/>
      <c r="G51" s="1"/>
      <c r="H51" s="1"/>
      <c r="I51" s="1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</row>
    <row r="52" spans="1:45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</row>
    <row r="53" spans="1:45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</row>
    <row r="54" spans="1:45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</row>
    <row r="55" spans="1:45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</row>
    <row r="56" spans="1:45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</row>
    <row r="57" spans="1:45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</row>
    <row r="58" spans="1:45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</row>
    <row r="59" spans="1:45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</row>
    <row r="60" spans="1:45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</row>
    <row r="61" spans="1:45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</row>
    <row r="62" spans="1:45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</row>
    <row r="63" spans="1:45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</row>
    <row r="64" spans="1:45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</row>
    <row r="65" spans="1:45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</row>
    <row r="66" spans="1:45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</row>
    <row r="67" spans="1:45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</row>
    <row r="68" spans="1:45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</row>
    <row r="69" spans="1:45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</row>
    <row r="70" spans="1:45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</row>
    <row r="71" spans="1:45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</row>
    <row r="72" spans="1:45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</row>
    <row r="73" spans="1:45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</row>
    <row r="74" spans="1:45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</row>
    <row r="75" spans="1:4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</row>
    <row r="76" spans="1:45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</row>
    <row r="77" spans="1:45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</row>
    <row r="78" spans="1:45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</row>
    <row r="79" spans="1:45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</row>
    <row r="80" spans="1:45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</row>
    <row r="81" spans="1:45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</row>
    <row r="82" spans="1:45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</row>
    <row r="83" spans="1:45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</row>
    <row r="84" spans="1:45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</row>
    <row r="85" spans="1:4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</row>
    <row r="86" spans="1:45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</row>
    <row r="87" spans="1:45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</row>
    <row r="88" spans="1:45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</row>
    <row r="89" spans="1:45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</row>
    <row r="90" spans="1:45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</row>
    <row r="91" spans="1:45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</row>
    <row r="92" spans="1:45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</row>
    <row r="93" spans="1:45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</row>
    <row r="94" spans="1:45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</row>
    <row r="95" spans="1:4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</row>
    <row r="96" spans="1:45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</row>
    <row r="97" spans="1:45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</row>
    <row r="98" spans="1:45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</row>
    <row r="99" spans="1:45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</row>
    <row r="100" spans="1:45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</row>
    <row r="101" spans="1:45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</row>
    <row r="102" spans="1:45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</row>
    <row r="103" spans="1:45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</row>
    <row r="104" spans="1:45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</row>
    <row r="105" spans="1:4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</row>
    <row r="106" spans="1:45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</row>
    <row r="107" spans="1:45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</row>
    <row r="108" spans="1:45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</row>
    <row r="109" spans="1:45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</row>
    <row r="110" spans="1:45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</row>
    <row r="111" spans="1:45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</row>
    <row r="112" spans="1:45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</row>
    <row r="113" spans="1:45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</row>
    <row r="114" spans="1:45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</row>
    <row r="115" spans="1:4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</row>
    <row r="116" spans="1:45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</row>
    <row r="117" spans="1:45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</row>
    <row r="118" spans="1:45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</row>
    <row r="119" spans="1:45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</row>
    <row r="120" spans="1:45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</row>
    <row r="121" spans="1:45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</row>
    <row r="122" spans="1:45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</row>
    <row r="123" spans="1:45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</row>
    <row r="124" spans="1:45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</row>
    <row r="125" spans="1:4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</row>
    <row r="126" spans="1:45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</row>
    <row r="127" spans="1:45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</row>
    <row r="128" spans="1:45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</row>
    <row r="129" spans="1:45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</row>
    <row r="130" spans="1:45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</row>
    <row r="131" spans="1:45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</row>
    <row r="132" spans="1:45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</row>
    <row r="133" spans="1:45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</row>
    <row r="134" spans="1:45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</row>
    <row r="135" spans="1:4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</row>
    <row r="136" spans="1:45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</row>
    <row r="137" spans="1:45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</row>
    <row r="138" spans="1:45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</row>
    <row r="139" spans="1:45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</row>
    <row r="140" spans="1:45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</row>
    <row r="141" spans="1:45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</row>
    <row r="142" spans="1:45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</row>
    <row r="143" spans="1:45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</row>
    <row r="144" spans="1:45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</row>
    <row r="145" spans="1: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</row>
    <row r="146" spans="1:45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</row>
    <row r="147" spans="1:45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</row>
    <row r="148" spans="1:45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</row>
    <row r="149" spans="1:45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</row>
    <row r="150" spans="1:45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</row>
    <row r="151" spans="1:45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</row>
    <row r="152" spans="1:45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</row>
    <row r="153" spans="1:45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</row>
    <row r="154" spans="1:45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</row>
    <row r="155" spans="1:4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</row>
    <row r="156" spans="1:45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</row>
    <row r="157" spans="1:45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</row>
    <row r="158" spans="1:45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</row>
    <row r="159" spans="1:45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</row>
    <row r="160" spans="1:45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</row>
    <row r="161" spans="1:45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</row>
    <row r="162" spans="1:45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</row>
    <row r="163" spans="1:45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</row>
    <row r="164" spans="1:45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</row>
    <row r="165" spans="1:4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</row>
    <row r="166" spans="1:45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</row>
    <row r="167" spans="1:45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</row>
    <row r="168" spans="1:45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</row>
    <row r="169" spans="1:45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</row>
    <row r="170" spans="1:45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</row>
    <row r="171" spans="1:45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</row>
    <row r="172" spans="1:45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</row>
    <row r="173" spans="1:45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</row>
    <row r="174" spans="1:45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</row>
    <row r="175" spans="1:4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</row>
    <row r="176" spans="1:45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</row>
    <row r="177" spans="1:45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</row>
    <row r="178" spans="1:45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</row>
    <row r="179" spans="1:45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</row>
    <row r="180" spans="1:45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</row>
    <row r="181" spans="1:45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</row>
    <row r="182" spans="1:45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</row>
    <row r="183" spans="1:45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</row>
    <row r="184" spans="1:45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</row>
    <row r="185" spans="1:4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</row>
    <row r="186" spans="1:45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</row>
    <row r="187" spans="1:45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</row>
    <row r="188" spans="1:45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</row>
    <row r="189" spans="1:45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</row>
    <row r="190" spans="1:45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</row>
    <row r="191" spans="1:45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</row>
    <row r="192" spans="1:45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</row>
    <row r="193" spans="1:45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</row>
    <row r="194" spans="1:45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</row>
    <row r="195" spans="1:4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</row>
    <row r="196" spans="1:45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</row>
    <row r="197" spans="1:45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</row>
    <row r="198" spans="1:45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</row>
    <row r="199" spans="1:45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</row>
    <row r="200" spans="1:45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</row>
    <row r="201" spans="1:45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</row>
    <row r="202" spans="1:45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</row>
    <row r="203" spans="1:45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</row>
    <row r="204" spans="1:45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</row>
    <row r="205" spans="1:4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</row>
    <row r="206" spans="1:45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</row>
    <row r="207" spans="1:45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  <c r="AQ207" s="85"/>
      <c r="AR207" s="85"/>
      <c r="AS207" s="85"/>
    </row>
    <row r="208" spans="1:45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  <c r="AQ208" s="85"/>
      <c r="AR208" s="85"/>
      <c r="AS208" s="85"/>
    </row>
    <row r="209" spans="1:45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  <c r="AQ209" s="85"/>
      <c r="AR209" s="85"/>
      <c r="AS209" s="85"/>
    </row>
    <row r="210" spans="1:45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  <c r="AQ210" s="85"/>
      <c r="AR210" s="85"/>
      <c r="AS210" s="85"/>
    </row>
    <row r="211" spans="1:45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  <c r="AQ211" s="85"/>
      <c r="AR211" s="85"/>
      <c r="AS211" s="85"/>
    </row>
    <row r="212" spans="1:45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  <c r="AQ212" s="85"/>
      <c r="AR212" s="85"/>
      <c r="AS212" s="85"/>
    </row>
    <row r="213" spans="1:45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  <c r="AQ213" s="85"/>
      <c r="AR213" s="85"/>
      <c r="AS213" s="85"/>
    </row>
    <row r="214" spans="1:45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  <c r="AQ214" s="85"/>
      <c r="AR214" s="85"/>
      <c r="AS214" s="85"/>
    </row>
    <row r="215" spans="1:4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  <c r="AQ215" s="85"/>
      <c r="AR215" s="85"/>
      <c r="AS215" s="85"/>
    </row>
    <row r="216" spans="1:45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  <c r="AQ216" s="85"/>
      <c r="AR216" s="85"/>
      <c r="AS216" s="85"/>
    </row>
    <row r="217" spans="1:45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  <c r="AQ217" s="85"/>
      <c r="AR217" s="85"/>
      <c r="AS217" s="85"/>
    </row>
    <row r="218" spans="1:45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</row>
    <row r="219" spans="1:45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  <c r="AQ219" s="85"/>
      <c r="AR219" s="85"/>
      <c r="AS219" s="85"/>
    </row>
    <row r="220" spans="1:45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  <c r="AQ220" s="85"/>
      <c r="AR220" s="85"/>
      <c r="AS220" s="85"/>
    </row>
    <row r="221" spans="1:45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  <c r="AQ221" s="85"/>
      <c r="AR221" s="85"/>
      <c r="AS221" s="85"/>
    </row>
    <row r="222" spans="1:45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  <c r="AQ222" s="85"/>
      <c r="AR222" s="85"/>
      <c r="AS222" s="85"/>
    </row>
    <row r="223" spans="1:45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  <c r="AQ223" s="85"/>
      <c r="AR223" s="85"/>
      <c r="AS223" s="85"/>
    </row>
    <row r="224" spans="1:45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  <c r="AQ224" s="85"/>
      <c r="AR224" s="85"/>
      <c r="AS224" s="85"/>
    </row>
    <row r="225" spans="1:4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  <c r="AQ225" s="85"/>
      <c r="AR225" s="85"/>
      <c r="AS225" s="85"/>
    </row>
    <row r="226" spans="1:45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  <c r="AQ226" s="85"/>
      <c r="AR226" s="85"/>
      <c r="AS226" s="85"/>
    </row>
    <row r="227" spans="1:45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  <c r="AQ227" s="85"/>
      <c r="AR227" s="85"/>
      <c r="AS227" s="85"/>
    </row>
    <row r="228" spans="1:45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  <c r="AQ228" s="85"/>
      <c r="AR228" s="85"/>
      <c r="AS228" s="85"/>
    </row>
    <row r="229" spans="1:45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  <c r="AQ229" s="85"/>
      <c r="AR229" s="85"/>
      <c r="AS229" s="85"/>
    </row>
    <row r="230" spans="1:45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  <c r="AQ230" s="85"/>
      <c r="AR230" s="85"/>
      <c r="AS230" s="85"/>
    </row>
    <row r="231" spans="1:45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  <c r="AQ231" s="85"/>
      <c r="AR231" s="85"/>
      <c r="AS231" s="85"/>
    </row>
    <row r="232" spans="1:45" ht="15.75" customHeight="1"/>
    <row r="233" spans="1:45" ht="15.75" customHeight="1"/>
    <row r="234" spans="1:45" ht="15.75" customHeight="1"/>
    <row r="235" spans="1:45" ht="15.75" customHeight="1"/>
    <row r="236" spans="1:45" ht="15.75" customHeight="1"/>
    <row r="237" spans="1:45" ht="15.75" customHeight="1"/>
    <row r="238" spans="1:45" ht="15.75" customHeight="1"/>
    <row r="239" spans="1:45" ht="15.75" customHeight="1"/>
    <row r="240" spans="1:4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3">
    <mergeCell ref="Z26:Z27"/>
    <mergeCell ref="AA26:AA27"/>
    <mergeCell ref="D27:J27"/>
    <mergeCell ref="N27:O27"/>
    <mergeCell ref="D28:J28"/>
    <mergeCell ref="X26:X27"/>
    <mergeCell ref="Y26:Y27"/>
    <mergeCell ref="X4:Y4"/>
    <mergeCell ref="Z4:AA4"/>
    <mergeCell ref="AB4:AC4"/>
    <mergeCell ref="V37:X38"/>
    <mergeCell ref="D30:J30"/>
    <mergeCell ref="D31:J31"/>
    <mergeCell ref="D32:J32"/>
    <mergeCell ref="D33:J33"/>
    <mergeCell ref="R34:T35"/>
    <mergeCell ref="V34:X35"/>
    <mergeCell ref="C35:G35"/>
    <mergeCell ref="D29:J29"/>
    <mergeCell ref="N29:O29"/>
    <mergeCell ref="N34:P35"/>
    <mergeCell ref="N37:P38"/>
    <mergeCell ref="R37:T38"/>
    <mergeCell ref="A1:W1"/>
    <mergeCell ref="A2:W2"/>
    <mergeCell ref="I3:M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R4:S4"/>
    <mergeCell ref="T4:U4"/>
    <mergeCell ref="L17:M18"/>
    <mergeCell ref="E19:G20"/>
    <mergeCell ref="H19:J20"/>
    <mergeCell ref="A9:A12"/>
    <mergeCell ref="A15:A18"/>
    <mergeCell ref="A19:A20"/>
    <mergeCell ref="E9:G9"/>
    <mergeCell ref="E15:G16"/>
    <mergeCell ref="H15:J16"/>
    <mergeCell ref="L15:M16"/>
    <mergeCell ref="A5:A8"/>
    <mergeCell ref="H5:J6"/>
    <mergeCell ref="L5:M6"/>
    <mergeCell ref="L7:M8"/>
    <mergeCell ref="H9:J9"/>
    <mergeCell ref="E5:G6"/>
    <mergeCell ref="N5:U6"/>
    <mergeCell ref="N7:U8"/>
    <mergeCell ref="L9:Q9"/>
    <mergeCell ref="L10:Q10"/>
    <mergeCell ref="L11:Q12"/>
    <mergeCell ref="N15:U16"/>
    <mergeCell ref="N17:U18"/>
    <mergeCell ref="Q26:S26"/>
    <mergeCell ref="T26:U26"/>
    <mergeCell ref="V26:W26"/>
  </mergeCells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AP1005"/>
  <sheetViews>
    <sheetView workbookViewId="0">
      <selection activeCell="L15" sqref="L15:Q16"/>
    </sheetView>
  </sheetViews>
  <sheetFormatPr baseColWidth="10" defaultColWidth="14.3984375" defaultRowHeight="15" customHeight="1"/>
  <cols>
    <col min="1" max="1" width="21.796875" customWidth="1"/>
    <col min="2" max="2" width="7.59765625" customWidth="1"/>
    <col min="3" max="3" width="10.19921875" customWidth="1"/>
    <col min="4" max="10" width="7.59765625" customWidth="1"/>
    <col min="11" max="11" width="12" customWidth="1"/>
    <col min="12" max="12" width="13.3984375" customWidth="1"/>
    <col min="13" max="13" width="16.796875" customWidth="1"/>
    <col min="14" max="14" width="13.3984375" customWidth="1"/>
    <col min="15" max="23" width="7.59765625" customWidth="1"/>
    <col min="24" max="25" width="5.796875" customWidth="1"/>
    <col min="26" max="26" width="9" customWidth="1"/>
    <col min="27" max="27" width="8.796875" customWidth="1"/>
    <col min="28" max="28" width="8.3984375" customWidth="1"/>
    <col min="29" max="29" width="8.19921875" customWidth="1"/>
    <col min="30" max="30" width="10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20" t="s">
        <v>77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22" t="s">
        <v>1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  <c r="O2" s="421"/>
      <c r="P2" s="421"/>
      <c r="Q2" s="421"/>
      <c r="R2" s="421"/>
      <c r="S2" s="421"/>
      <c r="T2" s="421"/>
      <c r="U2" s="421"/>
      <c r="V2" s="421"/>
      <c r="W2" s="421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/>
      <c r="B3" s="7"/>
      <c r="C3" s="7"/>
      <c r="D3" s="7"/>
      <c r="E3" s="7"/>
      <c r="F3" s="7"/>
      <c r="G3" s="7"/>
      <c r="H3" s="7"/>
      <c r="I3" s="423" t="s">
        <v>78</v>
      </c>
      <c r="J3" s="399"/>
      <c r="K3" s="399"/>
      <c r="L3" s="399"/>
      <c r="M3" s="399"/>
      <c r="N3" s="8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424" t="s">
        <v>3</v>
      </c>
      <c r="C4" s="425"/>
      <c r="D4" s="426" t="s">
        <v>4</v>
      </c>
      <c r="E4" s="419"/>
      <c r="F4" s="426" t="s">
        <v>5</v>
      </c>
      <c r="G4" s="419"/>
      <c r="H4" s="424" t="s">
        <v>6</v>
      </c>
      <c r="I4" s="425"/>
      <c r="J4" s="424" t="s">
        <v>7</v>
      </c>
      <c r="K4" s="425"/>
      <c r="L4" s="424" t="s">
        <v>8</v>
      </c>
      <c r="M4" s="425"/>
      <c r="N4" s="424" t="s">
        <v>9</v>
      </c>
      <c r="O4" s="425"/>
      <c r="P4" s="426" t="s">
        <v>10</v>
      </c>
      <c r="Q4" s="397"/>
      <c r="R4" s="426" t="s">
        <v>11</v>
      </c>
      <c r="S4" s="397"/>
      <c r="T4" s="460" t="s">
        <v>12</v>
      </c>
      <c r="U4" s="461"/>
      <c r="V4" s="424" t="s">
        <v>13</v>
      </c>
      <c r="W4" s="425"/>
      <c r="X4" s="462"/>
      <c r="Y4" s="421"/>
      <c r="Z4" s="428"/>
      <c r="AA4" s="421"/>
      <c r="AB4" s="428"/>
      <c r="AC4" s="421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52.5" customHeight="1">
      <c r="A5" s="406" t="s">
        <v>14</v>
      </c>
      <c r="B5" s="456" t="s">
        <v>79</v>
      </c>
      <c r="C5" s="396"/>
      <c r="D5" s="397"/>
      <c r="E5" s="457" t="s">
        <v>80</v>
      </c>
      <c r="F5" s="396"/>
      <c r="G5" s="397"/>
      <c r="H5" s="448" t="s">
        <v>463</v>
      </c>
      <c r="I5" s="396"/>
      <c r="J5" s="397"/>
      <c r="K5" s="13"/>
      <c r="L5" s="12"/>
      <c r="M5" s="20"/>
      <c r="N5" s="20"/>
      <c r="O5" s="20"/>
      <c r="P5" s="20"/>
      <c r="Q5" s="20"/>
      <c r="R5" s="20"/>
      <c r="S5" s="20"/>
      <c r="T5" s="12"/>
      <c r="U5" s="12"/>
      <c r="V5" s="14"/>
      <c r="W5" s="15"/>
      <c r="X5" s="88"/>
      <c r="Y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59.25" customHeight="1">
      <c r="A6" s="408"/>
      <c r="B6" s="398"/>
      <c r="C6" s="399"/>
      <c r="D6" s="400"/>
      <c r="E6" s="398"/>
      <c r="F6" s="399"/>
      <c r="G6" s="400"/>
      <c r="H6" s="399"/>
      <c r="I6" s="399"/>
      <c r="J6" s="400"/>
      <c r="K6" s="17"/>
      <c r="L6" s="16" t="s">
        <v>81</v>
      </c>
      <c r="M6" s="16"/>
      <c r="N6" s="16"/>
      <c r="O6" s="16"/>
      <c r="P6" s="16"/>
      <c r="Q6" s="16"/>
      <c r="R6" s="16"/>
      <c r="S6" s="16"/>
      <c r="T6" s="16"/>
      <c r="U6" s="16"/>
      <c r="V6" s="18"/>
      <c r="W6" s="19"/>
      <c r="X6" s="88"/>
      <c r="Y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52.5" customHeight="1">
      <c r="A7" s="414" t="s">
        <v>21</v>
      </c>
      <c r="B7" s="89"/>
      <c r="C7" s="28"/>
      <c r="D7" s="90"/>
      <c r="E7" s="89"/>
      <c r="F7" s="28"/>
      <c r="G7" s="90"/>
      <c r="H7" s="449" t="s">
        <v>82</v>
      </c>
      <c r="I7" s="396"/>
      <c r="J7" s="397"/>
      <c r="K7" s="14"/>
      <c r="L7" s="459" t="s">
        <v>83</v>
      </c>
      <c r="M7" s="396"/>
      <c r="N7" s="396"/>
      <c r="O7" s="396"/>
      <c r="P7" s="396"/>
      <c r="Q7" s="419"/>
      <c r="W7" s="2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408"/>
      <c r="B8" s="91"/>
      <c r="C8" s="32"/>
      <c r="D8" s="92"/>
      <c r="E8" s="91"/>
      <c r="F8" s="32"/>
      <c r="G8" s="92"/>
      <c r="H8" s="398"/>
      <c r="I8" s="399"/>
      <c r="J8" s="400"/>
      <c r="K8" s="18"/>
      <c r="L8" s="398"/>
      <c r="M8" s="399"/>
      <c r="N8" s="399"/>
      <c r="O8" s="399"/>
      <c r="P8" s="399"/>
      <c r="Q8" s="429"/>
      <c r="V8" s="32"/>
      <c r="W8" s="23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7.25" customHeight="1">
      <c r="A9" s="455" t="s">
        <v>27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93"/>
      <c r="M9" s="93"/>
      <c r="N9" s="93"/>
      <c r="O9" s="93"/>
      <c r="P9" s="93"/>
      <c r="Q9" s="93"/>
      <c r="R9" s="93"/>
      <c r="S9" s="93"/>
      <c r="T9" s="93"/>
      <c r="U9" s="93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7.25" customHeight="1">
      <c r="A10" s="407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7.25" customHeight="1">
      <c r="A11" s="407"/>
      <c r="B11" s="95"/>
      <c r="C11" s="14"/>
      <c r="D11" s="14"/>
      <c r="E11" s="14"/>
      <c r="F11" s="14"/>
      <c r="G11" s="14"/>
      <c r="H11" s="14"/>
      <c r="I11" s="14"/>
      <c r="J11" s="14"/>
      <c r="K11" s="14"/>
      <c r="L11" s="93"/>
      <c r="M11" s="93"/>
      <c r="N11" s="93"/>
      <c r="O11" s="93"/>
      <c r="P11" s="93"/>
      <c r="Q11" s="93"/>
      <c r="R11" s="93"/>
      <c r="S11" s="93"/>
      <c r="T11" s="93"/>
      <c r="U11" s="93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51" customHeight="1">
      <c r="A12" s="408"/>
      <c r="B12" s="31"/>
      <c r="C12" s="18"/>
      <c r="D12" s="18"/>
      <c r="E12" s="18"/>
      <c r="F12" s="18"/>
      <c r="G12" s="18"/>
      <c r="H12" s="18"/>
      <c r="I12" s="18"/>
      <c r="J12" s="18"/>
      <c r="K12" s="18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7.25" customHeight="1">
      <c r="A13" s="415" t="s">
        <v>28</v>
      </c>
      <c r="B13" s="456" t="s">
        <v>84</v>
      </c>
      <c r="C13" s="396"/>
      <c r="D13" s="397"/>
      <c r="E13" s="457" t="s">
        <v>85</v>
      </c>
      <c r="F13" s="396"/>
      <c r="G13" s="397"/>
      <c r="H13" s="448" t="s">
        <v>86</v>
      </c>
      <c r="I13" s="396"/>
      <c r="J13" s="397"/>
      <c r="K13" s="14"/>
      <c r="L13" s="458" t="s">
        <v>87</v>
      </c>
      <c r="M13" s="397"/>
      <c r="N13" s="395" t="s">
        <v>88</v>
      </c>
      <c r="O13" s="396"/>
      <c r="P13" s="396"/>
      <c r="Q13" s="396"/>
      <c r="R13" s="396"/>
      <c r="S13" s="396"/>
      <c r="T13" s="396"/>
      <c r="U13" s="397"/>
      <c r="V13" s="33"/>
      <c r="W13" s="34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54.75" customHeight="1">
      <c r="A14" s="408"/>
      <c r="B14" s="398"/>
      <c r="C14" s="399"/>
      <c r="D14" s="400"/>
      <c r="E14" s="398"/>
      <c r="F14" s="399"/>
      <c r="G14" s="400"/>
      <c r="H14" s="399"/>
      <c r="I14" s="399"/>
      <c r="J14" s="400"/>
      <c r="K14" s="18"/>
      <c r="L14" s="398"/>
      <c r="M14" s="400"/>
      <c r="N14" s="398"/>
      <c r="O14" s="399"/>
      <c r="P14" s="399"/>
      <c r="Q14" s="399"/>
      <c r="R14" s="399"/>
      <c r="S14" s="399"/>
      <c r="T14" s="399"/>
      <c r="U14" s="400"/>
      <c r="V14" s="35"/>
      <c r="W14" s="36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46.5" customHeight="1">
      <c r="A15" s="444" t="s">
        <v>35</v>
      </c>
      <c r="B15" s="28"/>
      <c r="C15" s="28"/>
      <c r="D15" s="28"/>
      <c r="E15" s="89"/>
      <c r="F15" s="28"/>
      <c r="G15" s="90"/>
      <c r="H15" s="449" t="s">
        <v>89</v>
      </c>
      <c r="I15" s="396"/>
      <c r="J15" s="397"/>
      <c r="K15" s="11"/>
      <c r="L15" s="463" t="s">
        <v>90</v>
      </c>
      <c r="M15" s="396"/>
      <c r="N15" s="396"/>
      <c r="O15" s="396"/>
      <c r="P15" s="396"/>
      <c r="Q15" s="419"/>
      <c r="R15" s="11"/>
      <c r="S15" s="11"/>
      <c r="T15" s="11"/>
      <c r="U15" s="11"/>
      <c r="V15" s="33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54" customHeight="1">
      <c r="A16" s="408"/>
      <c r="B16" s="32"/>
      <c r="C16" s="32"/>
      <c r="D16" s="32"/>
      <c r="E16" s="91"/>
      <c r="F16" s="32"/>
      <c r="G16" s="92"/>
      <c r="H16" s="398"/>
      <c r="I16" s="399"/>
      <c r="J16" s="400"/>
      <c r="K16" s="16"/>
      <c r="L16" s="398"/>
      <c r="M16" s="399"/>
      <c r="N16" s="399"/>
      <c r="O16" s="399"/>
      <c r="P16" s="399"/>
      <c r="Q16" s="429"/>
      <c r="R16" s="16"/>
      <c r="S16" s="16"/>
      <c r="T16" s="16"/>
      <c r="U16" s="16"/>
      <c r="V16" s="35"/>
      <c r="W16" s="36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97"/>
      <c r="B17" s="32"/>
      <c r="C17" s="32"/>
      <c r="D17" s="32"/>
      <c r="E17" s="32"/>
      <c r="F17" s="32"/>
      <c r="G17" s="32"/>
      <c r="H17" s="32"/>
      <c r="I17" s="32"/>
      <c r="J17" s="32"/>
      <c r="K17" s="16"/>
      <c r="L17" s="16"/>
      <c r="M17" s="16"/>
      <c r="N17" s="98"/>
      <c r="O17" s="98"/>
      <c r="P17" s="98"/>
      <c r="Q17" s="42"/>
      <c r="R17" s="42"/>
      <c r="S17" s="42"/>
      <c r="T17" s="17"/>
      <c r="U17" s="35"/>
      <c r="V17" s="35"/>
      <c r="W17" s="36"/>
      <c r="X17" s="96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28.5" customHeight="1">
      <c r="A18" s="97"/>
      <c r="B18" s="99"/>
      <c r="C18" s="99"/>
      <c r="D18" s="99"/>
      <c r="E18" s="99"/>
      <c r="F18" s="99"/>
      <c r="G18" s="99"/>
      <c r="H18" s="18"/>
      <c r="I18" s="18"/>
      <c r="J18" s="18"/>
      <c r="K18" s="16"/>
      <c r="L18" s="16"/>
      <c r="M18" s="16"/>
      <c r="N18" s="98"/>
      <c r="O18" s="98"/>
      <c r="P18" s="98"/>
      <c r="Q18" s="42"/>
      <c r="R18" s="42"/>
      <c r="S18" s="42"/>
      <c r="T18" s="17"/>
      <c r="U18" s="35"/>
      <c r="V18" s="35"/>
      <c r="W18" s="36"/>
      <c r="X18" s="9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45" t="s">
        <v>39</v>
      </c>
      <c r="B19" s="46"/>
      <c r="C19" s="47"/>
      <c r="D19" s="47"/>
      <c r="E19" s="47"/>
      <c r="F19" s="47"/>
      <c r="G19" s="47"/>
      <c r="H19" s="47"/>
      <c r="I19" s="47"/>
      <c r="J19" s="4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47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9.5" customHeight="1">
      <c r="A20" s="45" t="s">
        <v>40</v>
      </c>
      <c r="B20" s="4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64"/>
      <c r="T21" s="421"/>
      <c r="U21" s="421"/>
      <c r="V21" s="421"/>
      <c r="W21" s="421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61"/>
      <c r="T22" s="61"/>
      <c r="U22" s="61"/>
      <c r="V22" s="61"/>
      <c r="W22" s="6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61"/>
      <c r="T23" s="61"/>
      <c r="U23" s="61"/>
      <c r="V23" s="61"/>
      <c r="W23" s="6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8.75" customHeight="1">
      <c r="A24" s="51" t="s">
        <v>48</v>
      </c>
      <c r="B24" s="450" t="s">
        <v>51</v>
      </c>
      <c r="C24" s="421"/>
      <c r="D24" s="421"/>
      <c r="E24" s="421"/>
      <c r="F24" s="421"/>
      <c r="G24" s="421"/>
      <c r="H24" s="421"/>
      <c r="I24" s="421"/>
      <c r="J24" s="421"/>
      <c r="K24" s="100" t="s">
        <v>52</v>
      </c>
      <c r="L24" s="101" t="s">
        <v>91</v>
      </c>
      <c r="M24" s="101" t="s">
        <v>92</v>
      </c>
      <c r="N24" s="102" t="s">
        <v>55</v>
      </c>
      <c r="O24" s="102"/>
      <c r="P24" s="103"/>
      <c r="Q24" s="103"/>
      <c r="R24" s="103"/>
      <c r="S24" s="104"/>
      <c r="T24" s="104"/>
      <c r="U24" s="465" t="s">
        <v>41</v>
      </c>
      <c r="V24" s="403"/>
      <c r="W24" s="404"/>
      <c r="X24" s="466" t="s">
        <v>42</v>
      </c>
      <c r="Y24" s="404"/>
      <c r="Z24" s="465" t="s">
        <v>43</v>
      </c>
      <c r="AA24" s="404"/>
      <c r="AB24" s="437" t="s">
        <v>44</v>
      </c>
      <c r="AC24" s="437" t="s">
        <v>45</v>
      </c>
      <c r="AD24" s="437" t="s">
        <v>46</v>
      </c>
      <c r="AE24" s="437" t="s">
        <v>47</v>
      </c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9.5" customHeight="1">
      <c r="A25" s="21" t="s">
        <v>63</v>
      </c>
      <c r="B25" s="105">
        <v>1</v>
      </c>
      <c r="C25" s="106" t="s">
        <v>93</v>
      </c>
      <c r="D25" s="107" t="str">
        <f>VLOOKUP($C25,'DG2562V1.2Courses'!$B$4:$F$99,3,FALSE)</f>
        <v>Critical Reading and Effective Writing</v>
      </c>
      <c r="E25" s="108"/>
      <c r="F25" s="108"/>
      <c r="G25" s="108"/>
      <c r="H25" s="108"/>
      <c r="I25" s="108"/>
      <c r="J25" s="108"/>
      <c r="K25" s="109">
        <f>VLOOKUP($C25,'DG2562V1.2Courses'!$B$4:$F$99,4,FALSE)</f>
        <v>3</v>
      </c>
      <c r="L25" s="51"/>
      <c r="M25" s="51"/>
      <c r="N25" s="103"/>
      <c r="O25" s="103"/>
      <c r="P25" s="103"/>
      <c r="Q25" s="103"/>
      <c r="R25" s="103"/>
      <c r="S25" s="103"/>
      <c r="T25" s="103"/>
      <c r="U25" s="55" t="s">
        <v>56</v>
      </c>
      <c r="V25" s="55" t="s">
        <v>57</v>
      </c>
      <c r="W25" s="55" t="s">
        <v>58</v>
      </c>
      <c r="X25" s="55" t="s">
        <v>59</v>
      </c>
      <c r="Y25" s="55" t="s">
        <v>60</v>
      </c>
      <c r="Z25" s="55" t="s">
        <v>61</v>
      </c>
      <c r="AA25" s="55" t="s">
        <v>62</v>
      </c>
      <c r="AB25" s="408"/>
      <c r="AC25" s="408"/>
      <c r="AD25" s="408"/>
      <c r="AE25" s="408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21" t="s">
        <v>63</v>
      </c>
      <c r="B26" s="110">
        <v>2</v>
      </c>
      <c r="C26" s="111" t="s">
        <v>94</v>
      </c>
      <c r="D26" s="451" t="str">
        <f>VLOOKUP($C26,'DG2562V1.2Courses'!$B$4:$F$99,3,FALSE)</f>
        <v>Introduction to Digital Business</v>
      </c>
      <c r="E26" s="403"/>
      <c r="F26" s="403"/>
      <c r="G26" s="403"/>
      <c r="H26" s="403"/>
      <c r="I26" s="403"/>
      <c r="J26" s="404"/>
      <c r="K26" s="112">
        <f>VLOOKUP($C26,'DG2562V1.2Courses'!$B$4:$F$99,4,FALSE)</f>
        <v>2</v>
      </c>
      <c r="L26" s="51"/>
      <c r="M26" s="51"/>
      <c r="N26" s="452"/>
      <c r="O26" s="421"/>
      <c r="P26" s="421"/>
      <c r="Q26" s="103"/>
      <c r="R26" s="103"/>
      <c r="S26" s="103"/>
      <c r="T26" s="114"/>
      <c r="U26" s="115"/>
      <c r="V26" s="116"/>
      <c r="W26" s="116"/>
      <c r="X26" s="116"/>
      <c r="Y26" s="116"/>
      <c r="Z26" s="117"/>
      <c r="AA26" s="116"/>
      <c r="AB26" s="116"/>
      <c r="AC26" s="118"/>
      <c r="AD26" s="116"/>
      <c r="AE26" s="119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21" t="s">
        <v>63</v>
      </c>
      <c r="B27" s="120">
        <v>3</v>
      </c>
      <c r="C27" s="121" t="s">
        <v>95</v>
      </c>
      <c r="D27" s="453" t="str">
        <f>VLOOKUP($C27,'DG2562V1.2Courses'!$B$4:$F$99,3,FALSE)</f>
        <v>Mathematics for Computer Graphics and Game</v>
      </c>
      <c r="E27" s="403"/>
      <c r="F27" s="403"/>
      <c r="G27" s="403"/>
      <c r="H27" s="403"/>
      <c r="I27" s="403"/>
      <c r="J27" s="404"/>
      <c r="K27" s="112">
        <f>VLOOKUP($C27,'DG2562V1.2Courses'!$B$4:$F$99,4,FALSE)</f>
        <v>3</v>
      </c>
      <c r="L27" s="60" t="s">
        <v>69</v>
      </c>
      <c r="M27" s="51" t="s">
        <v>96</v>
      </c>
      <c r="N27" s="122"/>
      <c r="O27" s="122"/>
      <c r="P27" s="122"/>
      <c r="Q27" s="103"/>
      <c r="R27" s="103"/>
      <c r="S27" s="103"/>
      <c r="T27" s="114"/>
      <c r="U27" s="116"/>
      <c r="V27" s="116"/>
      <c r="W27" s="116"/>
      <c r="X27" s="116"/>
      <c r="Y27" s="116"/>
      <c r="Z27" s="116"/>
      <c r="AA27" s="116"/>
      <c r="AB27" s="116"/>
      <c r="AC27" s="116"/>
      <c r="AD27" s="116"/>
      <c r="AE27" s="123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 t="s">
        <v>63</v>
      </c>
      <c r="B28" s="124">
        <v>4</v>
      </c>
      <c r="C28" s="125" t="s">
        <v>97</v>
      </c>
      <c r="D28" s="454" t="str">
        <f>VLOOKUP($C28,'DG2562V1.2Courses'!$B$4:$F$99,3,FALSE)</f>
        <v>Game Development 1</v>
      </c>
      <c r="E28" s="403"/>
      <c r="F28" s="403"/>
      <c r="G28" s="403"/>
      <c r="H28" s="403"/>
      <c r="I28" s="403"/>
      <c r="J28" s="404"/>
      <c r="K28" s="112">
        <f>VLOOKUP($C28,'DG2562V1.2Courses'!$B$4:$F$99,4,FALSE)</f>
        <v>3</v>
      </c>
      <c r="L28" s="126" t="s">
        <v>98</v>
      </c>
      <c r="M28" s="51" t="s">
        <v>99</v>
      </c>
      <c r="N28" s="122"/>
      <c r="O28" s="122"/>
      <c r="P28" s="122"/>
      <c r="Q28" s="103"/>
      <c r="R28" s="103"/>
      <c r="S28" s="103"/>
      <c r="T28" s="114"/>
      <c r="U28" s="127"/>
      <c r="V28" s="127"/>
      <c r="W28" s="127"/>
      <c r="X28" s="128"/>
      <c r="Y28" s="128"/>
      <c r="Z28" s="128"/>
      <c r="AA28" s="128" t="s">
        <v>100</v>
      </c>
      <c r="AB28" s="128"/>
      <c r="AC28" s="128"/>
      <c r="AD28" s="128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33.75" customHeight="1">
      <c r="A29" s="21" t="s">
        <v>63</v>
      </c>
      <c r="B29" s="129">
        <v>5</v>
      </c>
      <c r="C29" s="130" t="s">
        <v>101</v>
      </c>
      <c r="D29" s="445" t="str">
        <f>VLOOKUP($C29,'DG2562V1.2Courses'!$B$4:$F$99,3,FALSE)</f>
        <v>Digital Game Production</v>
      </c>
      <c r="E29" s="403"/>
      <c r="F29" s="403"/>
      <c r="G29" s="403"/>
      <c r="H29" s="403"/>
      <c r="I29" s="403"/>
      <c r="J29" s="404"/>
      <c r="K29" s="112">
        <f>VLOOKUP($C29,'DG2562V1.2Courses'!$B$4:$F$99,4,FALSE)</f>
        <v>3</v>
      </c>
      <c r="L29" s="51" t="s">
        <v>102</v>
      </c>
      <c r="M29" s="131" t="s">
        <v>103</v>
      </c>
      <c r="N29" s="446"/>
      <c r="O29" s="421"/>
      <c r="P29" s="421"/>
      <c r="Q29" s="421"/>
      <c r="R29" s="103"/>
      <c r="S29" s="103"/>
      <c r="T29" s="114"/>
      <c r="U29" s="132"/>
      <c r="V29" s="132"/>
      <c r="W29" s="132"/>
      <c r="X29" s="133"/>
      <c r="Y29" s="133"/>
      <c r="Z29" s="133"/>
      <c r="AA29" s="133"/>
      <c r="AB29" s="133"/>
      <c r="AC29" s="133"/>
      <c r="AD29" s="133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21" t="s">
        <v>63</v>
      </c>
      <c r="B30" s="134">
        <v>6</v>
      </c>
      <c r="C30" s="135" t="s">
        <v>104</v>
      </c>
      <c r="D30" s="447" t="str">
        <f>VLOOKUP($C30,'DG2562V1.2Courses'!$B$4:$F$99,3,FALSE)</f>
        <v>Graphics Design for Two Dimensional Games</v>
      </c>
      <c r="E30" s="403"/>
      <c r="F30" s="403"/>
      <c r="G30" s="403"/>
      <c r="H30" s="403"/>
      <c r="I30" s="403"/>
      <c r="J30" s="404"/>
      <c r="K30" s="112">
        <f>VLOOKUP($C30,'DG2562V1.2Courses'!$B$4:$F$99,4,FALSE)</f>
        <v>3</v>
      </c>
      <c r="L30" s="51" t="s">
        <v>105</v>
      </c>
      <c r="M30" s="51"/>
      <c r="N30" s="136"/>
      <c r="O30" s="136"/>
      <c r="P30" s="136"/>
      <c r="Q30" s="136"/>
      <c r="R30" s="136"/>
      <c r="S30" s="136"/>
      <c r="T30" s="136"/>
      <c r="U30" s="137"/>
      <c r="V30" s="137"/>
      <c r="W30" s="137"/>
      <c r="X30" s="138">
        <v>1</v>
      </c>
      <c r="Y30" s="138">
        <v>1</v>
      </c>
      <c r="Z30" s="138"/>
      <c r="AA30" s="138"/>
      <c r="AB30" s="138"/>
      <c r="AC30" s="138"/>
      <c r="AD30" s="138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B31" s="139"/>
      <c r="C31" s="439" t="s">
        <v>106</v>
      </c>
      <c r="D31" s="404"/>
      <c r="E31" s="140"/>
      <c r="F31" s="140"/>
      <c r="G31" s="140"/>
      <c r="H31" s="140"/>
      <c r="I31" s="140"/>
      <c r="J31" s="140"/>
      <c r="K31" s="141">
        <v>3</v>
      </c>
      <c r="L31" s="51"/>
      <c r="M31" s="51"/>
      <c r="N31" s="142" t="s">
        <v>107</v>
      </c>
      <c r="O31" s="122"/>
      <c r="P31" s="122"/>
      <c r="Q31" s="103"/>
      <c r="R31" s="103"/>
      <c r="S31" s="103"/>
      <c r="T31" s="114"/>
      <c r="U31" s="132"/>
      <c r="V31" s="132"/>
      <c r="W31" s="132"/>
      <c r="X31" s="133"/>
      <c r="Y31" s="133"/>
      <c r="Z31" s="133"/>
      <c r="AA31" s="133"/>
      <c r="AB31" s="133"/>
      <c r="AC31" s="133"/>
      <c r="AD31" s="133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20">
      <c r="A32" s="21" t="s">
        <v>63</v>
      </c>
      <c r="B32" s="143">
        <v>7</v>
      </c>
      <c r="C32" s="144" t="s">
        <v>108</v>
      </c>
      <c r="D32" s="440" t="str">
        <f>VLOOKUP($C32,'DG2562V1.2Courses'!$B$4:$F$99,3,FALSE)</f>
        <v>Gamification</v>
      </c>
      <c r="E32" s="421"/>
      <c r="F32" s="421"/>
      <c r="G32" s="421"/>
      <c r="H32" s="421"/>
      <c r="I32" s="421"/>
      <c r="J32" s="421"/>
      <c r="K32" s="145">
        <v>3</v>
      </c>
      <c r="L32" s="146" t="s">
        <v>109</v>
      </c>
      <c r="M32" s="51" t="s">
        <v>96</v>
      </c>
      <c r="O32" s="113"/>
      <c r="P32" s="113"/>
      <c r="Q32" s="113"/>
      <c r="R32" s="113"/>
      <c r="S32" s="113"/>
      <c r="T32" s="113"/>
      <c r="U32" s="132"/>
      <c r="V32" s="132"/>
      <c r="W32" s="132"/>
      <c r="X32" s="133"/>
      <c r="Y32" s="133"/>
      <c r="Z32" s="133"/>
      <c r="AA32" s="133"/>
      <c r="AB32" s="133"/>
      <c r="AC32" s="133"/>
      <c r="AD32" s="133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21" t="s">
        <v>63</v>
      </c>
      <c r="B33" s="147"/>
      <c r="C33" s="148"/>
      <c r="D33" s="441"/>
      <c r="E33" s="421"/>
      <c r="F33" s="421"/>
      <c r="G33" s="421"/>
      <c r="H33" s="421"/>
      <c r="I33" s="421"/>
      <c r="J33" s="421"/>
      <c r="K33" s="103">
        <v>3</v>
      </c>
      <c r="L33" s="51" t="s">
        <v>110</v>
      </c>
      <c r="M33" s="21" t="s">
        <v>111</v>
      </c>
      <c r="N33" s="149"/>
      <c r="O33" s="149"/>
      <c r="P33" s="150"/>
      <c r="R33" s="103"/>
      <c r="S33" s="103"/>
      <c r="T33" s="114"/>
      <c r="U33" s="151"/>
      <c r="V33" s="151" t="s">
        <v>112</v>
      </c>
      <c r="W33" s="151"/>
      <c r="X33" s="152"/>
      <c r="Y33" s="153"/>
      <c r="Z33" s="153"/>
      <c r="AA33" s="153"/>
      <c r="AB33" s="153"/>
      <c r="AC33" s="153"/>
      <c r="AD33" s="153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/>
      <c r="B34" s="21"/>
      <c r="C34" s="81" t="s">
        <v>76</v>
      </c>
      <c r="D34" s="442"/>
      <c r="E34" s="421"/>
      <c r="F34" s="421"/>
      <c r="G34" s="421"/>
      <c r="H34" s="421"/>
      <c r="I34" s="421"/>
      <c r="J34" s="421"/>
      <c r="K34" s="154">
        <f>SUM(K25:K31)</f>
        <v>20</v>
      </c>
      <c r="L34" s="155"/>
      <c r="M34" s="61"/>
      <c r="N34" s="61"/>
      <c r="O34" s="61"/>
      <c r="P34" s="61"/>
      <c r="Q34" s="61"/>
      <c r="R34" s="61"/>
      <c r="S34" s="61"/>
      <c r="T34" s="54"/>
      <c r="U34" s="54"/>
      <c r="V34" s="54"/>
      <c r="W34" s="54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5.75" customHeight="1">
      <c r="A35" s="21"/>
      <c r="B35" s="21"/>
      <c r="C35" s="443" t="s">
        <v>113</v>
      </c>
      <c r="D35" s="421"/>
      <c r="E35" s="421"/>
      <c r="F35" s="421"/>
      <c r="G35" s="421"/>
      <c r="H35" s="142"/>
      <c r="I35" s="142"/>
      <c r="J35" s="21"/>
      <c r="K35" s="21"/>
      <c r="L35" s="54"/>
      <c r="M35" s="54"/>
      <c r="N35" s="54"/>
      <c r="O35" s="54"/>
      <c r="P35" s="54"/>
      <c r="Q35" s="61"/>
      <c r="R35" s="61"/>
      <c r="S35" s="61"/>
      <c r="T35" s="54"/>
      <c r="U35" s="54"/>
      <c r="V35" s="54"/>
      <c r="W35" s="54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21"/>
      <c r="B36" s="21"/>
      <c r="C36" s="20"/>
      <c r="D36" s="20"/>
      <c r="E36" s="20"/>
      <c r="F36" s="20"/>
      <c r="G36" s="20"/>
      <c r="H36" s="20"/>
      <c r="I36" s="142"/>
      <c r="J36" s="21"/>
      <c r="K36" s="21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10"/>
      <c r="C37" s="156"/>
      <c r="D37" s="156"/>
      <c r="E37" s="156"/>
      <c r="F37" s="156"/>
      <c r="G37" s="156"/>
      <c r="H37" s="156"/>
      <c r="I37" s="156"/>
      <c r="J37" s="10"/>
      <c r="K37" s="10"/>
      <c r="L37" s="146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8.75" customHeight="1">
      <c r="A38" s="5"/>
      <c r="B38" s="5"/>
      <c r="C38" s="85"/>
      <c r="D38" s="85"/>
      <c r="E38" s="85"/>
      <c r="F38" s="85"/>
      <c r="G38" s="85"/>
      <c r="H38" s="85"/>
      <c r="I38" s="5"/>
      <c r="J38" s="10"/>
      <c r="K38" s="10"/>
      <c r="L38" s="126"/>
      <c r="N38" s="113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10"/>
      <c r="B39" s="5"/>
      <c r="C39" s="5"/>
      <c r="D39" s="5"/>
      <c r="E39" s="5"/>
      <c r="F39" s="5"/>
      <c r="G39" s="5"/>
      <c r="H39" s="5"/>
      <c r="I39" s="5"/>
      <c r="J39" s="10"/>
      <c r="K39" s="10"/>
      <c r="L39" s="126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46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157"/>
      <c r="B41" s="157"/>
      <c r="C41" s="157"/>
      <c r="D41" s="157"/>
      <c r="E41" s="157"/>
      <c r="F41" s="157"/>
      <c r="G41" s="157"/>
      <c r="H41" s="157"/>
      <c r="I41" s="157"/>
      <c r="J41" s="10"/>
      <c r="K41" s="10"/>
      <c r="L41" s="146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157"/>
      <c r="B42" s="157"/>
      <c r="C42" s="157"/>
      <c r="D42" s="157"/>
      <c r="E42" s="157"/>
      <c r="F42" s="157"/>
      <c r="G42" s="157"/>
      <c r="H42" s="157"/>
      <c r="I42" s="157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</row>
    <row r="235" spans="1:42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</row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55">
    <mergeCell ref="AD24:AD25"/>
    <mergeCell ref="AE24:AE25"/>
    <mergeCell ref="L15:Q16"/>
    <mergeCell ref="S21:W21"/>
    <mergeCell ref="U24:W24"/>
    <mergeCell ref="X24:Y24"/>
    <mergeCell ref="Z24:AA24"/>
    <mergeCell ref="AB24:AB25"/>
    <mergeCell ref="AC24:AC25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H7:J8"/>
    <mergeCell ref="L7:Q8"/>
    <mergeCell ref="J4:K4"/>
    <mergeCell ref="L4:M4"/>
    <mergeCell ref="A5:A6"/>
    <mergeCell ref="B5:D6"/>
    <mergeCell ref="E5:G6"/>
    <mergeCell ref="H5:J6"/>
    <mergeCell ref="A7:A8"/>
    <mergeCell ref="A9:A12"/>
    <mergeCell ref="A13:A14"/>
    <mergeCell ref="B13:D14"/>
    <mergeCell ref="E13:G14"/>
    <mergeCell ref="L13:M14"/>
    <mergeCell ref="N13:U14"/>
    <mergeCell ref="A15:A16"/>
    <mergeCell ref="D29:J29"/>
    <mergeCell ref="N29:Q29"/>
    <mergeCell ref="D30:J30"/>
    <mergeCell ref="H13:J14"/>
    <mergeCell ref="H15:J16"/>
    <mergeCell ref="B24:J24"/>
    <mergeCell ref="D26:J26"/>
    <mergeCell ref="N26:P26"/>
    <mergeCell ref="D27:J27"/>
    <mergeCell ref="D28:J28"/>
    <mergeCell ref="C31:D31"/>
    <mergeCell ref="D32:J32"/>
    <mergeCell ref="D33:J33"/>
    <mergeCell ref="D34:J34"/>
    <mergeCell ref="C35:G35"/>
  </mergeCells>
  <pageMargins left="0.25" right="0.25" top="0.75" bottom="0.75" header="0" footer="0"/>
  <pageSetup paperSize="9" fitToHeight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08"/>
  <sheetViews>
    <sheetView workbookViewId="0">
      <selection activeCell="L19" sqref="L19:M20"/>
    </sheetView>
  </sheetViews>
  <sheetFormatPr baseColWidth="10" defaultColWidth="14.3984375" defaultRowHeight="15" customHeight="1"/>
  <cols>
    <col min="1" max="1" width="22" customWidth="1"/>
    <col min="2" max="2" width="10.19921875" customWidth="1"/>
    <col min="3" max="3" width="12.19921875" customWidth="1"/>
    <col min="4" max="4" width="15.796875" customWidth="1"/>
    <col min="5" max="5" width="11.59765625" customWidth="1"/>
    <col min="6" max="9" width="10.19921875" customWidth="1"/>
    <col min="10" max="10" width="15.59765625" customWidth="1"/>
    <col min="11" max="11" width="18.796875" customWidth="1"/>
    <col min="12" max="12" width="14.796875" customWidth="1"/>
    <col min="13" max="13" width="22" customWidth="1"/>
    <col min="14" max="14" width="10.796875" customWidth="1"/>
    <col min="15" max="15" width="21" customWidth="1"/>
    <col min="16" max="18" width="7.59765625" customWidth="1"/>
    <col min="19" max="29" width="9.3984375" customWidth="1"/>
    <col min="30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20" t="s">
        <v>114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22" t="s">
        <v>1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  <c r="O2" s="421"/>
      <c r="P2" s="421"/>
      <c r="Q2" s="421"/>
      <c r="R2" s="421"/>
      <c r="S2" s="421"/>
      <c r="T2" s="421"/>
      <c r="U2" s="421"/>
      <c r="V2" s="421"/>
      <c r="W2" s="421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158" t="s">
        <v>115</v>
      </c>
      <c r="B3" s="158"/>
      <c r="C3" s="158"/>
      <c r="D3" s="158"/>
      <c r="E3" s="158"/>
      <c r="F3" s="158"/>
      <c r="G3" s="423" t="s">
        <v>2</v>
      </c>
      <c r="H3" s="399"/>
      <c r="I3" s="399"/>
      <c r="J3" s="399"/>
      <c r="K3" s="399"/>
      <c r="L3" s="399"/>
      <c r="M3" s="399"/>
      <c r="N3" s="399"/>
      <c r="O3" s="7"/>
      <c r="P3" s="7"/>
      <c r="Q3" s="7"/>
      <c r="R3" s="7"/>
      <c r="S3" s="7"/>
      <c r="T3" s="7"/>
      <c r="U3" s="7"/>
      <c r="V3" s="7"/>
      <c r="W3" s="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424" t="s">
        <v>3</v>
      </c>
      <c r="C4" s="425"/>
      <c r="D4" s="424" t="s">
        <v>4</v>
      </c>
      <c r="E4" s="425"/>
      <c r="F4" s="424" t="s">
        <v>5</v>
      </c>
      <c r="G4" s="425"/>
      <c r="H4" s="424" t="s">
        <v>6</v>
      </c>
      <c r="I4" s="425"/>
      <c r="J4" s="424" t="s">
        <v>7</v>
      </c>
      <c r="K4" s="425"/>
      <c r="L4" s="424" t="s">
        <v>8</v>
      </c>
      <c r="M4" s="425"/>
      <c r="N4" s="424" t="s">
        <v>9</v>
      </c>
      <c r="O4" s="425"/>
      <c r="P4" s="424" t="s">
        <v>10</v>
      </c>
      <c r="Q4" s="404"/>
      <c r="R4" s="460" t="s">
        <v>11</v>
      </c>
      <c r="S4" s="474"/>
      <c r="T4" s="460" t="s">
        <v>12</v>
      </c>
      <c r="U4" s="461"/>
      <c r="V4" s="424" t="s">
        <v>13</v>
      </c>
      <c r="W4" s="425"/>
      <c r="X4" s="462"/>
      <c r="Y4" s="421"/>
      <c r="Z4" s="428"/>
      <c r="AA4" s="421"/>
      <c r="AB4" s="428"/>
      <c r="AC4" s="421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06" t="s">
        <v>14</v>
      </c>
      <c r="K5" s="13"/>
      <c r="L5" s="467" t="str">
        <f>C28 &amp; "/001
" &amp; D28 &amp; "
" &amp; L28 &amp; "
" &amp; M28 &amp; "
" &amp; N28 &amp; " คน
" &amp;O28</f>
        <v xml:space="preserve">958325/001
Artificial Intelligence for Game Development
อ.ดร.ปฏิสนธิ์
C204 - C206
60 คน
 </v>
      </c>
      <c r="M5" s="396"/>
      <c r="N5" s="396"/>
      <c r="O5" s="396"/>
      <c r="P5" s="396"/>
      <c r="Q5" s="397"/>
      <c r="R5" s="12"/>
      <c r="S5" s="12"/>
      <c r="T5" s="12"/>
      <c r="U5" s="12"/>
      <c r="V5" s="14"/>
      <c r="W5" s="15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408"/>
      <c r="K6" s="21"/>
      <c r="L6" s="398"/>
      <c r="M6" s="399"/>
      <c r="N6" s="399"/>
      <c r="O6" s="399"/>
      <c r="P6" s="399"/>
      <c r="Q6" s="400"/>
      <c r="R6" s="20"/>
      <c r="S6" s="20"/>
      <c r="T6" s="20"/>
      <c r="U6" s="20"/>
      <c r="V6" s="26"/>
      <c r="W6" s="27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37.5" customHeight="1">
      <c r="A7" s="414" t="s">
        <v>21</v>
      </c>
      <c r="B7" s="418" t="s">
        <v>116</v>
      </c>
      <c r="C7" s="396"/>
      <c r="D7" s="418" t="s">
        <v>117</v>
      </c>
      <c r="E7" s="396"/>
      <c r="F7" s="396"/>
      <c r="G7" s="396"/>
      <c r="H7" s="396"/>
      <c r="I7" s="396"/>
      <c r="J7" s="396"/>
      <c r="K7" s="396"/>
      <c r="L7" s="473" t="s">
        <v>118</v>
      </c>
      <c r="M7" s="397"/>
      <c r="N7" s="473" t="s">
        <v>119</v>
      </c>
      <c r="O7" s="396"/>
      <c r="P7" s="396"/>
      <c r="Q7" s="396"/>
      <c r="R7" s="396"/>
      <c r="S7" s="396"/>
      <c r="T7" s="396"/>
      <c r="U7" s="397"/>
      <c r="V7" s="13"/>
      <c r="W7" s="2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0.25" customHeight="1">
      <c r="A8" s="407"/>
      <c r="B8" s="398"/>
      <c r="C8" s="399"/>
      <c r="D8" s="398"/>
      <c r="E8" s="399"/>
      <c r="F8" s="399"/>
      <c r="G8" s="399"/>
      <c r="H8" s="399"/>
      <c r="I8" s="399"/>
      <c r="J8" s="399"/>
      <c r="K8" s="399"/>
      <c r="L8" s="398"/>
      <c r="M8" s="400"/>
      <c r="N8" s="398"/>
      <c r="O8" s="399"/>
      <c r="P8" s="399"/>
      <c r="Q8" s="399"/>
      <c r="R8" s="399"/>
      <c r="S8" s="399"/>
      <c r="T8" s="399"/>
      <c r="U8" s="400"/>
      <c r="V8" s="17"/>
      <c r="W8" s="23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38.25" customHeight="1">
      <c r="A9" s="407"/>
      <c r="B9" s="159"/>
      <c r="C9" s="160"/>
      <c r="D9" s="160"/>
      <c r="E9" s="160"/>
      <c r="F9" s="160"/>
      <c r="G9" s="160"/>
      <c r="H9" s="160"/>
      <c r="I9" s="160"/>
      <c r="J9" s="160"/>
      <c r="K9" s="27"/>
      <c r="L9" s="468" t="s">
        <v>120</v>
      </c>
      <c r="M9" s="396"/>
      <c r="N9" s="396"/>
      <c r="O9" s="396"/>
      <c r="P9" s="396"/>
      <c r="Q9" s="396"/>
      <c r="R9" s="160"/>
      <c r="S9" s="160"/>
      <c r="T9" s="160"/>
      <c r="U9" s="160"/>
      <c r="V9" s="21"/>
      <c r="W9" s="22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8.25" customHeight="1">
      <c r="A10" s="408"/>
      <c r="B10" s="41"/>
      <c r="C10" s="42"/>
      <c r="D10" s="42"/>
      <c r="E10" s="42"/>
      <c r="F10" s="42"/>
      <c r="G10" s="42"/>
      <c r="H10" s="42"/>
      <c r="I10" s="42"/>
      <c r="J10" s="42"/>
      <c r="K10" s="161"/>
      <c r="L10" s="398"/>
      <c r="M10" s="399"/>
      <c r="N10" s="399"/>
      <c r="O10" s="399"/>
      <c r="P10" s="399"/>
      <c r="Q10" s="399"/>
      <c r="R10" s="42"/>
      <c r="S10" s="42"/>
      <c r="T10" s="42"/>
      <c r="U10" s="42"/>
      <c r="V10" s="21"/>
      <c r="W10" s="22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51.75" customHeight="1">
      <c r="A11" s="455" t="s">
        <v>27</v>
      </c>
      <c r="D11" s="469" t="s">
        <v>121</v>
      </c>
      <c r="E11" s="396"/>
      <c r="F11" s="396"/>
      <c r="G11" s="396"/>
      <c r="H11" s="396"/>
      <c r="I11" s="396"/>
      <c r="L11" s="89"/>
      <c r="M11" s="28"/>
      <c r="N11" s="28"/>
      <c r="O11" s="28"/>
      <c r="P11" s="28"/>
      <c r="Q11" s="28"/>
      <c r="R11" s="28"/>
      <c r="S11" s="28"/>
      <c r="T11" s="14"/>
      <c r="U11" s="15"/>
      <c r="V11" s="14"/>
      <c r="W11" s="1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6.75" customHeight="1">
      <c r="A12" s="408"/>
      <c r="D12" s="398"/>
      <c r="E12" s="399"/>
      <c r="F12" s="399"/>
      <c r="G12" s="399"/>
      <c r="H12" s="399"/>
      <c r="I12" s="399"/>
      <c r="L12" s="91"/>
      <c r="M12" s="32"/>
      <c r="N12" s="32"/>
      <c r="O12" s="32"/>
      <c r="P12" s="32"/>
      <c r="Q12" s="32"/>
      <c r="R12" s="32"/>
      <c r="S12" s="32"/>
      <c r="T12" s="18"/>
      <c r="U12" s="19"/>
      <c r="V12" s="18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415" t="s">
        <v>28</v>
      </c>
      <c r="B13" s="468" t="s">
        <v>122</v>
      </c>
      <c r="C13" s="396"/>
      <c r="D13" s="396"/>
      <c r="E13" s="396"/>
      <c r="F13" s="396"/>
      <c r="G13" s="396"/>
      <c r="H13" s="396"/>
      <c r="I13" s="396"/>
      <c r="J13" s="396"/>
      <c r="K13" s="396"/>
      <c r="L13" s="395" t="str">
        <f>C27 &amp; "/sec.001 
" &amp; D27 &amp; " 
" &amp;L27 &amp; "
" &amp; N27 &amp; " คน
" &amp; M27 &amp; "
" &amp; O27</f>
        <v xml:space="preserve">958321/sec.001 
Game Development 3 
อ.ดร.เกียรติกร
60 คน
ILC - C204+C206
 </v>
      </c>
      <c r="M13" s="397"/>
      <c r="N13" s="458" t="s">
        <v>123</v>
      </c>
      <c r="O13" s="396"/>
      <c r="P13" s="396"/>
      <c r="Q13" s="396"/>
      <c r="R13" s="396"/>
      <c r="S13" s="396"/>
      <c r="T13" s="396"/>
      <c r="U13" s="397"/>
      <c r="V13" s="33"/>
      <c r="W13" s="34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1.25" customHeight="1">
      <c r="A14" s="407"/>
      <c r="B14" s="398"/>
      <c r="C14" s="399"/>
      <c r="D14" s="399"/>
      <c r="E14" s="399"/>
      <c r="F14" s="399"/>
      <c r="G14" s="399"/>
      <c r="H14" s="399"/>
      <c r="I14" s="399"/>
      <c r="J14" s="399"/>
      <c r="K14" s="399"/>
      <c r="L14" s="398"/>
      <c r="M14" s="400"/>
      <c r="N14" s="398"/>
      <c r="O14" s="399"/>
      <c r="P14" s="399"/>
      <c r="Q14" s="399"/>
      <c r="R14" s="399"/>
      <c r="S14" s="399"/>
      <c r="T14" s="399"/>
      <c r="U14" s="400"/>
      <c r="V14" s="35"/>
      <c r="W14" s="36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3.25" customHeight="1">
      <c r="A15" s="407"/>
      <c r="B15" s="89"/>
      <c r="C15" s="28"/>
      <c r="D15" s="28"/>
      <c r="E15" s="28"/>
      <c r="F15" s="28"/>
      <c r="G15" s="28"/>
      <c r="H15" s="28"/>
      <c r="I15" s="28"/>
      <c r="J15" s="28"/>
      <c r="K15" s="28"/>
      <c r="L15" s="89"/>
      <c r="M15" s="28"/>
      <c r="N15" s="28"/>
      <c r="O15" s="28"/>
      <c r="P15" s="28"/>
      <c r="Q15" s="28"/>
      <c r="R15" s="28"/>
      <c r="S15" s="28"/>
      <c r="T15" s="14"/>
      <c r="U15" s="15"/>
      <c r="V15" s="89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48.75" customHeight="1">
      <c r="A16" s="408"/>
      <c r="B16" s="91"/>
      <c r="C16" s="32"/>
      <c r="D16" s="32"/>
      <c r="E16" s="32"/>
      <c r="F16" s="32"/>
      <c r="G16" s="32"/>
      <c r="H16" s="32"/>
      <c r="I16" s="32"/>
      <c r="J16" s="32"/>
      <c r="K16" s="32"/>
      <c r="L16" s="91"/>
      <c r="M16" s="32"/>
      <c r="N16" s="32"/>
      <c r="O16" s="32"/>
      <c r="P16" s="32"/>
      <c r="Q16" s="32"/>
      <c r="R16" s="32"/>
      <c r="S16" s="32"/>
      <c r="T16" s="18"/>
      <c r="U16" s="19"/>
      <c r="V16" s="91"/>
      <c r="W16" s="38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3" customHeight="1">
      <c r="A17" s="444" t="s">
        <v>35</v>
      </c>
      <c r="B17" s="160"/>
      <c r="C17" s="160"/>
      <c r="D17" s="160"/>
      <c r="E17" s="162"/>
      <c r="F17" s="163"/>
      <c r="G17" s="163"/>
      <c r="H17" s="163"/>
      <c r="I17" s="163"/>
      <c r="J17" s="164"/>
      <c r="M17" s="470" t="s">
        <v>124</v>
      </c>
      <c r="N17" s="396"/>
      <c r="O17" s="396"/>
      <c r="P17" s="396"/>
      <c r="Q17" s="396"/>
      <c r="R17" s="396"/>
      <c r="S17" s="13"/>
      <c r="T17" s="13"/>
      <c r="U17" s="33"/>
      <c r="V17" s="89"/>
      <c r="W17" s="90"/>
      <c r="X17" s="96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8.75" customHeight="1">
      <c r="A18" s="407"/>
      <c r="B18" s="160"/>
      <c r="C18" s="160"/>
      <c r="D18" s="160"/>
      <c r="E18" s="165"/>
      <c r="F18" s="166"/>
      <c r="G18" s="166"/>
      <c r="H18" s="166"/>
      <c r="I18" s="166"/>
      <c r="J18" s="167"/>
      <c r="M18" s="398"/>
      <c r="N18" s="399"/>
      <c r="O18" s="399"/>
      <c r="P18" s="399"/>
      <c r="Q18" s="399"/>
      <c r="R18" s="399"/>
      <c r="S18" s="17"/>
      <c r="T18" s="17"/>
      <c r="U18" s="35"/>
      <c r="V18" s="168"/>
      <c r="W18" s="169"/>
      <c r="X18" s="96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28.5" customHeight="1">
      <c r="A19" s="407"/>
      <c r="B19" s="471" t="s">
        <v>125</v>
      </c>
      <c r="C19" s="396"/>
      <c r="D19" s="396"/>
      <c r="E19" s="396"/>
      <c r="F19" s="396"/>
      <c r="G19" s="396"/>
      <c r="H19" s="396"/>
      <c r="I19" s="396"/>
      <c r="J19" s="396"/>
      <c r="K19" s="396"/>
      <c r="L19" s="472" t="s">
        <v>469</v>
      </c>
      <c r="M19" s="396"/>
      <c r="N19" s="486" t="s">
        <v>126</v>
      </c>
      <c r="O19" s="396"/>
      <c r="P19" s="396"/>
      <c r="Q19" s="396"/>
      <c r="R19" s="396"/>
      <c r="S19" s="396"/>
      <c r="T19" s="396"/>
      <c r="U19" s="419"/>
      <c r="V19" s="168"/>
      <c r="W19" s="169"/>
      <c r="X19" s="96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6.5" customHeight="1">
      <c r="A20" s="408"/>
      <c r="B20" s="398"/>
      <c r="C20" s="399"/>
      <c r="D20" s="399"/>
      <c r="E20" s="399"/>
      <c r="F20" s="399"/>
      <c r="G20" s="399"/>
      <c r="H20" s="399"/>
      <c r="I20" s="399"/>
      <c r="J20" s="399"/>
      <c r="K20" s="399"/>
      <c r="L20" s="399"/>
      <c r="M20" s="399"/>
      <c r="N20" s="398"/>
      <c r="O20" s="399"/>
      <c r="P20" s="399"/>
      <c r="Q20" s="399"/>
      <c r="R20" s="399"/>
      <c r="S20" s="399"/>
      <c r="T20" s="399"/>
      <c r="U20" s="429"/>
      <c r="V20" s="91"/>
      <c r="W20" s="92"/>
      <c r="X20" s="96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5" t="s">
        <v>39</v>
      </c>
      <c r="B21" s="46"/>
      <c r="C21" s="47"/>
      <c r="D21" s="47"/>
      <c r="E21" s="47"/>
      <c r="F21" s="47"/>
      <c r="G21" s="47"/>
      <c r="H21" s="47"/>
      <c r="I21" s="47"/>
      <c r="J21" s="47"/>
      <c r="K21" s="47"/>
      <c r="L21" s="7"/>
      <c r="M21" s="7"/>
      <c r="N21" s="7"/>
      <c r="O21" s="7"/>
      <c r="P21" s="7"/>
      <c r="Q21" s="7"/>
      <c r="R21" s="7"/>
      <c r="S21" s="7"/>
      <c r="T21" s="7"/>
      <c r="U21" s="7"/>
      <c r="V21" s="47"/>
      <c r="W21" s="47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5" t="s">
        <v>40</v>
      </c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1"/>
      <c r="V23" s="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402" t="s">
        <v>41</v>
      </c>
      <c r="T25" s="403"/>
      <c r="U25" s="404"/>
      <c r="V25" s="402" t="s">
        <v>42</v>
      </c>
      <c r="W25" s="404"/>
      <c r="X25" s="402" t="s">
        <v>43</v>
      </c>
      <c r="Y25" s="404"/>
      <c r="Z25" s="437" t="s">
        <v>44</v>
      </c>
      <c r="AA25" s="437" t="s">
        <v>45</v>
      </c>
      <c r="AB25" s="437" t="s">
        <v>46</v>
      </c>
      <c r="AC25" s="437" t="s">
        <v>47</v>
      </c>
      <c r="AD25" s="5"/>
      <c r="AE25" s="5"/>
      <c r="AF25" s="5"/>
      <c r="AG25" s="5"/>
      <c r="AH25" s="5"/>
      <c r="AI25" s="5"/>
      <c r="AJ25" s="5"/>
      <c r="AK25" s="5"/>
      <c r="AL25" s="6"/>
      <c r="AM25" s="6"/>
      <c r="AN25" s="5"/>
      <c r="AO25" s="5"/>
      <c r="AP25" s="5"/>
    </row>
    <row r="26" spans="1:42" ht="30.75" customHeight="1">
      <c r="A26" s="51" t="s">
        <v>48</v>
      </c>
      <c r="D26" s="170" t="s">
        <v>127</v>
      </c>
      <c r="E26" s="450" t="s">
        <v>51</v>
      </c>
      <c r="F26" s="421"/>
      <c r="G26" s="421"/>
      <c r="H26" s="421"/>
      <c r="I26" s="421"/>
      <c r="J26" s="100"/>
      <c r="K26" s="100"/>
      <c r="L26" s="101" t="s">
        <v>91</v>
      </c>
      <c r="M26" s="101" t="s">
        <v>92</v>
      </c>
      <c r="N26" s="171" t="s">
        <v>128</v>
      </c>
      <c r="O26" s="102" t="s">
        <v>55</v>
      </c>
      <c r="P26" s="102"/>
      <c r="R26" s="61"/>
      <c r="S26" s="55" t="s">
        <v>56</v>
      </c>
      <c r="T26" s="55" t="s">
        <v>57</v>
      </c>
      <c r="U26" s="55" t="s">
        <v>58</v>
      </c>
      <c r="V26" s="55" t="s">
        <v>59</v>
      </c>
      <c r="W26" s="55" t="s">
        <v>60</v>
      </c>
      <c r="X26" s="55" t="s">
        <v>61</v>
      </c>
      <c r="Y26" s="55" t="s">
        <v>62</v>
      </c>
      <c r="Z26" s="408"/>
      <c r="AA26" s="408"/>
      <c r="AB26" s="408"/>
      <c r="AC26" s="408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9.5" customHeight="1">
      <c r="A27" s="21" t="s">
        <v>63</v>
      </c>
      <c r="B27" s="172">
        <v>1</v>
      </c>
      <c r="C27" s="173">
        <v>958321</v>
      </c>
      <c r="D27" s="478" t="s">
        <v>129</v>
      </c>
      <c r="E27" s="421"/>
      <c r="F27" s="421"/>
      <c r="G27" s="421"/>
      <c r="H27" s="421"/>
      <c r="I27" s="421"/>
      <c r="J27" s="174">
        <v>3</v>
      </c>
      <c r="K27" s="175" t="s">
        <v>130</v>
      </c>
      <c r="L27" s="146" t="s">
        <v>131</v>
      </c>
      <c r="M27" s="176" t="s">
        <v>132</v>
      </c>
      <c r="N27" s="113">
        <v>60</v>
      </c>
      <c r="O27" s="177" t="s">
        <v>133</v>
      </c>
      <c r="P27" s="178"/>
      <c r="S27" s="116"/>
      <c r="T27" s="116"/>
      <c r="U27" s="116"/>
      <c r="V27" s="116"/>
      <c r="W27" s="116"/>
      <c r="X27" s="117"/>
      <c r="Y27" s="116"/>
      <c r="Z27" s="116"/>
      <c r="AA27" s="118"/>
      <c r="AB27" s="118"/>
      <c r="AC27" s="119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 t="s">
        <v>63</v>
      </c>
      <c r="B28" s="179">
        <v>2</v>
      </c>
      <c r="C28" s="180">
        <v>958325</v>
      </c>
      <c r="D28" s="479" t="s">
        <v>134</v>
      </c>
      <c r="E28" s="421"/>
      <c r="F28" s="421"/>
      <c r="G28" s="421"/>
      <c r="H28" s="421"/>
      <c r="I28" s="421"/>
      <c r="J28" s="181">
        <v>3</v>
      </c>
      <c r="K28" s="182" t="s">
        <v>130</v>
      </c>
      <c r="L28" s="126" t="s">
        <v>98</v>
      </c>
      <c r="M28" s="183" t="s">
        <v>135</v>
      </c>
      <c r="N28" s="113">
        <v>60</v>
      </c>
      <c r="O28" s="177" t="s">
        <v>133</v>
      </c>
      <c r="P28" s="178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23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49">
      <c r="A29" s="21" t="s">
        <v>63</v>
      </c>
      <c r="B29" s="184">
        <v>3</v>
      </c>
      <c r="C29" s="185">
        <v>958331</v>
      </c>
      <c r="D29" s="480" t="s">
        <v>136</v>
      </c>
      <c r="E29" s="421"/>
      <c r="F29" s="421"/>
      <c r="G29" s="421"/>
      <c r="H29" s="421"/>
      <c r="I29" s="421"/>
      <c r="J29" s="186">
        <v>3</v>
      </c>
      <c r="K29" s="187" t="s">
        <v>130</v>
      </c>
      <c r="L29" s="126" t="s">
        <v>137</v>
      </c>
      <c r="M29" s="183" t="s">
        <v>138</v>
      </c>
      <c r="N29" s="113" t="s">
        <v>139</v>
      </c>
      <c r="O29" s="177" t="s">
        <v>140</v>
      </c>
      <c r="P29" s="178"/>
      <c r="S29" s="188"/>
      <c r="T29" s="188" t="s">
        <v>141</v>
      </c>
      <c r="U29" s="188"/>
      <c r="V29" s="188"/>
      <c r="W29" s="188"/>
      <c r="X29" s="188"/>
      <c r="Y29" s="188"/>
      <c r="Z29" s="188"/>
      <c r="AA29" s="188"/>
      <c r="AB29" s="188"/>
      <c r="AC29" s="138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B30" s="481" t="s">
        <v>107</v>
      </c>
      <c r="C30" s="421"/>
      <c r="D30" s="189" t="s">
        <v>106</v>
      </c>
      <c r="E30" s="482"/>
      <c r="F30" s="421"/>
      <c r="G30" s="421"/>
      <c r="H30" s="421"/>
      <c r="I30" s="421"/>
      <c r="J30" s="190">
        <v>6</v>
      </c>
      <c r="K30" s="191"/>
      <c r="L30" s="146"/>
      <c r="M30" s="183"/>
      <c r="N30" s="113"/>
      <c r="O30" s="192"/>
      <c r="P30" s="178"/>
      <c r="R30" s="150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33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21" t="s">
        <v>63</v>
      </c>
      <c r="B31" s="193" t="s">
        <v>133</v>
      </c>
      <c r="C31" s="194">
        <v>958341</v>
      </c>
      <c r="D31" s="483" t="s">
        <v>142</v>
      </c>
      <c r="E31" s="421"/>
      <c r="F31" s="421"/>
      <c r="G31" s="421"/>
      <c r="H31" s="421"/>
      <c r="I31" s="421"/>
      <c r="J31" s="195">
        <v>3</v>
      </c>
      <c r="K31" s="196" t="s">
        <v>130</v>
      </c>
      <c r="L31" s="146" t="s">
        <v>131</v>
      </c>
      <c r="M31" s="183" t="s">
        <v>143</v>
      </c>
      <c r="N31" s="113">
        <v>30</v>
      </c>
      <c r="O31" s="192" t="s">
        <v>144</v>
      </c>
      <c r="P31" s="178"/>
      <c r="R31" s="150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33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21" t="s">
        <v>63</v>
      </c>
      <c r="B32" s="193">
        <v>4</v>
      </c>
      <c r="C32" s="197">
        <v>958481</v>
      </c>
      <c r="D32" s="484" t="s">
        <v>133</v>
      </c>
      <c r="E32" s="421"/>
      <c r="F32" s="421"/>
      <c r="G32" s="421"/>
      <c r="H32" s="421"/>
      <c r="I32" s="421"/>
      <c r="J32" s="198">
        <v>3</v>
      </c>
      <c r="K32" s="199" t="s">
        <v>145</v>
      </c>
      <c r="L32" s="146" t="s">
        <v>131</v>
      </c>
      <c r="M32" s="183" t="s">
        <v>143</v>
      </c>
      <c r="N32" s="113">
        <v>30</v>
      </c>
      <c r="O32" s="192" t="s">
        <v>146</v>
      </c>
      <c r="P32" s="178"/>
      <c r="R32" s="150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33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8.75" customHeight="1">
      <c r="A33" s="21" t="s">
        <v>63</v>
      </c>
      <c r="B33" s="200">
        <v>5</v>
      </c>
      <c r="C33" s="201">
        <v>958441</v>
      </c>
      <c r="D33" s="485" t="s">
        <v>147</v>
      </c>
      <c r="E33" s="421"/>
      <c r="F33" s="421"/>
      <c r="G33" s="421"/>
      <c r="H33" s="421"/>
      <c r="I33" s="421"/>
      <c r="J33" s="202">
        <v>3</v>
      </c>
      <c r="K33" s="203" t="s">
        <v>130</v>
      </c>
      <c r="L33" s="146" t="s">
        <v>109</v>
      </c>
      <c r="M33" s="183" t="s">
        <v>148</v>
      </c>
      <c r="N33" s="113">
        <v>30</v>
      </c>
      <c r="O33" s="192"/>
      <c r="P33" s="178"/>
      <c r="R33" s="150"/>
      <c r="S33" s="204"/>
      <c r="T33" s="204" t="s">
        <v>149</v>
      </c>
      <c r="U33" s="204"/>
      <c r="V33" s="204"/>
      <c r="W33" s="204"/>
      <c r="X33" s="204"/>
      <c r="Y33" s="204"/>
      <c r="Z33" s="204"/>
      <c r="AA33" s="204"/>
      <c r="AB33" s="204"/>
      <c r="AC33" s="205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 t="s">
        <v>150</v>
      </c>
      <c r="B34" s="206">
        <v>6</v>
      </c>
      <c r="C34" s="207">
        <v>958481</v>
      </c>
      <c r="D34" s="475" t="s">
        <v>151</v>
      </c>
      <c r="E34" s="421"/>
      <c r="F34" s="421"/>
      <c r="G34" s="421"/>
      <c r="H34" s="421"/>
      <c r="I34" s="421"/>
      <c r="J34" s="208">
        <v>3</v>
      </c>
      <c r="K34" s="209" t="s">
        <v>130</v>
      </c>
      <c r="L34" s="146" t="s">
        <v>110</v>
      </c>
      <c r="M34" s="210" t="s">
        <v>152</v>
      </c>
      <c r="N34" s="113">
        <v>25</v>
      </c>
      <c r="O34" s="192"/>
      <c r="P34" s="178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33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21" t="s">
        <v>63</v>
      </c>
      <c r="B35" s="211">
        <v>7</v>
      </c>
      <c r="C35" s="212">
        <v>958481</v>
      </c>
      <c r="D35" s="476" t="s">
        <v>153</v>
      </c>
      <c r="E35" s="421"/>
      <c r="F35" s="421"/>
      <c r="G35" s="421"/>
      <c r="H35" s="421"/>
      <c r="I35" s="421"/>
      <c r="J35" s="213">
        <v>3</v>
      </c>
      <c r="K35" s="214" t="s">
        <v>154</v>
      </c>
      <c r="L35" s="215" t="s">
        <v>105</v>
      </c>
      <c r="M35" s="210" t="s">
        <v>155</v>
      </c>
      <c r="N35" s="113">
        <v>60</v>
      </c>
      <c r="O35" s="192"/>
      <c r="P35" s="178"/>
      <c r="S35" s="216"/>
      <c r="T35" s="216"/>
      <c r="U35" s="216"/>
      <c r="V35" s="216"/>
      <c r="W35" s="216"/>
      <c r="X35" s="216" t="s">
        <v>156</v>
      </c>
      <c r="Y35" s="216"/>
      <c r="Z35" s="216"/>
      <c r="AA35" s="216"/>
      <c r="AB35" s="216"/>
      <c r="AC35" s="217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21" t="s">
        <v>63</v>
      </c>
      <c r="B36" s="218">
        <v>8</v>
      </c>
      <c r="C36" s="219">
        <v>951212</v>
      </c>
      <c r="D36" s="477" t="s">
        <v>157</v>
      </c>
      <c r="E36" s="421"/>
      <c r="F36" s="421"/>
      <c r="G36" s="421"/>
      <c r="H36" s="421"/>
      <c r="I36" s="421"/>
      <c r="J36" s="220">
        <v>3</v>
      </c>
      <c r="K36" s="221" t="s">
        <v>130</v>
      </c>
      <c r="L36" s="146" t="s">
        <v>158</v>
      </c>
      <c r="M36" s="183" t="s">
        <v>159</v>
      </c>
      <c r="N36" s="113">
        <v>25</v>
      </c>
      <c r="O36" s="222" t="s">
        <v>160</v>
      </c>
      <c r="P36" s="223"/>
      <c r="Q36" s="223"/>
      <c r="S36" s="224"/>
      <c r="T36" s="115"/>
      <c r="U36" s="115"/>
      <c r="V36" s="115"/>
      <c r="W36" s="115"/>
      <c r="X36" s="115"/>
      <c r="Y36" s="115"/>
      <c r="Z36" s="115"/>
      <c r="AA36" s="115"/>
      <c r="AB36" s="115"/>
      <c r="AC36" s="133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21"/>
      <c r="B37" s="21"/>
      <c r="C37" s="81" t="s">
        <v>76</v>
      </c>
      <c r="E37" s="83"/>
      <c r="F37" s="83"/>
      <c r="G37" s="83"/>
      <c r="H37" s="83"/>
      <c r="I37" s="83"/>
      <c r="J37" s="83">
        <f>SUM(J27:J30)</f>
        <v>15</v>
      </c>
      <c r="L37" s="155"/>
      <c r="M37" s="61"/>
      <c r="N37" s="61"/>
      <c r="O37" s="61"/>
      <c r="P37" s="61"/>
      <c r="Q37" s="61"/>
      <c r="R37" s="61"/>
      <c r="S37" s="61"/>
      <c r="T37" s="54"/>
      <c r="U37" s="54"/>
      <c r="V37" s="54"/>
      <c r="W37" s="54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5.75" customHeight="1">
      <c r="A38" s="21"/>
      <c r="B38" s="21"/>
      <c r="C38" s="443" t="s">
        <v>113</v>
      </c>
      <c r="D38" s="421"/>
      <c r="E38" s="421"/>
      <c r="F38" s="421"/>
      <c r="G38" s="421"/>
      <c r="H38" s="142"/>
      <c r="I38" s="142"/>
      <c r="J38" s="21"/>
      <c r="K38" s="21"/>
      <c r="L38" s="54"/>
      <c r="M38" s="54"/>
      <c r="N38" s="54"/>
      <c r="O38" s="54"/>
      <c r="P38" s="54"/>
      <c r="Q38" s="61"/>
      <c r="R38" s="61"/>
      <c r="S38" s="61"/>
      <c r="T38" s="54"/>
      <c r="U38" s="54"/>
      <c r="V38" s="54"/>
      <c r="W38" s="54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8.75" customHeight="1">
      <c r="A39" s="21"/>
      <c r="B39" s="10"/>
      <c r="C39" s="156"/>
      <c r="D39" s="156"/>
      <c r="E39" s="156"/>
      <c r="F39" s="156"/>
      <c r="G39" s="156"/>
      <c r="H39" s="156"/>
      <c r="I39" s="156"/>
      <c r="J39" s="10"/>
      <c r="K39" s="10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8.75" customHeight="1">
      <c r="A40" s="10"/>
      <c r="B40" s="10"/>
      <c r="C40" s="156"/>
      <c r="D40" s="156"/>
      <c r="E40" s="156"/>
      <c r="F40" s="156"/>
      <c r="G40" s="156"/>
      <c r="H40" s="156"/>
      <c r="I40" s="156"/>
      <c r="J40" s="10"/>
      <c r="K40" s="10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8.75" customHeight="1">
      <c r="A41" s="5"/>
      <c r="B41" s="5"/>
      <c r="C41" s="85"/>
      <c r="D41" s="85"/>
      <c r="E41" s="85"/>
      <c r="F41" s="85"/>
      <c r="G41" s="85"/>
      <c r="H41" s="85"/>
      <c r="I41" s="5"/>
      <c r="J41" s="10"/>
      <c r="K41" s="10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8.75" customHeight="1">
      <c r="A42" s="10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157"/>
      <c r="B43" s="157"/>
      <c r="C43" s="157"/>
      <c r="D43" s="157"/>
      <c r="E43" s="157"/>
      <c r="F43" s="157"/>
      <c r="G43" s="157"/>
      <c r="H43" s="157"/>
      <c r="I43" s="157"/>
      <c r="J43" s="10"/>
      <c r="K43" s="10"/>
      <c r="L43" s="10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157"/>
      <c r="B44" s="157"/>
      <c r="C44" s="157"/>
      <c r="D44" s="157"/>
      <c r="E44" s="157"/>
      <c r="F44" s="157"/>
      <c r="G44" s="157"/>
      <c r="H44" s="157"/>
      <c r="I44" s="157"/>
      <c r="J44" s="10"/>
      <c r="K44" s="10"/>
      <c r="L44" s="10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157"/>
      <c r="B45" s="157"/>
      <c r="C45" s="157" t="s">
        <v>161</v>
      </c>
      <c r="D45" s="225" t="str">
        <f>C27 &amp; " " &amp; D27</f>
        <v>958321 Game Development 3</v>
      </c>
      <c r="E45" s="157"/>
      <c r="F45" s="157"/>
      <c r="G45" s="157"/>
      <c r="H45" s="157"/>
      <c r="I45" s="157"/>
      <c r="J45" s="10"/>
      <c r="K45" s="10"/>
      <c r="L45" s="10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  <c r="AA53" s="54"/>
      <c r="AB53" s="54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  <c r="AA54" s="54"/>
      <c r="AB54" s="54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</row>
    <row r="235" spans="1:42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</row>
    <row r="236" spans="1:42" ht="15.7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5"/>
      <c r="AN236" s="85"/>
      <c r="AO236" s="85"/>
      <c r="AP236" s="85"/>
    </row>
    <row r="237" spans="1:42" ht="15.7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  <c r="AI237" s="85"/>
      <c r="AJ237" s="85"/>
      <c r="AK237" s="85"/>
      <c r="AL237" s="85"/>
      <c r="AM237" s="85"/>
      <c r="AN237" s="85"/>
      <c r="AO237" s="85"/>
      <c r="AP237" s="85"/>
    </row>
    <row r="238" spans="1:42" ht="15.7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5"/>
      <c r="AN238" s="85"/>
      <c r="AO238" s="85"/>
      <c r="AP238" s="85"/>
    </row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56">
    <mergeCell ref="N19:U20"/>
    <mergeCell ref="V25:W25"/>
    <mergeCell ref="X25:Y25"/>
    <mergeCell ref="Z25:Z26"/>
    <mergeCell ref="AA25:AA26"/>
    <mergeCell ref="AB25:AB26"/>
    <mergeCell ref="AC25:AC26"/>
    <mergeCell ref="D31:I31"/>
    <mergeCell ref="D32:I32"/>
    <mergeCell ref="D33:I33"/>
    <mergeCell ref="D34:I34"/>
    <mergeCell ref="D35:I35"/>
    <mergeCell ref="D36:I36"/>
    <mergeCell ref="C38:G38"/>
    <mergeCell ref="S25:U25"/>
    <mergeCell ref="E26:I26"/>
    <mergeCell ref="D27:I27"/>
    <mergeCell ref="D28:I28"/>
    <mergeCell ref="D29:I29"/>
    <mergeCell ref="B30:C30"/>
    <mergeCell ref="E30:I30"/>
    <mergeCell ref="AB4:AC4"/>
    <mergeCell ref="A1:W1"/>
    <mergeCell ref="A2:W2"/>
    <mergeCell ref="G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X4:Y4"/>
    <mergeCell ref="N7:U8"/>
    <mergeCell ref="A7:A10"/>
    <mergeCell ref="A11:A12"/>
    <mergeCell ref="A13:A16"/>
    <mergeCell ref="Z4:AA4"/>
    <mergeCell ref="A17:A20"/>
    <mergeCell ref="J4:K4"/>
    <mergeCell ref="L4:M4"/>
    <mergeCell ref="A5:A6"/>
    <mergeCell ref="L5:Q6"/>
    <mergeCell ref="B7:C8"/>
    <mergeCell ref="D7:K8"/>
    <mergeCell ref="L9:Q10"/>
    <mergeCell ref="D11:I12"/>
    <mergeCell ref="B13:K14"/>
    <mergeCell ref="L13:M14"/>
    <mergeCell ref="N13:U14"/>
    <mergeCell ref="M17:R18"/>
    <mergeCell ref="B19:K20"/>
    <mergeCell ref="L19:M20"/>
    <mergeCell ref="L7:M8"/>
  </mergeCells>
  <pageMargins left="0.25" right="0.25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03"/>
  <sheetViews>
    <sheetView workbookViewId="0">
      <selection sqref="A1:W1"/>
    </sheetView>
  </sheetViews>
  <sheetFormatPr baseColWidth="10" defaultColWidth="14.3984375" defaultRowHeight="15" customHeight="1"/>
  <cols>
    <col min="1" max="2" width="10.19921875" customWidth="1"/>
    <col min="3" max="3" width="12.19921875" customWidth="1"/>
    <col min="4" max="4" width="15.796875" customWidth="1"/>
    <col min="5" max="5" width="11.59765625" customWidth="1"/>
    <col min="6" max="11" width="10.19921875" customWidth="1"/>
    <col min="12" max="12" width="14.796875" customWidth="1"/>
    <col min="13" max="14" width="10.19921875" customWidth="1"/>
    <col min="15" max="15" width="12" customWidth="1"/>
    <col min="16" max="23" width="7.59765625" customWidth="1"/>
    <col min="24" max="24" width="5.796875" customWidth="1"/>
    <col min="25" max="25" width="9.59765625" customWidth="1"/>
    <col min="26" max="26" width="8.796875" customWidth="1"/>
    <col min="27" max="27" width="10" customWidth="1"/>
    <col min="28" max="28" width="9.796875" customWidth="1"/>
    <col min="29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20" t="s">
        <v>162</v>
      </c>
      <c r="B1" s="421"/>
      <c r="C1" s="421"/>
      <c r="D1" s="421"/>
      <c r="E1" s="421"/>
      <c r="F1" s="421"/>
      <c r="G1" s="421"/>
      <c r="H1" s="421"/>
      <c r="I1" s="421"/>
      <c r="J1" s="421"/>
      <c r="K1" s="421"/>
      <c r="L1" s="421"/>
      <c r="M1" s="421"/>
      <c r="N1" s="421"/>
      <c r="O1" s="421"/>
      <c r="P1" s="421"/>
      <c r="Q1" s="421"/>
      <c r="R1" s="421"/>
      <c r="S1" s="421"/>
      <c r="T1" s="421"/>
      <c r="U1" s="421"/>
      <c r="V1" s="421"/>
      <c r="W1" s="421"/>
      <c r="X1" s="86"/>
      <c r="Y1" s="87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422" t="s">
        <v>163</v>
      </c>
      <c r="B2" s="421"/>
      <c r="C2" s="421"/>
      <c r="D2" s="421"/>
      <c r="E2" s="421"/>
      <c r="F2" s="421"/>
      <c r="G2" s="421"/>
      <c r="H2" s="421"/>
      <c r="I2" s="421"/>
      <c r="J2" s="421"/>
      <c r="K2" s="421"/>
      <c r="L2" s="421"/>
      <c r="M2" s="421"/>
      <c r="N2" s="421"/>
      <c r="O2" s="421"/>
      <c r="P2" s="421"/>
      <c r="Q2" s="421"/>
      <c r="R2" s="421"/>
      <c r="S2" s="421"/>
      <c r="T2" s="421"/>
      <c r="U2" s="421"/>
      <c r="V2" s="421"/>
      <c r="W2" s="421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89" t="s">
        <v>164</v>
      </c>
      <c r="B3" s="399"/>
      <c r="C3" s="399"/>
      <c r="D3" s="399"/>
      <c r="E3" s="399"/>
      <c r="F3" s="399"/>
      <c r="G3" s="399"/>
      <c r="H3" s="399"/>
      <c r="I3" s="399"/>
      <c r="J3" s="399"/>
      <c r="K3" s="399"/>
      <c r="L3" s="399"/>
      <c r="M3" s="399"/>
      <c r="N3" s="399"/>
      <c r="O3" s="399"/>
      <c r="P3" s="399"/>
      <c r="Q3" s="399"/>
      <c r="R3" s="399"/>
      <c r="S3" s="399"/>
      <c r="T3" s="399"/>
      <c r="U3" s="399"/>
      <c r="V3" s="399"/>
      <c r="W3" s="399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9"/>
      <c r="B4" s="424" t="s">
        <v>3</v>
      </c>
      <c r="C4" s="425"/>
      <c r="D4" s="424" t="s">
        <v>4</v>
      </c>
      <c r="E4" s="425"/>
      <c r="F4" s="424" t="s">
        <v>5</v>
      </c>
      <c r="G4" s="425"/>
      <c r="H4" s="424" t="s">
        <v>6</v>
      </c>
      <c r="I4" s="425"/>
      <c r="J4" s="424" t="s">
        <v>7</v>
      </c>
      <c r="K4" s="425"/>
      <c r="L4" s="424" t="s">
        <v>8</v>
      </c>
      <c r="M4" s="425"/>
      <c r="N4" s="424" t="s">
        <v>9</v>
      </c>
      <c r="O4" s="425"/>
      <c r="P4" s="424" t="s">
        <v>10</v>
      </c>
      <c r="Q4" s="404"/>
      <c r="R4" s="426" t="s">
        <v>11</v>
      </c>
      <c r="S4" s="397"/>
      <c r="T4" s="426" t="s">
        <v>12</v>
      </c>
      <c r="U4" s="419"/>
      <c r="V4" s="424" t="s">
        <v>13</v>
      </c>
      <c r="W4" s="425"/>
      <c r="X4" s="462"/>
      <c r="Y4" s="421"/>
      <c r="Z4" s="428"/>
      <c r="AA4" s="421"/>
      <c r="AB4" s="428"/>
      <c r="AC4" s="421"/>
      <c r="AD4" s="10"/>
      <c r="AE4" s="10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06" t="s">
        <v>14</v>
      </c>
      <c r="L5" s="226"/>
      <c r="M5" s="227"/>
      <c r="N5" s="227"/>
      <c r="O5" s="227"/>
      <c r="P5" s="227"/>
      <c r="Q5" s="227"/>
      <c r="R5" s="227"/>
      <c r="S5" s="227"/>
      <c r="T5" s="227"/>
      <c r="U5" s="227"/>
      <c r="V5" s="227"/>
      <c r="W5" s="228"/>
      <c r="X5" s="88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5.75" customHeight="1">
      <c r="A6" s="408"/>
      <c r="B6" s="32"/>
      <c r="C6" s="32"/>
      <c r="D6" s="32"/>
      <c r="E6" s="32"/>
      <c r="F6" s="32"/>
      <c r="G6" s="32"/>
      <c r="H6" s="32"/>
      <c r="I6" s="32"/>
      <c r="J6" s="32"/>
      <c r="K6" s="32"/>
      <c r="L6" s="229"/>
      <c r="M6" s="230"/>
      <c r="N6" s="230"/>
      <c r="O6" s="230"/>
      <c r="P6" s="230"/>
      <c r="Q6" s="230"/>
      <c r="R6" s="230"/>
      <c r="S6" s="230"/>
      <c r="T6" s="230"/>
      <c r="U6" s="230"/>
      <c r="V6" s="230"/>
      <c r="W6" s="231"/>
      <c r="X6" s="88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14" t="s">
        <v>21</v>
      </c>
      <c r="B7" s="39"/>
      <c r="C7" s="24"/>
      <c r="D7" s="24"/>
      <c r="E7" s="24"/>
      <c r="F7" s="24"/>
      <c r="G7" s="24"/>
      <c r="H7" s="24"/>
      <c r="I7" s="24"/>
      <c r="J7" s="24"/>
      <c r="K7" s="24"/>
      <c r="L7" s="39"/>
      <c r="M7" s="24"/>
      <c r="N7" s="24"/>
      <c r="O7" s="24"/>
      <c r="P7" s="24"/>
      <c r="Q7" s="24"/>
      <c r="R7" s="24"/>
      <c r="S7" s="24"/>
      <c r="T7" s="24"/>
      <c r="U7" s="24"/>
      <c r="V7" s="24"/>
      <c r="W7" s="23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08"/>
      <c r="B8" s="41"/>
      <c r="C8" s="42"/>
      <c r="D8" s="42"/>
      <c r="E8" s="42"/>
      <c r="F8" s="42"/>
      <c r="G8" s="42"/>
      <c r="H8" s="42"/>
      <c r="I8" s="42"/>
      <c r="J8" s="42"/>
      <c r="K8" s="42"/>
      <c r="L8" s="41"/>
      <c r="M8" s="42"/>
      <c r="N8" s="42"/>
      <c r="O8" s="42"/>
      <c r="P8" s="42"/>
      <c r="Q8" s="42"/>
      <c r="R8" s="42"/>
      <c r="S8" s="42"/>
      <c r="T8" s="42"/>
      <c r="U8" s="42"/>
      <c r="V8" s="42"/>
      <c r="W8" s="161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55" t="s">
        <v>27</v>
      </c>
      <c r="B9" s="95"/>
      <c r="C9" s="14"/>
      <c r="D9" s="14"/>
      <c r="E9" s="14"/>
      <c r="F9" s="14"/>
      <c r="G9" s="14"/>
      <c r="H9" s="14"/>
      <c r="I9" s="14"/>
      <c r="J9" s="14"/>
      <c r="K9" s="15"/>
      <c r="V9" s="14"/>
      <c r="W9" s="1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408"/>
      <c r="B10" s="31"/>
      <c r="C10" s="18"/>
      <c r="D10" s="18"/>
      <c r="E10" s="18"/>
      <c r="F10" s="18"/>
      <c r="G10" s="18"/>
      <c r="H10" s="18"/>
      <c r="I10" s="18"/>
      <c r="J10" s="18"/>
      <c r="K10" s="19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18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6" customHeight="1">
      <c r="A11" s="415" t="s">
        <v>28</v>
      </c>
      <c r="B11" s="20"/>
      <c r="C11" s="20"/>
      <c r="D11" s="20"/>
      <c r="E11" s="20"/>
      <c r="F11" s="14"/>
      <c r="G11" s="14"/>
      <c r="H11" s="14"/>
      <c r="I11" s="14"/>
      <c r="J11" s="14"/>
      <c r="K11" s="15"/>
      <c r="V11" s="33"/>
      <c r="W11" s="3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7.25" customHeight="1">
      <c r="A12" s="407"/>
      <c r="B12" s="16"/>
      <c r="C12" s="16"/>
      <c r="D12" s="16"/>
      <c r="E12" s="16"/>
      <c r="F12" s="18"/>
      <c r="G12" s="18"/>
      <c r="H12" s="18"/>
      <c r="I12" s="18"/>
      <c r="J12" s="18"/>
      <c r="K12" s="19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5"/>
      <c r="W12" s="36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4" customHeight="1">
      <c r="A13" s="407"/>
      <c r="B13" s="233"/>
      <c r="C13" s="234"/>
      <c r="D13" s="234"/>
      <c r="E13" s="234"/>
      <c r="F13" s="14"/>
      <c r="G13" s="14"/>
      <c r="H13" s="14"/>
      <c r="I13" s="14"/>
      <c r="J13" s="14"/>
      <c r="K13" s="15"/>
      <c r="W13" s="169"/>
      <c r="X13" s="96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2" customHeight="1">
      <c r="A14" s="408"/>
      <c r="B14" s="235"/>
      <c r="C14" s="236"/>
      <c r="D14" s="236"/>
      <c r="E14" s="236"/>
      <c r="F14" s="236"/>
      <c r="G14" s="236"/>
      <c r="H14" s="236"/>
      <c r="I14" s="236"/>
      <c r="J14" s="236"/>
      <c r="K14" s="237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92"/>
      <c r="X14" s="96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90" t="s">
        <v>35</v>
      </c>
      <c r="B15" s="39"/>
      <c r="C15" s="24"/>
      <c r="K15" s="238"/>
      <c r="R15" s="24"/>
      <c r="S15" s="24"/>
      <c r="T15" s="13"/>
      <c r="U15" s="33"/>
      <c r="V15" s="33"/>
      <c r="W15" s="34"/>
      <c r="X15" s="96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17"/>
      <c r="B16" s="41"/>
      <c r="C16" s="42"/>
      <c r="K16" s="239"/>
      <c r="L16" s="32"/>
      <c r="M16" s="32"/>
      <c r="N16" s="32"/>
      <c r="O16" s="32"/>
      <c r="P16" s="32"/>
      <c r="Q16" s="32"/>
      <c r="R16" s="42"/>
      <c r="S16" s="42"/>
      <c r="T16" s="17"/>
      <c r="U16" s="35"/>
      <c r="V16" s="35"/>
      <c r="W16" s="36"/>
      <c r="X16" s="96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5" t="s">
        <v>39</v>
      </c>
      <c r="B17" s="46"/>
      <c r="C17" s="47"/>
      <c r="D17" s="47"/>
      <c r="E17" s="47"/>
      <c r="F17" s="47"/>
      <c r="G17" s="47"/>
      <c r="H17" s="47"/>
      <c r="I17" s="47"/>
      <c r="J17" s="4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47"/>
      <c r="W17" s="48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9.5" customHeight="1">
      <c r="A18" s="45" t="s">
        <v>40</v>
      </c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8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4.25" customHeight="1">
      <c r="A21" s="1"/>
      <c r="B21" s="1" t="s">
        <v>165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402" t="s">
        <v>41</v>
      </c>
      <c r="S21" s="403"/>
      <c r="T21" s="404"/>
      <c r="U21" s="402" t="s">
        <v>42</v>
      </c>
      <c r="V21" s="404"/>
      <c r="W21" s="402" t="s">
        <v>43</v>
      </c>
      <c r="X21" s="404"/>
      <c r="Y21" s="437" t="s">
        <v>44</v>
      </c>
      <c r="Z21" s="437" t="s">
        <v>45</v>
      </c>
      <c r="AA21" s="437" t="s">
        <v>46</v>
      </c>
      <c r="AB21" s="437" t="s">
        <v>47</v>
      </c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8.75" customHeight="1">
      <c r="A22" s="61"/>
      <c r="B22" s="450" t="s">
        <v>51</v>
      </c>
      <c r="C22" s="421"/>
      <c r="D22" s="421"/>
      <c r="E22" s="421"/>
      <c r="F22" s="421"/>
      <c r="G22" s="421"/>
      <c r="H22" s="421"/>
      <c r="I22" s="421"/>
      <c r="J22" s="421"/>
      <c r="K22" s="100" t="s">
        <v>52</v>
      </c>
      <c r="L22" s="101" t="s">
        <v>91</v>
      </c>
      <c r="M22" s="101" t="s">
        <v>92</v>
      </c>
      <c r="N22" s="240" t="s">
        <v>166</v>
      </c>
      <c r="O22" s="450" t="s">
        <v>55</v>
      </c>
      <c r="P22" s="421"/>
      <c r="R22" s="55" t="s">
        <v>56</v>
      </c>
      <c r="S22" s="55" t="s">
        <v>57</v>
      </c>
      <c r="T22" s="55" t="s">
        <v>58</v>
      </c>
      <c r="U22" s="55" t="s">
        <v>59</v>
      </c>
      <c r="V22" s="55" t="s">
        <v>60</v>
      </c>
      <c r="W22" s="55" t="s">
        <v>61</v>
      </c>
      <c r="X22" s="55" t="s">
        <v>62</v>
      </c>
      <c r="Y22" s="408"/>
      <c r="Z22" s="408"/>
      <c r="AA22" s="408"/>
      <c r="AB22" s="408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</row>
    <row r="23" spans="1:42" ht="19.5" customHeight="1">
      <c r="A23" s="241"/>
      <c r="B23" s="172">
        <v>1</v>
      </c>
      <c r="C23" s="173">
        <v>958491</v>
      </c>
      <c r="D23" s="478" t="s">
        <v>167</v>
      </c>
      <c r="E23" s="421"/>
      <c r="F23" s="421"/>
      <c r="G23" s="421"/>
      <c r="H23" s="421"/>
      <c r="I23" s="421"/>
      <c r="J23" s="421"/>
      <c r="K23" s="174">
        <v>9</v>
      </c>
      <c r="L23" s="146" t="s">
        <v>168</v>
      </c>
      <c r="M23" s="146" t="s">
        <v>133</v>
      </c>
      <c r="N23" s="242">
        <v>10</v>
      </c>
      <c r="O23" s="150"/>
      <c r="P23" s="145"/>
      <c r="R23" s="116"/>
      <c r="S23" s="116"/>
      <c r="T23" s="116"/>
      <c r="U23" s="116"/>
      <c r="V23" s="116"/>
      <c r="W23" s="117"/>
      <c r="X23" s="116"/>
      <c r="Y23" s="116"/>
      <c r="Z23" s="118"/>
      <c r="AA23" s="118"/>
      <c r="AB23" s="119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</row>
    <row r="24" spans="1:42" ht="18.75" customHeight="1">
      <c r="A24" s="243"/>
      <c r="B24" s="172">
        <v>2</v>
      </c>
      <c r="C24" s="173">
        <v>958491</v>
      </c>
      <c r="D24" s="479"/>
      <c r="E24" s="421"/>
      <c r="F24" s="421"/>
      <c r="G24" s="421"/>
      <c r="H24" s="421"/>
      <c r="I24" s="421"/>
      <c r="J24" s="421"/>
      <c r="K24" s="181"/>
      <c r="L24" s="126" t="s">
        <v>169</v>
      </c>
      <c r="M24" s="146"/>
      <c r="N24" s="242">
        <v>10</v>
      </c>
      <c r="O24" s="150"/>
      <c r="P24" s="145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23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</row>
    <row r="25" spans="1:42" ht="18.75" customHeight="1">
      <c r="A25" s="21"/>
      <c r="B25" s="172">
        <v>3</v>
      </c>
      <c r="C25" s="173">
        <v>958491</v>
      </c>
      <c r="D25" s="480"/>
      <c r="E25" s="421"/>
      <c r="F25" s="421"/>
      <c r="G25" s="421"/>
      <c r="H25" s="421"/>
      <c r="I25" s="421"/>
      <c r="J25" s="421"/>
      <c r="K25" s="186"/>
      <c r="L25" s="126" t="s">
        <v>170</v>
      </c>
      <c r="M25" s="146"/>
      <c r="N25" s="242">
        <v>10</v>
      </c>
      <c r="O25" s="150"/>
      <c r="P25" s="145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</row>
    <row r="26" spans="1:42" ht="18.75" customHeight="1">
      <c r="A26" s="21"/>
      <c r="B26" s="172">
        <v>4</v>
      </c>
      <c r="C26" s="173">
        <v>958491</v>
      </c>
      <c r="D26" s="484"/>
      <c r="E26" s="421"/>
      <c r="F26" s="421"/>
      <c r="G26" s="421"/>
      <c r="H26" s="421"/>
      <c r="I26" s="421"/>
      <c r="J26" s="421"/>
      <c r="K26" s="198"/>
      <c r="L26" s="146" t="s">
        <v>171</v>
      </c>
      <c r="M26" s="146"/>
      <c r="N26" s="242">
        <v>10</v>
      </c>
      <c r="O26" s="244"/>
      <c r="P26" s="145"/>
      <c r="R26" s="15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</row>
    <row r="27" spans="1:42" ht="18.75" customHeight="1">
      <c r="A27" s="21"/>
      <c r="B27" s="172">
        <v>5</v>
      </c>
      <c r="C27" s="173">
        <v>958491</v>
      </c>
      <c r="D27" s="485"/>
      <c r="E27" s="421"/>
      <c r="F27" s="421"/>
      <c r="G27" s="421"/>
      <c r="H27" s="421"/>
      <c r="I27" s="421"/>
      <c r="J27" s="421"/>
      <c r="K27" s="202"/>
      <c r="L27" s="146" t="s">
        <v>172</v>
      </c>
      <c r="M27" s="146"/>
      <c r="N27" s="242">
        <v>10</v>
      </c>
      <c r="O27" s="244"/>
      <c r="P27" s="145"/>
      <c r="R27" s="15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</row>
    <row r="28" spans="1:42" ht="18.75" customHeight="1">
      <c r="A28" s="21"/>
      <c r="B28" s="172">
        <v>7</v>
      </c>
      <c r="C28" s="173">
        <v>958491</v>
      </c>
      <c r="D28" s="487"/>
      <c r="E28" s="421"/>
      <c r="F28" s="421"/>
      <c r="G28" s="421"/>
      <c r="H28" s="421"/>
      <c r="I28" s="421"/>
      <c r="J28" s="421"/>
      <c r="K28" s="245"/>
      <c r="L28" s="146" t="s">
        <v>173</v>
      </c>
      <c r="M28" s="146"/>
      <c r="N28" s="242">
        <v>10</v>
      </c>
      <c r="O28" s="244"/>
      <c r="S28" s="246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</row>
    <row r="29" spans="1:42" ht="18.75" customHeight="1">
      <c r="A29" s="21"/>
      <c r="B29" s="172">
        <v>8</v>
      </c>
      <c r="C29" s="173">
        <v>958491</v>
      </c>
      <c r="D29" s="247"/>
      <c r="E29" s="247"/>
      <c r="F29" s="247"/>
      <c r="G29" s="247"/>
      <c r="H29" s="247"/>
      <c r="I29" s="247"/>
      <c r="J29" s="247"/>
      <c r="K29" s="247"/>
      <c r="L29" s="155" t="s">
        <v>174</v>
      </c>
      <c r="M29" s="61"/>
      <c r="N29" s="242">
        <v>10</v>
      </c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</row>
    <row r="30" spans="1:42" ht="18.75" customHeight="1">
      <c r="A30" s="51"/>
      <c r="B30" s="172">
        <v>9</v>
      </c>
      <c r="C30" s="173">
        <v>958491</v>
      </c>
      <c r="D30" s="248"/>
      <c r="E30" s="248"/>
      <c r="F30" s="248"/>
      <c r="G30" s="248"/>
      <c r="H30" s="248"/>
      <c r="I30" s="248"/>
      <c r="J30" s="248"/>
      <c r="K30" s="248"/>
      <c r="L30" s="249" t="s">
        <v>102</v>
      </c>
      <c r="M30" s="54"/>
      <c r="N30" s="242">
        <v>10</v>
      </c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</row>
    <row r="31" spans="1:42" ht="18.75" customHeight="1">
      <c r="A31" s="21"/>
      <c r="B31" s="21"/>
      <c r="C31" s="37"/>
      <c r="D31" s="488"/>
      <c r="E31" s="421"/>
      <c r="F31" s="421"/>
      <c r="G31" s="421"/>
      <c r="H31" s="421"/>
      <c r="I31" s="421"/>
      <c r="J31" s="421"/>
      <c r="K31" s="37"/>
      <c r="L31" s="155"/>
      <c r="M31" s="61"/>
      <c r="N31" s="61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</row>
    <row r="32" spans="1:42" ht="18.75" customHeight="1">
      <c r="A32" s="21"/>
      <c r="B32" s="21"/>
      <c r="C32" s="81" t="s">
        <v>76</v>
      </c>
      <c r="D32" s="442"/>
      <c r="E32" s="421"/>
      <c r="F32" s="421"/>
      <c r="G32" s="421"/>
      <c r="H32" s="421"/>
      <c r="I32" s="421"/>
      <c r="J32" s="421"/>
      <c r="K32" s="83">
        <f>SUM(K23:K31)</f>
        <v>9</v>
      </c>
      <c r="L32" s="155"/>
      <c r="M32" s="61"/>
      <c r="N32" s="61"/>
      <c r="O32" s="61"/>
      <c r="P32" s="61"/>
      <c r="Q32" s="61"/>
      <c r="R32" s="61"/>
      <c r="S32" s="61"/>
      <c r="T32" s="54"/>
      <c r="U32" s="54"/>
      <c r="V32" s="54"/>
      <c r="W32" s="54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</row>
    <row r="33" spans="1:42" ht="15.75" customHeight="1">
      <c r="A33" s="21"/>
      <c r="B33" s="21"/>
      <c r="C33" s="443" t="s">
        <v>113</v>
      </c>
      <c r="D33" s="421"/>
      <c r="E33" s="421"/>
      <c r="F33" s="421"/>
      <c r="G33" s="421"/>
      <c r="H33" s="142"/>
      <c r="I33" s="142"/>
      <c r="J33" s="21"/>
      <c r="K33" s="21"/>
      <c r="L33" s="54"/>
      <c r="M33" s="54"/>
      <c r="N33" s="54"/>
      <c r="O33" s="54"/>
      <c r="P33" s="54"/>
      <c r="Q33" s="61"/>
      <c r="R33" s="61"/>
      <c r="S33" s="61"/>
      <c r="T33" s="54"/>
      <c r="U33" s="54"/>
      <c r="V33" s="54"/>
      <c r="W33" s="54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</row>
    <row r="34" spans="1:42" ht="18.75" customHeight="1">
      <c r="A34" s="21"/>
      <c r="B34" s="21"/>
      <c r="C34" s="20"/>
      <c r="D34" s="20"/>
      <c r="E34" s="20"/>
      <c r="F34" s="20"/>
      <c r="G34" s="20"/>
      <c r="H34" s="20"/>
      <c r="I34" s="142"/>
      <c r="J34" s="21"/>
      <c r="K34" s="21"/>
      <c r="L34" s="54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4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1:42" ht="18.75" customHeight="1">
      <c r="A35" s="10"/>
      <c r="B35" s="10"/>
      <c r="C35" s="156"/>
      <c r="D35" s="156"/>
      <c r="E35" s="156"/>
      <c r="F35" s="156"/>
      <c r="G35" s="156"/>
      <c r="H35" s="156"/>
      <c r="I35" s="156"/>
      <c r="J35" s="10"/>
      <c r="K35" s="10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2" ht="18.75" customHeight="1">
      <c r="A36" s="5"/>
      <c r="B36" s="5"/>
      <c r="C36" s="85"/>
      <c r="D36" s="85"/>
      <c r="E36" s="85"/>
      <c r="F36" s="85"/>
      <c r="G36" s="85"/>
      <c r="H36" s="85"/>
      <c r="I36" s="5"/>
      <c r="J36" s="10"/>
      <c r="K36" s="10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4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1:42" ht="18.75" customHeight="1">
      <c r="A37" s="10"/>
      <c r="B37" s="5"/>
      <c r="C37" s="5"/>
      <c r="D37" s="5"/>
      <c r="E37" s="5"/>
      <c r="F37" s="5"/>
      <c r="G37" s="5"/>
      <c r="H37" s="5"/>
      <c r="I37" s="5"/>
      <c r="J37" s="10"/>
      <c r="K37" s="10"/>
      <c r="L37" s="10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1:42" ht="14.25" customHeight="1">
      <c r="A38" s="157"/>
      <c r="B38" s="157"/>
      <c r="C38" s="157"/>
      <c r="D38" s="157"/>
      <c r="E38" s="157"/>
      <c r="F38" s="157"/>
      <c r="G38" s="157"/>
      <c r="H38" s="157"/>
      <c r="I38" s="157"/>
      <c r="J38" s="10"/>
      <c r="K38" s="10"/>
      <c r="L38" s="10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1:42" ht="14.25" customHeight="1">
      <c r="A39" s="157"/>
      <c r="B39" s="157"/>
      <c r="C39" s="157"/>
      <c r="D39" s="157"/>
      <c r="E39" s="157"/>
      <c r="F39" s="157"/>
      <c r="G39" s="157"/>
      <c r="H39" s="157"/>
      <c r="I39" s="157"/>
      <c r="J39" s="10"/>
      <c r="K39" s="10"/>
      <c r="L39" s="10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1:42" ht="14.2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10"/>
      <c r="K40" s="10"/>
      <c r="L40" s="10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4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10"/>
      <c r="K41" s="10"/>
      <c r="L41" s="10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4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10"/>
      <c r="K42" s="10"/>
      <c r="L42" s="10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10"/>
      <c r="K43" s="10"/>
      <c r="L43" s="10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10"/>
      <c r="K44" s="10"/>
      <c r="L44" s="10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10"/>
      <c r="K45" s="10"/>
      <c r="L45" s="10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10"/>
      <c r="K46" s="10"/>
      <c r="L46" s="10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10"/>
      <c r="K47" s="10"/>
      <c r="L47" s="10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10"/>
      <c r="K48" s="10"/>
      <c r="L48" s="10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10"/>
      <c r="K49" s="10"/>
      <c r="L49" s="10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</row>
    <row r="72" spans="1:4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</row>
    <row r="73" spans="1:42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</row>
    <row r="74" spans="1:42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</row>
    <row r="75" spans="1:42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</row>
    <row r="76" spans="1:42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</row>
    <row r="77" spans="1:42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</row>
    <row r="78" spans="1:42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</row>
    <row r="79" spans="1:42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</row>
    <row r="80" spans="1:42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</row>
    <row r="81" spans="1:42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</row>
    <row r="82" spans="1:4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</row>
    <row r="83" spans="1:42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</row>
    <row r="84" spans="1:42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</row>
    <row r="85" spans="1:42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</row>
    <row r="86" spans="1:42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</row>
    <row r="87" spans="1:42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</row>
    <row r="88" spans="1:42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</row>
    <row r="89" spans="1:42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</row>
    <row r="90" spans="1:42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</row>
    <row r="91" spans="1:42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</row>
    <row r="92" spans="1:4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</row>
    <row r="93" spans="1:42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</row>
    <row r="94" spans="1:42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</row>
    <row r="95" spans="1:42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</row>
    <row r="96" spans="1:42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</row>
    <row r="97" spans="1:42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</row>
    <row r="98" spans="1:42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</row>
    <row r="99" spans="1:42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</row>
    <row r="100" spans="1:42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</row>
    <row r="101" spans="1:42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</row>
    <row r="102" spans="1:4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</row>
    <row r="103" spans="1:42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</row>
    <row r="104" spans="1:42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</row>
    <row r="105" spans="1:42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</row>
    <row r="106" spans="1:42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</row>
    <row r="107" spans="1:42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</row>
    <row r="108" spans="1:42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</row>
    <row r="109" spans="1:42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</row>
    <row r="110" spans="1:42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</row>
    <row r="111" spans="1:42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</row>
    <row r="112" spans="1:4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</row>
    <row r="113" spans="1:42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</row>
    <row r="114" spans="1:42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</row>
    <row r="115" spans="1:42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</row>
    <row r="116" spans="1:42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</row>
    <row r="117" spans="1:42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</row>
    <row r="118" spans="1:42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</row>
    <row r="119" spans="1:42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</row>
    <row r="120" spans="1:42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</row>
    <row r="121" spans="1:42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</row>
    <row r="122" spans="1:4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</row>
    <row r="123" spans="1:42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</row>
    <row r="124" spans="1:42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</row>
    <row r="125" spans="1:42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</row>
    <row r="126" spans="1:42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</row>
    <row r="127" spans="1:42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</row>
    <row r="128" spans="1:42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</row>
    <row r="129" spans="1:42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</row>
    <row r="130" spans="1:42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</row>
    <row r="131" spans="1:42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</row>
    <row r="132" spans="1:4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</row>
    <row r="133" spans="1:42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</row>
    <row r="134" spans="1:42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</row>
    <row r="135" spans="1:42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</row>
    <row r="136" spans="1:42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</row>
    <row r="137" spans="1:42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</row>
    <row r="138" spans="1:42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</row>
    <row r="139" spans="1:42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</row>
    <row r="140" spans="1:42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</row>
    <row r="141" spans="1:42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</row>
    <row r="142" spans="1: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</row>
    <row r="143" spans="1:42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</row>
    <row r="144" spans="1:42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</row>
    <row r="145" spans="1:42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</row>
    <row r="146" spans="1:42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</row>
    <row r="147" spans="1:42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</row>
    <row r="148" spans="1:42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</row>
    <row r="149" spans="1:42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</row>
    <row r="150" spans="1:42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</row>
    <row r="151" spans="1:42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</row>
    <row r="152" spans="1:4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</row>
    <row r="153" spans="1:42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</row>
    <row r="154" spans="1:42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</row>
    <row r="155" spans="1:42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</row>
    <row r="156" spans="1:42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</row>
    <row r="157" spans="1:42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</row>
    <row r="158" spans="1:42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</row>
    <row r="159" spans="1:42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</row>
    <row r="160" spans="1:42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</row>
    <row r="161" spans="1:42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</row>
    <row r="162" spans="1:4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</row>
    <row r="163" spans="1:42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</row>
    <row r="164" spans="1:42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</row>
    <row r="165" spans="1:42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</row>
    <row r="166" spans="1:42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</row>
    <row r="167" spans="1:42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</row>
    <row r="168" spans="1:42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</row>
    <row r="169" spans="1:42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</row>
    <row r="170" spans="1:42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</row>
    <row r="171" spans="1:42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</row>
    <row r="172" spans="1:4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</row>
    <row r="173" spans="1:42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</row>
    <row r="174" spans="1:42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</row>
    <row r="175" spans="1:42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</row>
    <row r="176" spans="1:42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</row>
    <row r="177" spans="1:42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</row>
    <row r="178" spans="1:42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</row>
    <row r="179" spans="1:42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</row>
    <row r="180" spans="1:42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</row>
    <row r="181" spans="1:42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</row>
    <row r="182" spans="1:4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</row>
    <row r="183" spans="1:42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</row>
    <row r="184" spans="1:42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</row>
    <row r="185" spans="1:42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</row>
    <row r="186" spans="1:42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</row>
    <row r="187" spans="1:42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</row>
    <row r="188" spans="1:42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</row>
    <row r="189" spans="1:42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</row>
    <row r="190" spans="1:42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</row>
    <row r="191" spans="1:42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</row>
    <row r="192" spans="1:4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</row>
    <row r="193" spans="1:42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</row>
    <row r="194" spans="1:42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</row>
    <row r="195" spans="1:42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</row>
    <row r="196" spans="1:42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</row>
    <row r="197" spans="1:42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</row>
    <row r="198" spans="1:42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</row>
    <row r="199" spans="1:42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</row>
    <row r="200" spans="1:42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</row>
    <row r="201" spans="1:42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</row>
    <row r="202" spans="1:4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</row>
    <row r="203" spans="1:42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</row>
    <row r="204" spans="1:42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</row>
    <row r="205" spans="1:42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</row>
    <row r="206" spans="1:42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</row>
    <row r="207" spans="1:42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</row>
    <row r="208" spans="1:42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</row>
    <row r="209" spans="1:42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</row>
    <row r="210" spans="1:42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</row>
    <row r="211" spans="1:42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</row>
    <row r="212" spans="1:4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</row>
    <row r="213" spans="1:42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</row>
    <row r="214" spans="1:42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</row>
    <row r="215" spans="1:42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</row>
    <row r="216" spans="1:42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</row>
    <row r="217" spans="1:42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</row>
    <row r="218" spans="1:42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</row>
    <row r="219" spans="1:42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</row>
    <row r="220" spans="1:42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</row>
    <row r="221" spans="1:42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</row>
    <row r="222" spans="1:4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</row>
    <row r="223" spans="1:42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</row>
    <row r="224" spans="1:42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</row>
    <row r="225" spans="1:42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</row>
    <row r="226" spans="1:42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</row>
    <row r="227" spans="1:42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</row>
    <row r="228" spans="1:42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</row>
    <row r="229" spans="1:42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</row>
    <row r="230" spans="1:42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</row>
    <row r="231" spans="1:42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</row>
    <row r="232" spans="1:42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</row>
    <row r="233" spans="1:42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0">
    <mergeCell ref="A5:A6"/>
    <mergeCell ref="A7:A8"/>
    <mergeCell ref="A9:A10"/>
    <mergeCell ref="R4:S4"/>
    <mergeCell ref="T4:U4"/>
    <mergeCell ref="X4:Y4"/>
    <mergeCell ref="J4:K4"/>
    <mergeCell ref="L4:M4"/>
    <mergeCell ref="Y21:Y22"/>
    <mergeCell ref="Z21:Z2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A11:A14"/>
    <mergeCell ref="A15:A16"/>
    <mergeCell ref="C33:G33"/>
    <mergeCell ref="AA21:AA22"/>
    <mergeCell ref="AB21:AB22"/>
    <mergeCell ref="B22:J22"/>
    <mergeCell ref="O22:P22"/>
    <mergeCell ref="D23:J23"/>
    <mergeCell ref="D24:J24"/>
    <mergeCell ref="D25:J25"/>
    <mergeCell ref="D26:J26"/>
    <mergeCell ref="D27:J27"/>
    <mergeCell ref="D28:J28"/>
    <mergeCell ref="D31:J31"/>
    <mergeCell ref="D32:J32"/>
    <mergeCell ref="R21:T21"/>
    <mergeCell ref="U21:V21"/>
    <mergeCell ref="W21:X21"/>
  </mergeCells>
  <pageMargins left="0.25" right="0.25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outlinePr summaryBelow="0" summaryRight="0"/>
  </sheetPr>
  <dimension ref="A1:Q1009"/>
  <sheetViews>
    <sheetView workbookViewId="0">
      <selection sqref="A1:G1"/>
    </sheetView>
  </sheetViews>
  <sheetFormatPr baseColWidth="10" defaultColWidth="14.3984375" defaultRowHeight="15" customHeight="1"/>
  <cols>
    <col min="1" max="1" width="26.796875" customWidth="1"/>
    <col min="2" max="2" width="22.796875" customWidth="1"/>
    <col min="3" max="3" width="85.796875" customWidth="1"/>
    <col min="4" max="5" width="19.59765625" customWidth="1"/>
    <col min="6" max="7" width="21.19921875" customWidth="1"/>
  </cols>
  <sheetData>
    <row r="1" spans="1:17" ht="33.75" customHeight="1">
      <c r="A1" s="495" t="s">
        <v>175</v>
      </c>
      <c r="B1" s="421"/>
      <c r="C1" s="421"/>
      <c r="D1" s="421"/>
      <c r="E1" s="421"/>
      <c r="F1" s="421"/>
      <c r="G1" s="421"/>
      <c r="H1" s="250"/>
      <c r="I1" s="250"/>
      <c r="J1" s="250"/>
      <c r="K1" s="250"/>
      <c r="L1" s="250"/>
      <c r="M1" s="250"/>
      <c r="N1" s="250"/>
      <c r="O1" s="250"/>
      <c r="P1" s="250"/>
      <c r="Q1" s="250"/>
    </row>
    <row r="2" spans="1:17" ht="24">
      <c r="A2" s="250"/>
      <c r="B2" s="250"/>
      <c r="C2" s="250"/>
      <c r="D2" s="251"/>
      <c r="E2" s="251"/>
      <c r="F2" s="251"/>
      <c r="G2" s="251"/>
      <c r="H2" s="250"/>
      <c r="I2" s="250"/>
      <c r="J2" s="250"/>
      <c r="K2" s="250"/>
      <c r="L2" s="250"/>
      <c r="M2" s="250"/>
      <c r="N2" s="250"/>
      <c r="O2" s="250"/>
      <c r="P2" s="250"/>
      <c r="Q2" s="250"/>
    </row>
    <row r="3" spans="1:17" ht="24.75" customHeight="1">
      <c r="A3" s="252" t="s">
        <v>176</v>
      </c>
      <c r="B3" s="252" t="s">
        <v>177</v>
      </c>
      <c r="C3" s="252" t="s">
        <v>178</v>
      </c>
      <c r="D3" s="252" t="s">
        <v>179</v>
      </c>
      <c r="E3" s="252" t="s">
        <v>180</v>
      </c>
      <c r="F3" s="252" t="s">
        <v>181</v>
      </c>
      <c r="G3" s="252" t="s">
        <v>182</v>
      </c>
      <c r="H3" s="250"/>
      <c r="I3" s="250"/>
      <c r="J3" s="253" t="s">
        <v>183</v>
      </c>
      <c r="K3" s="254" t="s">
        <v>109</v>
      </c>
      <c r="L3" s="254" t="s">
        <v>66</v>
      </c>
      <c r="M3" s="254" t="s">
        <v>69</v>
      </c>
      <c r="N3" s="254" t="s">
        <v>184</v>
      </c>
      <c r="O3" s="254" t="s">
        <v>185</v>
      </c>
      <c r="P3" s="254" t="s">
        <v>110</v>
      </c>
      <c r="Q3" s="254" t="s">
        <v>186</v>
      </c>
    </row>
    <row r="4" spans="1:17" ht="26.25" customHeight="1">
      <c r="A4" s="491" t="s">
        <v>183</v>
      </c>
      <c r="B4" s="492">
        <v>2</v>
      </c>
      <c r="C4" s="255" t="s">
        <v>187</v>
      </c>
      <c r="D4" s="256" t="s">
        <v>188</v>
      </c>
      <c r="E4" s="256">
        <v>2</v>
      </c>
      <c r="F4" s="256">
        <v>56</v>
      </c>
      <c r="G4" s="256" t="s">
        <v>189</v>
      </c>
      <c r="H4" s="250"/>
      <c r="I4" s="257" t="s">
        <v>190</v>
      </c>
      <c r="J4" s="257">
        <f>B4</f>
        <v>2</v>
      </c>
      <c r="K4" s="257">
        <f>B6</f>
        <v>2</v>
      </c>
      <c r="L4" s="258">
        <f>B8</f>
        <v>2</v>
      </c>
      <c r="M4" s="257">
        <f>B11</f>
        <v>1</v>
      </c>
      <c r="N4" s="257">
        <f>B13</f>
        <v>2</v>
      </c>
      <c r="O4" s="257">
        <f>B15</f>
        <v>2</v>
      </c>
      <c r="P4" s="257">
        <f>B18</f>
        <v>2</v>
      </c>
      <c r="Q4" s="257">
        <f>B20</f>
        <v>2</v>
      </c>
    </row>
    <row r="5" spans="1:17" ht="25.5" customHeight="1">
      <c r="A5" s="408"/>
      <c r="B5" s="408"/>
      <c r="C5" s="255" t="s">
        <v>191</v>
      </c>
      <c r="D5" s="256" t="s">
        <v>192</v>
      </c>
      <c r="E5" s="256">
        <v>3</v>
      </c>
      <c r="F5" s="256">
        <v>55</v>
      </c>
      <c r="G5" s="256" t="s">
        <v>193</v>
      </c>
      <c r="H5" s="250"/>
      <c r="I5" s="257" t="s">
        <v>194</v>
      </c>
      <c r="J5" s="257">
        <v>1</v>
      </c>
      <c r="K5" s="257">
        <v>1</v>
      </c>
      <c r="L5" s="257">
        <v>1</v>
      </c>
      <c r="M5" s="257">
        <v>1</v>
      </c>
      <c r="N5" s="257">
        <v>1</v>
      </c>
      <c r="O5" s="257">
        <v>1</v>
      </c>
      <c r="P5" s="257">
        <v>1</v>
      </c>
      <c r="Q5" s="257">
        <v>1</v>
      </c>
    </row>
    <row r="6" spans="1:17" ht="26.25" customHeight="1">
      <c r="A6" s="493" t="s">
        <v>109</v>
      </c>
      <c r="B6" s="494">
        <v>2</v>
      </c>
      <c r="C6" s="259" t="s">
        <v>195</v>
      </c>
      <c r="D6" s="260" t="s">
        <v>196</v>
      </c>
      <c r="E6" s="260">
        <v>1</v>
      </c>
      <c r="F6" s="260">
        <v>30</v>
      </c>
      <c r="G6" s="260" t="s">
        <v>189</v>
      </c>
      <c r="H6" s="250"/>
      <c r="I6" s="257" t="s">
        <v>76</v>
      </c>
      <c r="J6" s="257">
        <f t="shared" ref="J6:Q6" si="0">J4+J5</f>
        <v>3</v>
      </c>
      <c r="K6" s="257">
        <f t="shared" si="0"/>
        <v>3</v>
      </c>
      <c r="L6" s="257">
        <f t="shared" si="0"/>
        <v>3</v>
      </c>
      <c r="M6" s="257">
        <f t="shared" si="0"/>
        <v>2</v>
      </c>
      <c r="N6" s="257">
        <f t="shared" si="0"/>
        <v>3</v>
      </c>
      <c r="O6" s="257">
        <f t="shared" si="0"/>
        <v>3</v>
      </c>
      <c r="P6" s="257">
        <f t="shared" si="0"/>
        <v>3</v>
      </c>
      <c r="Q6" s="257">
        <f t="shared" si="0"/>
        <v>3</v>
      </c>
    </row>
    <row r="7" spans="1:17" ht="29.25" customHeight="1">
      <c r="A7" s="408"/>
      <c r="B7" s="408"/>
      <c r="C7" s="259" t="s">
        <v>197</v>
      </c>
      <c r="D7" s="260" t="s">
        <v>198</v>
      </c>
      <c r="E7" s="260">
        <v>3</v>
      </c>
      <c r="F7" s="260">
        <v>20</v>
      </c>
      <c r="G7" s="260" t="s">
        <v>199</v>
      </c>
      <c r="H7" s="250"/>
      <c r="I7" s="250"/>
      <c r="J7" s="250"/>
      <c r="K7" s="250"/>
      <c r="L7" s="250"/>
      <c r="M7" s="250"/>
      <c r="N7" s="250"/>
      <c r="O7" s="250"/>
      <c r="P7" s="250"/>
      <c r="Q7" s="250"/>
    </row>
    <row r="8" spans="1:17" ht="27.75" customHeight="1">
      <c r="A8" s="491" t="s">
        <v>66</v>
      </c>
      <c r="B8" s="492">
        <v>2</v>
      </c>
      <c r="C8" s="255" t="s">
        <v>200</v>
      </c>
      <c r="D8" s="261" t="s">
        <v>196</v>
      </c>
      <c r="E8" s="261">
        <v>1</v>
      </c>
      <c r="F8" s="261">
        <v>30</v>
      </c>
      <c r="G8" s="261" t="s">
        <v>189</v>
      </c>
      <c r="H8" s="250"/>
      <c r="I8" s="250"/>
      <c r="J8" s="250"/>
      <c r="K8" s="250"/>
      <c r="L8" s="250"/>
      <c r="M8" s="250"/>
      <c r="N8" s="250"/>
      <c r="O8" s="250"/>
      <c r="P8" s="250"/>
      <c r="Q8" s="250"/>
    </row>
    <row r="9" spans="1:17" ht="29.25" customHeight="1">
      <c r="A9" s="407"/>
      <c r="B9" s="407"/>
      <c r="C9" s="255" t="s">
        <v>201</v>
      </c>
      <c r="D9" s="256" t="s">
        <v>202</v>
      </c>
      <c r="E9" s="256">
        <v>1</v>
      </c>
      <c r="F9" s="256">
        <v>17</v>
      </c>
      <c r="G9" s="261" t="s">
        <v>189</v>
      </c>
      <c r="H9" s="250"/>
      <c r="I9" s="250"/>
      <c r="J9" s="250"/>
      <c r="K9" s="250"/>
      <c r="L9" s="250"/>
      <c r="M9" s="250"/>
      <c r="N9" s="250"/>
      <c r="O9" s="250"/>
      <c r="P9" s="250"/>
      <c r="Q9" s="250"/>
    </row>
    <row r="10" spans="1:17" ht="32.25" customHeight="1">
      <c r="A10" s="408"/>
      <c r="B10" s="408"/>
      <c r="C10" s="255" t="s">
        <v>203</v>
      </c>
      <c r="D10" s="256" t="s">
        <v>204</v>
      </c>
      <c r="E10" s="256">
        <v>2</v>
      </c>
      <c r="F10" s="256">
        <v>55</v>
      </c>
      <c r="G10" s="256" t="s">
        <v>193</v>
      </c>
      <c r="H10" s="250"/>
      <c r="I10" s="250"/>
      <c r="J10" s="250"/>
      <c r="K10" s="250"/>
      <c r="L10" s="250"/>
      <c r="M10" s="250"/>
      <c r="N10" s="250"/>
      <c r="O10" s="250"/>
      <c r="P10" s="250"/>
      <c r="Q10" s="250"/>
    </row>
    <row r="11" spans="1:17" ht="26.25" customHeight="1">
      <c r="A11" s="493" t="s">
        <v>69</v>
      </c>
      <c r="B11" s="494">
        <v>1</v>
      </c>
      <c r="C11" s="259" t="s">
        <v>205</v>
      </c>
      <c r="D11" s="260" t="s">
        <v>206</v>
      </c>
      <c r="E11" s="260">
        <v>2</v>
      </c>
      <c r="F11" s="260">
        <v>40</v>
      </c>
      <c r="G11" s="260" t="s">
        <v>189</v>
      </c>
      <c r="H11" s="250"/>
      <c r="I11" s="250"/>
      <c r="J11" s="250"/>
      <c r="K11" s="250"/>
      <c r="L11" s="250"/>
      <c r="M11" s="250"/>
      <c r="N11" s="250"/>
      <c r="O11" s="250"/>
      <c r="P11" s="250"/>
      <c r="Q11" s="250"/>
    </row>
    <row r="12" spans="1:17" ht="27.75" customHeight="1">
      <c r="A12" s="408"/>
      <c r="B12" s="408"/>
      <c r="C12" s="259" t="s">
        <v>207</v>
      </c>
      <c r="D12" s="260" t="s">
        <v>208</v>
      </c>
      <c r="E12" s="260">
        <v>2</v>
      </c>
      <c r="F12" s="260">
        <v>25</v>
      </c>
      <c r="G12" s="260" t="s">
        <v>189</v>
      </c>
      <c r="H12" s="250"/>
      <c r="I12" s="250"/>
      <c r="J12" s="250"/>
      <c r="K12" s="250"/>
      <c r="L12" s="250"/>
      <c r="M12" s="250"/>
      <c r="N12" s="250"/>
      <c r="O12" s="250"/>
      <c r="P12" s="250"/>
      <c r="Q12" s="250"/>
    </row>
    <row r="13" spans="1:17" ht="29.25" customHeight="1">
      <c r="A13" s="491" t="s">
        <v>184</v>
      </c>
      <c r="B13" s="492">
        <v>2</v>
      </c>
      <c r="C13" s="255" t="s">
        <v>209</v>
      </c>
      <c r="D13" s="256" t="s">
        <v>192</v>
      </c>
      <c r="E13" s="256">
        <v>2</v>
      </c>
      <c r="F13" s="256">
        <v>56</v>
      </c>
      <c r="G13" s="256" t="s">
        <v>193</v>
      </c>
      <c r="H13" s="250"/>
      <c r="I13" s="250"/>
      <c r="J13" s="250"/>
      <c r="K13" s="250"/>
      <c r="L13" s="250"/>
      <c r="M13" s="250"/>
      <c r="N13" s="250"/>
      <c r="O13" s="250"/>
      <c r="P13" s="250"/>
      <c r="Q13" s="250"/>
    </row>
    <row r="14" spans="1:17" ht="28.5" customHeight="1">
      <c r="A14" s="408"/>
      <c r="B14" s="408"/>
      <c r="C14" s="255" t="s">
        <v>210</v>
      </c>
      <c r="D14" s="256" t="s">
        <v>211</v>
      </c>
      <c r="E14" s="256" t="s">
        <v>212</v>
      </c>
      <c r="F14" s="256">
        <v>60</v>
      </c>
      <c r="G14" s="256" t="s">
        <v>213</v>
      </c>
      <c r="H14" s="250"/>
      <c r="I14" s="250"/>
      <c r="J14" s="250"/>
      <c r="K14" s="250"/>
      <c r="L14" s="250"/>
      <c r="M14" s="250"/>
      <c r="N14" s="250"/>
      <c r="O14" s="250"/>
      <c r="P14" s="250"/>
      <c r="Q14" s="250"/>
    </row>
    <row r="15" spans="1:17" ht="27.75" customHeight="1">
      <c r="A15" s="493" t="s">
        <v>185</v>
      </c>
      <c r="B15" s="494">
        <v>2</v>
      </c>
      <c r="C15" s="259" t="s">
        <v>214</v>
      </c>
      <c r="D15" s="260" t="s">
        <v>196</v>
      </c>
      <c r="E15" s="260">
        <v>3</v>
      </c>
      <c r="F15" s="260">
        <v>30</v>
      </c>
      <c r="G15" s="260" t="s">
        <v>193</v>
      </c>
      <c r="H15" s="250"/>
      <c r="I15" s="250"/>
      <c r="J15" s="250"/>
      <c r="K15" s="250"/>
      <c r="L15" s="250"/>
      <c r="M15" s="250"/>
      <c r="N15" s="250"/>
      <c r="O15" s="250"/>
      <c r="P15" s="250"/>
      <c r="Q15" s="250"/>
    </row>
    <row r="16" spans="1:17" ht="30.75" customHeight="1">
      <c r="A16" s="407"/>
      <c r="B16" s="407"/>
      <c r="C16" s="259" t="s">
        <v>215</v>
      </c>
      <c r="D16" s="260" t="s">
        <v>192</v>
      </c>
      <c r="E16" s="260">
        <v>3</v>
      </c>
      <c r="F16" s="260">
        <v>30</v>
      </c>
      <c r="G16" s="260" t="s">
        <v>193</v>
      </c>
      <c r="H16" s="250"/>
      <c r="I16" s="250"/>
      <c r="J16" s="250"/>
      <c r="K16" s="250"/>
      <c r="L16" s="250"/>
      <c r="M16" s="250"/>
      <c r="N16" s="250"/>
      <c r="O16" s="250"/>
      <c r="P16" s="250"/>
      <c r="Q16" s="250"/>
    </row>
    <row r="17" spans="1:17" ht="30.75" customHeight="1">
      <c r="A17" s="408"/>
      <c r="B17" s="408"/>
      <c r="C17" s="259" t="s">
        <v>216</v>
      </c>
      <c r="D17" s="260" t="s">
        <v>217</v>
      </c>
      <c r="E17" s="260">
        <v>3</v>
      </c>
      <c r="F17" s="260">
        <v>56</v>
      </c>
      <c r="G17" s="260" t="s">
        <v>193</v>
      </c>
      <c r="H17" s="250"/>
      <c r="I17" s="250"/>
      <c r="J17" s="250"/>
      <c r="K17" s="250"/>
      <c r="L17" s="250"/>
      <c r="M17" s="250"/>
      <c r="N17" s="250"/>
      <c r="O17" s="250"/>
      <c r="P17" s="250"/>
      <c r="Q17" s="250"/>
    </row>
    <row r="18" spans="1:17" ht="28.5" customHeight="1">
      <c r="A18" s="491" t="s">
        <v>110</v>
      </c>
      <c r="B18" s="492">
        <v>2</v>
      </c>
      <c r="C18" s="255" t="s">
        <v>218</v>
      </c>
      <c r="D18" s="256" t="s">
        <v>219</v>
      </c>
      <c r="E18" s="256">
        <v>3</v>
      </c>
      <c r="F18" s="256">
        <v>30</v>
      </c>
      <c r="G18" s="256" t="s">
        <v>199</v>
      </c>
      <c r="H18" s="250"/>
      <c r="I18" s="250"/>
      <c r="J18" s="250"/>
      <c r="K18" s="250"/>
      <c r="L18" s="250"/>
      <c r="M18" s="250"/>
      <c r="N18" s="250"/>
      <c r="O18" s="250"/>
      <c r="P18" s="250"/>
      <c r="Q18" s="250"/>
    </row>
    <row r="19" spans="1:17" ht="27.75" customHeight="1">
      <c r="A19" s="408"/>
      <c r="B19" s="408"/>
      <c r="C19" s="255" t="s">
        <v>220</v>
      </c>
      <c r="D19" s="256" t="s">
        <v>198</v>
      </c>
      <c r="E19" s="256">
        <v>3</v>
      </c>
      <c r="F19" s="256">
        <v>30</v>
      </c>
      <c r="G19" s="256" t="s">
        <v>199</v>
      </c>
      <c r="H19" s="250"/>
      <c r="I19" s="250"/>
      <c r="J19" s="250"/>
      <c r="K19" s="250"/>
      <c r="L19" s="250"/>
      <c r="M19" s="250"/>
      <c r="N19" s="250"/>
      <c r="O19" s="250"/>
      <c r="P19" s="250"/>
      <c r="Q19" s="250"/>
    </row>
    <row r="20" spans="1:17" ht="26.25" customHeight="1">
      <c r="A20" s="493" t="s">
        <v>186</v>
      </c>
      <c r="B20" s="494">
        <v>2</v>
      </c>
      <c r="C20" s="259" t="s">
        <v>221</v>
      </c>
      <c r="D20" s="260" t="s">
        <v>211</v>
      </c>
      <c r="E20" s="260">
        <v>1</v>
      </c>
      <c r="F20" s="260">
        <v>30</v>
      </c>
      <c r="G20" s="260" t="s">
        <v>189</v>
      </c>
      <c r="H20" s="250"/>
      <c r="I20" s="250"/>
      <c r="J20" s="250"/>
      <c r="K20" s="250"/>
      <c r="L20" s="250"/>
      <c r="M20" s="250"/>
      <c r="N20" s="250"/>
      <c r="O20" s="250"/>
      <c r="P20" s="250"/>
      <c r="Q20" s="250"/>
    </row>
    <row r="21" spans="1:17" ht="27.75" customHeight="1">
      <c r="A21" s="407"/>
      <c r="B21" s="407"/>
      <c r="C21" s="259" t="s">
        <v>222</v>
      </c>
      <c r="D21" s="260" t="s">
        <v>192</v>
      </c>
      <c r="E21" s="260">
        <v>1</v>
      </c>
      <c r="F21" s="260">
        <v>30</v>
      </c>
      <c r="G21" s="260" t="s">
        <v>189</v>
      </c>
      <c r="H21" s="250"/>
      <c r="I21" s="250"/>
      <c r="J21" s="250"/>
      <c r="K21" s="250"/>
      <c r="L21" s="250"/>
      <c r="M21" s="250"/>
      <c r="N21" s="250"/>
      <c r="O21" s="250"/>
      <c r="P21" s="250"/>
      <c r="Q21" s="250"/>
    </row>
    <row r="22" spans="1:17" ht="27.75" customHeight="1">
      <c r="A22" s="408"/>
      <c r="B22" s="408"/>
      <c r="C22" s="259" t="s">
        <v>223</v>
      </c>
      <c r="D22" s="260" t="s">
        <v>196</v>
      </c>
      <c r="E22" s="260">
        <v>2</v>
      </c>
      <c r="F22" s="260">
        <v>56</v>
      </c>
      <c r="G22" s="260" t="s">
        <v>193</v>
      </c>
      <c r="H22" s="250"/>
      <c r="I22" s="250"/>
      <c r="J22" s="250"/>
      <c r="K22" s="250"/>
      <c r="L22" s="250"/>
      <c r="M22" s="250"/>
      <c r="N22" s="250"/>
      <c r="O22" s="250"/>
      <c r="P22" s="250"/>
      <c r="Q22" s="250"/>
    </row>
    <row r="23" spans="1:17" ht="24">
      <c r="A23" s="250"/>
      <c r="B23" s="250"/>
      <c r="C23" s="250"/>
      <c r="D23" s="250"/>
      <c r="E23" s="250"/>
      <c r="F23" s="250"/>
      <c r="G23" s="250"/>
      <c r="H23" s="250"/>
      <c r="I23" s="250"/>
      <c r="J23" s="250"/>
      <c r="K23" s="250"/>
      <c r="L23" s="250"/>
      <c r="M23" s="250"/>
      <c r="N23" s="250"/>
      <c r="O23" s="250"/>
      <c r="P23" s="250"/>
      <c r="Q23" s="250"/>
    </row>
    <row r="24" spans="1:17" ht="24">
      <c r="A24" s="250"/>
      <c r="B24" s="250"/>
      <c r="C24" s="250"/>
      <c r="D24" s="250"/>
      <c r="E24" s="250"/>
      <c r="F24" s="250"/>
      <c r="G24" s="250"/>
      <c r="H24" s="250"/>
      <c r="I24" s="250"/>
      <c r="J24" s="250"/>
      <c r="K24" s="250"/>
      <c r="L24" s="250"/>
      <c r="M24" s="250"/>
      <c r="N24" s="250"/>
      <c r="O24" s="250"/>
      <c r="P24" s="250"/>
      <c r="Q24" s="250"/>
    </row>
    <row r="25" spans="1:17" ht="24">
      <c r="A25" s="250"/>
      <c r="B25" s="250"/>
      <c r="C25" s="250"/>
      <c r="D25" s="250"/>
      <c r="E25" s="250"/>
      <c r="F25" s="250"/>
      <c r="G25" s="250"/>
      <c r="H25" s="250"/>
      <c r="I25" s="250"/>
      <c r="J25" s="250"/>
      <c r="K25" s="250"/>
      <c r="L25" s="250"/>
      <c r="M25" s="250"/>
      <c r="N25" s="250"/>
      <c r="O25" s="250"/>
      <c r="P25" s="250"/>
      <c r="Q25" s="250"/>
    </row>
    <row r="26" spans="1:17" ht="24">
      <c r="A26" s="250"/>
      <c r="B26" s="250"/>
      <c r="C26" s="250"/>
      <c r="D26" s="250"/>
      <c r="E26" s="250"/>
      <c r="F26" s="250"/>
      <c r="G26" s="250"/>
      <c r="H26" s="250"/>
      <c r="I26" s="250"/>
      <c r="J26" s="250"/>
      <c r="K26" s="250"/>
      <c r="L26" s="250"/>
      <c r="M26" s="250"/>
      <c r="N26" s="250"/>
      <c r="O26" s="250"/>
      <c r="P26" s="250"/>
      <c r="Q26" s="250"/>
    </row>
    <row r="27" spans="1:17" ht="24">
      <c r="A27" s="250"/>
      <c r="B27" s="250"/>
      <c r="C27" s="250"/>
      <c r="D27" s="250"/>
      <c r="E27" s="250"/>
      <c r="F27" s="250"/>
      <c r="G27" s="250"/>
      <c r="H27" s="250"/>
      <c r="I27" s="250"/>
      <c r="J27" s="250"/>
      <c r="K27" s="250"/>
      <c r="L27" s="250"/>
      <c r="M27" s="250"/>
      <c r="N27" s="250"/>
      <c r="O27" s="250"/>
      <c r="P27" s="250"/>
      <c r="Q27" s="250"/>
    </row>
    <row r="28" spans="1:17" ht="24">
      <c r="A28" s="250"/>
      <c r="B28" s="250"/>
      <c r="C28" s="250"/>
      <c r="D28" s="250"/>
      <c r="E28" s="250"/>
      <c r="F28" s="250"/>
      <c r="G28" s="250"/>
      <c r="H28" s="250"/>
      <c r="I28" s="250"/>
      <c r="J28" s="250"/>
      <c r="K28" s="250"/>
      <c r="L28" s="250"/>
      <c r="M28" s="250"/>
      <c r="N28" s="250"/>
      <c r="O28" s="250"/>
      <c r="P28" s="250"/>
      <c r="Q28" s="250"/>
    </row>
    <row r="29" spans="1:17" ht="24">
      <c r="A29" s="250"/>
      <c r="B29" s="250"/>
      <c r="C29" s="250"/>
      <c r="D29" s="250"/>
      <c r="E29" s="250"/>
      <c r="F29" s="250"/>
      <c r="G29" s="250"/>
      <c r="H29" s="250"/>
      <c r="I29" s="250"/>
      <c r="J29" s="250"/>
      <c r="K29" s="250"/>
      <c r="L29" s="250"/>
      <c r="M29" s="250"/>
      <c r="N29" s="250"/>
      <c r="O29" s="250"/>
      <c r="P29" s="250"/>
      <c r="Q29" s="250"/>
    </row>
    <row r="30" spans="1:17" ht="24">
      <c r="A30" s="250"/>
      <c r="B30" s="250"/>
      <c r="C30" s="250"/>
      <c r="D30" s="250"/>
      <c r="E30" s="250"/>
      <c r="F30" s="250"/>
      <c r="G30" s="250"/>
      <c r="H30" s="250"/>
      <c r="I30" s="250"/>
      <c r="J30" s="250"/>
      <c r="K30" s="250"/>
      <c r="L30" s="250"/>
      <c r="M30" s="250"/>
      <c r="N30" s="250"/>
      <c r="O30" s="250"/>
      <c r="P30" s="250"/>
      <c r="Q30" s="250"/>
    </row>
    <row r="31" spans="1:17" ht="24">
      <c r="A31" s="250"/>
      <c r="B31" s="250"/>
      <c r="C31" s="250"/>
      <c r="D31" s="250"/>
      <c r="E31" s="250"/>
      <c r="F31" s="250"/>
      <c r="G31" s="250"/>
      <c r="H31" s="250"/>
      <c r="I31" s="250"/>
      <c r="J31" s="250"/>
      <c r="K31" s="250"/>
      <c r="L31" s="250"/>
      <c r="M31" s="250"/>
      <c r="N31" s="250"/>
      <c r="O31" s="250"/>
      <c r="P31" s="250"/>
      <c r="Q31" s="250"/>
    </row>
    <row r="32" spans="1:17" ht="24">
      <c r="A32" s="250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</row>
    <row r="33" spans="1:17" ht="24">
      <c r="A33" s="250"/>
      <c r="B33" s="250"/>
      <c r="C33" s="250"/>
      <c r="D33" s="250"/>
      <c r="E33" s="250"/>
      <c r="F33" s="250"/>
      <c r="G33" s="250"/>
      <c r="H33" s="250"/>
      <c r="I33" s="250"/>
      <c r="J33" s="250"/>
      <c r="K33" s="250"/>
      <c r="L33" s="250"/>
      <c r="M33" s="250"/>
      <c r="N33" s="250"/>
      <c r="O33" s="250"/>
      <c r="P33" s="250"/>
      <c r="Q33" s="250"/>
    </row>
    <row r="34" spans="1:17" ht="24">
      <c r="A34" s="250"/>
      <c r="B34" s="250"/>
      <c r="C34" s="250"/>
      <c r="D34" s="250"/>
      <c r="E34" s="250"/>
      <c r="F34" s="250"/>
      <c r="G34" s="250"/>
      <c r="H34" s="250"/>
      <c r="I34" s="250"/>
      <c r="J34" s="250"/>
      <c r="K34" s="250"/>
      <c r="L34" s="250"/>
      <c r="M34" s="250"/>
      <c r="N34" s="250"/>
      <c r="O34" s="250"/>
      <c r="P34" s="250"/>
      <c r="Q34" s="250"/>
    </row>
    <row r="35" spans="1:17" ht="24">
      <c r="A35" s="250"/>
      <c r="B35" s="250"/>
      <c r="C35" s="250"/>
      <c r="D35" s="250"/>
      <c r="E35" s="250"/>
      <c r="F35" s="250"/>
      <c r="G35" s="250"/>
      <c r="H35" s="250"/>
      <c r="I35" s="250"/>
      <c r="J35" s="250"/>
      <c r="K35" s="250"/>
      <c r="L35" s="250"/>
      <c r="M35" s="250"/>
      <c r="N35" s="250"/>
      <c r="O35" s="250"/>
      <c r="P35" s="250"/>
      <c r="Q35" s="250"/>
    </row>
    <row r="36" spans="1:17" ht="24">
      <c r="A36" s="250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</row>
    <row r="37" spans="1:17" ht="24">
      <c r="A37" s="250"/>
      <c r="B37" s="250"/>
      <c r="C37" s="250"/>
      <c r="D37" s="250"/>
      <c r="E37" s="250"/>
      <c r="F37" s="250"/>
      <c r="G37" s="250"/>
      <c r="H37" s="250"/>
      <c r="I37" s="250"/>
      <c r="J37" s="250"/>
      <c r="K37" s="250"/>
      <c r="L37" s="250"/>
      <c r="M37" s="250"/>
      <c r="N37" s="250"/>
      <c r="O37" s="250"/>
      <c r="P37" s="250"/>
      <c r="Q37" s="250"/>
    </row>
    <row r="38" spans="1:17" ht="24">
      <c r="A38" s="250"/>
      <c r="B38" s="250"/>
      <c r="C38" s="250"/>
      <c r="D38" s="250"/>
      <c r="E38" s="250"/>
      <c r="F38" s="250"/>
      <c r="G38" s="250"/>
      <c r="H38" s="250"/>
      <c r="I38" s="250"/>
      <c r="J38" s="250"/>
      <c r="K38" s="250"/>
      <c r="L38" s="250"/>
      <c r="M38" s="250"/>
      <c r="N38" s="250"/>
      <c r="O38" s="250"/>
      <c r="P38" s="250"/>
      <c r="Q38" s="250"/>
    </row>
    <row r="39" spans="1:17" ht="24">
      <c r="A39" s="250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</row>
    <row r="40" spans="1:17" ht="24">
      <c r="A40" s="250"/>
      <c r="B40" s="250"/>
      <c r="C40" s="250"/>
      <c r="D40" s="250"/>
      <c r="E40" s="250"/>
      <c r="F40" s="250"/>
      <c r="G40" s="250"/>
      <c r="H40" s="250"/>
      <c r="I40" s="250"/>
      <c r="J40" s="250"/>
      <c r="K40" s="250"/>
      <c r="L40" s="250"/>
      <c r="M40" s="250"/>
      <c r="N40" s="250"/>
      <c r="O40" s="250"/>
      <c r="P40" s="250"/>
      <c r="Q40" s="250"/>
    </row>
    <row r="41" spans="1:17" ht="24">
      <c r="A41" s="250"/>
      <c r="B41" s="250"/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0"/>
      <c r="N41" s="250"/>
      <c r="O41" s="250"/>
      <c r="P41" s="250"/>
      <c r="Q41" s="250"/>
    </row>
    <row r="42" spans="1:17" ht="24">
      <c r="A42" s="250"/>
      <c r="B42" s="250"/>
      <c r="C42" s="250"/>
      <c r="D42" s="250"/>
      <c r="E42" s="250"/>
      <c r="F42" s="250"/>
      <c r="G42" s="250"/>
      <c r="H42" s="250"/>
      <c r="I42" s="250"/>
      <c r="J42" s="250"/>
      <c r="K42" s="250"/>
      <c r="L42" s="250"/>
      <c r="M42" s="250"/>
      <c r="N42" s="250"/>
      <c r="O42" s="250"/>
      <c r="P42" s="250"/>
      <c r="Q42" s="250"/>
    </row>
    <row r="43" spans="1:17" ht="24">
      <c r="A43" s="250"/>
      <c r="B43" s="250"/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0"/>
      <c r="N43" s="250"/>
      <c r="O43" s="250"/>
      <c r="P43" s="250"/>
      <c r="Q43" s="250"/>
    </row>
    <row r="44" spans="1:17" ht="24">
      <c r="A44" s="250"/>
      <c r="B44" s="250"/>
      <c r="C44" s="250"/>
      <c r="D44" s="250"/>
      <c r="E44" s="250"/>
      <c r="F44" s="250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</row>
    <row r="45" spans="1:17" ht="24">
      <c r="A45" s="250"/>
      <c r="B45" s="250"/>
      <c r="C45" s="250"/>
      <c r="D45" s="250"/>
      <c r="E45" s="250"/>
      <c r="F45" s="250"/>
      <c r="G45" s="250"/>
      <c r="H45" s="250"/>
      <c r="I45" s="250"/>
      <c r="J45" s="250"/>
      <c r="K45" s="250"/>
      <c r="L45" s="250"/>
      <c r="M45" s="250"/>
      <c r="N45" s="250"/>
      <c r="O45" s="250"/>
      <c r="P45" s="250"/>
      <c r="Q45" s="250"/>
    </row>
    <row r="46" spans="1:17" ht="24">
      <c r="A46" s="250"/>
      <c r="B46" s="250"/>
      <c r="C46" s="250"/>
      <c r="D46" s="250"/>
      <c r="E46" s="250"/>
      <c r="F46" s="250"/>
      <c r="G46" s="250"/>
      <c r="H46" s="250"/>
      <c r="I46" s="250"/>
      <c r="J46" s="250"/>
      <c r="K46" s="250"/>
      <c r="L46" s="250"/>
      <c r="M46" s="250"/>
      <c r="N46" s="250"/>
      <c r="O46" s="250"/>
      <c r="P46" s="250"/>
      <c r="Q46" s="250"/>
    </row>
    <row r="47" spans="1:17" ht="24">
      <c r="A47" s="250"/>
      <c r="B47" s="250"/>
      <c r="C47" s="250"/>
      <c r="D47" s="250"/>
      <c r="E47" s="250"/>
      <c r="F47" s="250"/>
      <c r="G47" s="250"/>
      <c r="H47" s="250"/>
      <c r="I47" s="250"/>
      <c r="J47" s="250"/>
      <c r="K47" s="250"/>
      <c r="L47" s="250"/>
      <c r="M47" s="250"/>
      <c r="N47" s="250"/>
      <c r="O47" s="250"/>
      <c r="P47" s="250"/>
      <c r="Q47" s="250"/>
    </row>
    <row r="48" spans="1:17" ht="24">
      <c r="A48" s="250"/>
      <c r="B48" s="250"/>
      <c r="C48" s="250"/>
      <c r="D48" s="250"/>
      <c r="E48" s="250"/>
      <c r="F48" s="250"/>
      <c r="G48" s="250"/>
      <c r="H48" s="250"/>
      <c r="I48" s="250"/>
      <c r="J48" s="250"/>
      <c r="K48" s="250"/>
      <c r="L48" s="250"/>
      <c r="M48" s="250"/>
      <c r="N48" s="250"/>
      <c r="O48" s="250"/>
      <c r="P48" s="250"/>
      <c r="Q48" s="250"/>
    </row>
    <row r="49" spans="1:17" ht="24">
      <c r="A49" s="250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</row>
    <row r="50" spans="1:17" ht="24">
      <c r="A50" s="250"/>
      <c r="B50" s="250"/>
      <c r="C50" s="250"/>
      <c r="D50" s="250"/>
      <c r="E50" s="250"/>
      <c r="F50" s="250"/>
      <c r="G50" s="250"/>
      <c r="H50" s="250"/>
      <c r="I50" s="250"/>
      <c r="J50" s="250"/>
      <c r="K50" s="250"/>
      <c r="L50" s="250"/>
      <c r="M50" s="250"/>
      <c r="N50" s="250"/>
      <c r="O50" s="250"/>
      <c r="P50" s="250"/>
      <c r="Q50" s="250"/>
    </row>
    <row r="51" spans="1:17" ht="24">
      <c r="A51" s="250"/>
      <c r="B51" s="250"/>
      <c r="C51" s="250"/>
      <c r="D51" s="250"/>
      <c r="E51" s="250"/>
      <c r="F51" s="250"/>
      <c r="G51" s="250"/>
      <c r="H51" s="250"/>
      <c r="I51" s="250"/>
      <c r="J51" s="250"/>
      <c r="K51" s="250"/>
      <c r="L51" s="250"/>
      <c r="M51" s="250"/>
      <c r="N51" s="250"/>
      <c r="O51" s="250"/>
      <c r="P51" s="250"/>
      <c r="Q51" s="250"/>
    </row>
    <row r="52" spans="1:17" ht="24">
      <c r="A52" s="250"/>
      <c r="B52" s="250"/>
      <c r="C52" s="250"/>
      <c r="D52" s="250"/>
      <c r="E52" s="250"/>
      <c r="F52" s="250"/>
      <c r="G52" s="250"/>
      <c r="H52" s="250"/>
      <c r="I52" s="250"/>
      <c r="J52" s="250"/>
      <c r="K52" s="250"/>
      <c r="L52" s="250"/>
      <c r="M52" s="250"/>
      <c r="N52" s="250"/>
      <c r="O52" s="250"/>
      <c r="P52" s="250"/>
      <c r="Q52" s="250"/>
    </row>
    <row r="53" spans="1:17" ht="24">
      <c r="A53" s="250"/>
      <c r="B53" s="250"/>
      <c r="C53" s="250"/>
      <c r="D53" s="250"/>
      <c r="E53" s="250"/>
      <c r="F53" s="250"/>
      <c r="G53" s="250"/>
      <c r="H53" s="250"/>
      <c r="I53" s="250"/>
      <c r="J53" s="250"/>
      <c r="K53" s="250"/>
      <c r="L53" s="250"/>
      <c r="M53" s="250"/>
      <c r="N53" s="250"/>
      <c r="O53" s="250"/>
      <c r="P53" s="250"/>
      <c r="Q53" s="250"/>
    </row>
    <row r="54" spans="1:17" ht="24">
      <c r="A54" s="250"/>
      <c r="B54" s="250"/>
      <c r="C54" s="250"/>
      <c r="D54" s="250"/>
      <c r="E54" s="250"/>
      <c r="F54" s="250"/>
      <c r="G54" s="250"/>
      <c r="H54" s="250"/>
      <c r="I54" s="250"/>
      <c r="J54" s="250"/>
      <c r="K54" s="250"/>
      <c r="L54" s="250"/>
      <c r="M54" s="250"/>
      <c r="N54" s="250"/>
      <c r="O54" s="250"/>
      <c r="P54" s="250"/>
      <c r="Q54" s="250"/>
    </row>
    <row r="55" spans="1:17" ht="24">
      <c r="A55" s="250"/>
      <c r="B55" s="250"/>
      <c r="C55" s="250"/>
      <c r="D55" s="250"/>
      <c r="E55" s="250"/>
      <c r="F55" s="250"/>
      <c r="G55" s="250"/>
      <c r="H55" s="250"/>
      <c r="I55" s="250"/>
      <c r="J55" s="250"/>
      <c r="K55" s="250"/>
      <c r="L55" s="250"/>
      <c r="M55" s="250"/>
      <c r="N55" s="250"/>
      <c r="O55" s="250"/>
      <c r="P55" s="250"/>
      <c r="Q55" s="250"/>
    </row>
    <row r="56" spans="1:17" ht="24">
      <c r="A56" s="250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</row>
    <row r="57" spans="1:17" ht="24">
      <c r="A57" s="250"/>
      <c r="B57" s="250"/>
      <c r="C57" s="250"/>
      <c r="D57" s="250"/>
      <c r="E57" s="250"/>
      <c r="F57" s="250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</row>
    <row r="58" spans="1:17" ht="24">
      <c r="A58" s="250"/>
      <c r="B58" s="250"/>
      <c r="C58" s="250"/>
      <c r="D58" s="250"/>
      <c r="E58" s="250"/>
      <c r="F58" s="250"/>
      <c r="G58" s="250"/>
      <c r="H58" s="250"/>
      <c r="I58" s="250"/>
      <c r="J58" s="250"/>
      <c r="K58" s="250"/>
      <c r="L58" s="250"/>
      <c r="M58" s="250"/>
      <c r="N58" s="250"/>
      <c r="O58" s="250"/>
      <c r="P58" s="250"/>
      <c r="Q58" s="250"/>
    </row>
    <row r="59" spans="1:17" ht="24">
      <c r="A59" s="250"/>
      <c r="B59" s="250"/>
      <c r="C59" s="250"/>
      <c r="D59" s="250"/>
      <c r="E59" s="250"/>
      <c r="F59" s="250"/>
      <c r="G59" s="250"/>
      <c r="H59" s="250"/>
      <c r="I59" s="250"/>
      <c r="J59" s="250"/>
      <c r="K59" s="250"/>
      <c r="L59" s="250"/>
      <c r="M59" s="250"/>
      <c r="N59" s="250"/>
      <c r="O59" s="250"/>
      <c r="P59" s="250"/>
      <c r="Q59" s="250"/>
    </row>
    <row r="60" spans="1:17" ht="24">
      <c r="A60" s="250"/>
      <c r="B60" s="250"/>
      <c r="C60" s="250"/>
      <c r="D60" s="250"/>
      <c r="E60" s="250"/>
      <c r="F60" s="250"/>
      <c r="G60" s="250"/>
      <c r="H60" s="250"/>
      <c r="I60" s="250"/>
      <c r="J60" s="250"/>
      <c r="K60" s="250"/>
      <c r="L60" s="250"/>
      <c r="M60" s="250"/>
      <c r="N60" s="250"/>
      <c r="O60" s="250"/>
      <c r="P60" s="250"/>
      <c r="Q60" s="250"/>
    </row>
    <row r="61" spans="1:17" ht="24">
      <c r="A61" s="250"/>
      <c r="B61" s="250"/>
      <c r="C61" s="250"/>
      <c r="D61" s="250"/>
      <c r="E61" s="250"/>
      <c r="F61" s="250"/>
      <c r="G61" s="250"/>
      <c r="H61" s="250"/>
      <c r="I61" s="250"/>
      <c r="J61" s="250"/>
      <c r="K61" s="250"/>
      <c r="L61" s="250"/>
      <c r="M61" s="250"/>
      <c r="N61" s="250"/>
      <c r="O61" s="250"/>
      <c r="P61" s="250"/>
      <c r="Q61" s="250"/>
    </row>
    <row r="62" spans="1:17" ht="24">
      <c r="A62" s="250"/>
      <c r="B62" s="250"/>
      <c r="C62" s="250"/>
      <c r="D62" s="250"/>
      <c r="E62" s="250"/>
      <c r="F62" s="250"/>
      <c r="G62" s="250"/>
      <c r="H62" s="250"/>
      <c r="I62" s="250"/>
      <c r="J62" s="250"/>
      <c r="K62" s="250"/>
      <c r="L62" s="250"/>
      <c r="M62" s="250"/>
      <c r="N62" s="250"/>
      <c r="O62" s="250"/>
      <c r="P62" s="250"/>
      <c r="Q62" s="250"/>
    </row>
    <row r="63" spans="1:17" ht="24">
      <c r="A63" s="250"/>
      <c r="B63" s="250"/>
      <c r="C63" s="250"/>
      <c r="D63" s="250"/>
      <c r="E63" s="250"/>
      <c r="F63" s="250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</row>
    <row r="64" spans="1:17" ht="24">
      <c r="A64" s="250"/>
      <c r="B64" s="250"/>
      <c r="C64" s="250"/>
      <c r="D64" s="250"/>
      <c r="E64" s="250"/>
      <c r="F64" s="250"/>
      <c r="G64" s="250"/>
      <c r="H64" s="250"/>
      <c r="I64" s="250"/>
      <c r="J64" s="250"/>
      <c r="K64" s="250"/>
      <c r="L64" s="250"/>
      <c r="M64" s="250"/>
      <c r="N64" s="250"/>
      <c r="O64" s="250"/>
      <c r="P64" s="250"/>
      <c r="Q64" s="250"/>
    </row>
    <row r="65" spans="1:17" ht="24">
      <c r="A65" s="250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</row>
    <row r="66" spans="1:17" ht="24">
      <c r="A66" s="250"/>
      <c r="B66" s="250"/>
      <c r="C66" s="250"/>
      <c r="D66" s="250"/>
      <c r="E66" s="250"/>
      <c r="F66" s="250"/>
      <c r="G66" s="250"/>
      <c r="H66" s="250"/>
      <c r="I66" s="250"/>
      <c r="J66" s="250"/>
      <c r="K66" s="250"/>
      <c r="L66" s="250"/>
      <c r="M66" s="250"/>
      <c r="N66" s="250"/>
      <c r="O66" s="250"/>
      <c r="P66" s="250"/>
      <c r="Q66" s="250"/>
    </row>
    <row r="67" spans="1:17" ht="24">
      <c r="A67" s="250"/>
      <c r="B67" s="250"/>
      <c r="C67" s="250"/>
      <c r="D67" s="250"/>
      <c r="E67" s="250"/>
      <c r="F67" s="250"/>
      <c r="G67" s="250"/>
      <c r="H67" s="250"/>
      <c r="I67" s="250"/>
      <c r="J67" s="250"/>
      <c r="K67" s="250"/>
      <c r="L67" s="250"/>
      <c r="M67" s="250"/>
      <c r="N67" s="250"/>
      <c r="O67" s="250"/>
      <c r="P67" s="250"/>
      <c r="Q67" s="250"/>
    </row>
    <row r="68" spans="1:17" ht="24">
      <c r="A68" s="250"/>
      <c r="B68" s="250"/>
      <c r="C68" s="250"/>
      <c r="D68" s="250"/>
      <c r="E68" s="250"/>
      <c r="F68" s="250"/>
      <c r="G68" s="250"/>
      <c r="H68" s="250"/>
      <c r="I68" s="250"/>
      <c r="J68" s="250"/>
      <c r="K68" s="250"/>
      <c r="L68" s="250"/>
      <c r="M68" s="250"/>
      <c r="N68" s="250"/>
      <c r="O68" s="250"/>
      <c r="P68" s="250"/>
      <c r="Q68" s="250"/>
    </row>
    <row r="69" spans="1:17" ht="24">
      <c r="A69" s="250"/>
      <c r="B69" s="250"/>
      <c r="C69" s="250"/>
      <c r="D69" s="250"/>
      <c r="E69" s="250"/>
      <c r="F69" s="250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</row>
    <row r="70" spans="1:17" ht="24">
      <c r="A70" s="250"/>
      <c r="B70" s="250"/>
      <c r="C70" s="250"/>
      <c r="D70" s="250"/>
      <c r="E70" s="250"/>
      <c r="F70" s="250"/>
      <c r="G70" s="250"/>
      <c r="H70" s="250"/>
      <c r="I70" s="250"/>
      <c r="J70" s="250"/>
      <c r="K70" s="250"/>
      <c r="L70" s="250"/>
      <c r="M70" s="250"/>
      <c r="N70" s="250"/>
      <c r="O70" s="250"/>
      <c r="P70" s="250"/>
      <c r="Q70" s="250"/>
    </row>
    <row r="71" spans="1:17" ht="24">
      <c r="A71" s="250"/>
      <c r="B71" s="250"/>
      <c r="C71" s="250"/>
      <c r="D71" s="250"/>
      <c r="E71" s="250"/>
      <c r="F71" s="250"/>
      <c r="G71" s="250"/>
      <c r="H71" s="250"/>
      <c r="I71" s="250"/>
      <c r="J71" s="250"/>
      <c r="K71" s="250"/>
      <c r="L71" s="250"/>
      <c r="M71" s="250"/>
      <c r="N71" s="250"/>
      <c r="O71" s="250"/>
      <c r="P71" s="250"/>
      <c r="Q71" s="250"/>
    </row>
    <row r="72" spans="1:17" ht="24">
      <c r="A72" s="250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</row>
    <row r="73" spans="1:17" ht="24">
      <c r="A73" s="250"/>
      <c r="B73" s="250"/>
      <c r="C73" s="250"/>
      <c r="D73" s="250"/>
      <c r="E73" s="250"/>
      <c r="F73" s="250"/>
      <c r="G73" s="250"/>
      <c r="H73" s="250"/>
      <c r="I73" s="250"/>
      <c r="J73" s="250"/>
      <c r="K73" s="250"/>
      <c r="L73" s="250"/>
      <c r="M73" s="250"/>
      <c r="N73" s="250"/>
      <c r="O73" s="250"/>
      <c r="P73" s="250"/>
      <c r="Q73" s="250"/>
    </row>
    <row r="74" spans="1:17" ht="24">
      <c r="A74" s="250"/>
      <c r="B74" s="250"/>
      <c r="C74" s="250"/>
      <c r="D74" s="250"/>
      <c r="E74" s="250"/>
      <c r="F74" s="250"/>
      <c r="G74" s="250"/>
      <c r="H74" s="250"/>
      <c r="I74" s="250"/>
      <c r="J74" s="250"/>
      <c r="K74" s="250"/>
      <c r="L74" s="250"/>
      <c r="M74" s="250"/>
      <c r="N74" s="250"/>
      <c r="O74" s="250"/>
      <c r="P74" s="250"/>
      <c r="Q74" s="250"/>
    </row>
    <row r="75" spans="1:17" ht="24">
      <c r="A75" s="250"/>
      <c r="B75" s="250"/>
      <c r="C75" s="250"/>
      <c r="D75" s="250"/>
      <c r="E75" s="250"/>
      <c r="F75" s="250"/>
      <c r="G75" s="250"/>
      <c r="H75" s="250"/>
      <c r="I75" s="250"/>
      <c r="J75" s="250"/>
      <c r="K75" s="250"/>
      <c r="L75" s="250"/>
      <c r="M75" s="250"/>
      <c r="N75" s="250"/>
      <c r="O75" s="250"/>
      <c r="P75" s="250"/>
      <c r="Q75" s="250"/>
    </row>
    <row r="76" spans="1:17" ht="24">
      <c r="A76" s="250"/>
      <c r="B76" s="250"/>
      <c r="C76" s="250"/>
      <c r="D76" s="250"/>
      <c r="E76" s="250"/>
      <c r="F76" s="250"/>
      <c r="G76" s="250"/>
      <c r="H76" s="250"/>
      <c r="I76" s="250"/>
      <c r="J76" s="250"/>
      <c r="K76" s="250"/>
      <c r="L76" s="250"/>
      <c r="M76" s="250"/>
      <c r="N76" s="250"/>
      <c r="O76" s="250"/>
      <c r="P76" s="250"/>
      <c r="Q76" s="250"/>
    </row>
    <row r="77" spans="1:17" ht="24">
      <c r="A77" s="250"/>
      <c r="B77" s="250"/>
      <c r="C77" s="250"/>
      <c r="D77" s="250"/>
      <c r="E77" s="250"/>
      <c r="F77" s="250"/>
      <c r="G77" s="250"/>
      <c r="H77" s="250"/>
      <c r="I77" s="250"/>
      <c r="J77" s="250"/>
      <c r="K77" s="250"/>
      <c r="L77" s="250"/>
      <c r="M77" s="250"/>
      <c r="N77" s="250"/>
      <c r="O77" s="250"/>
      <c r="P77" s="250"/>
      <c r="Q77" s="250"/>
    </row>
    <row r="78" spans="1:17" ht="24">
      <c r="A78" s="250"/>
      <c r="B78" s="250"/>
      <c r="C78" s="250"/>
      <c r="D78" s="250"/>
      <c r="E78" s="250"/>
      <c r="F78" s="250"/>
      <c r="G78" s="250"/>
      <c r="H78" s="250"/>
      <c r="I78" s="250"/>
      <c r="J78" s="250"/>
      <c r="K78" s="250"/>
      <c r="L78" s="250"/>
      <c r="M78" s="250"/>
      <c r="N78" s="250"/>
      <c r="O78" s="250"/>
      <c r="P78" s="250"/>
      <c r="Q78" s="250"/>
    </row>
    <row r="79" spans="1:17" ht="24">
      <c r="A79" s="250"/>
      <c r="B79" s="250"/>
      <c r="C79" s="250"/>
      <c r="D79" s="250"/>
      <c r="E79" s="250"/>
      <c r="F79" s="250"/>
      <c r="G79" s="250"/>
      <c r="H79" s="250"/>
      <c r="I79" s="250"/>
      <c r="J79" s="250"/>
      <c r="K79" s="250"/>
      <c r="L79" s="250"/>
      <c r="M79" s="250"/>
      <c r="N79" s="250"/>
      <c r="O79" s="250"/>
      <c r="P79" s="250"/>
      <c r="Q79" s="250"/>
    </row>
    <row r="80" spans="1:17" ht="24">
      <c r="A80" s="250"/>
      <c r="B80" s="250"/>
      <c r="C80" s="250"/>
      <c r="D80" s="250"/>
      <c r="E80" s="250"/>
      <c r="F80" s="250"/>
      <c r="G80" s="250"/>
      <c r="H80" s="250"/>
      <c r="I80" s="250"/>
      <c r="J80" s="250"/>
      <c r="K80" s="250"/>
      <c r="L80" s="250"/>
      <c r="M80" s="250"/>
      <c r="N80" s="250"/>
      <c r="O80" s="250"/>
      <c r="P80" s="250"/>
      <c r="Q80" s="250"/>
    </row>
    <row r="81" spans="1:17" ht="24">
      <c r="A81" s="250"/>
      <c r="B81" s="250"/>
      <c r="C81" s="250"/>
      <c r="D81" s="250"/>
      <c r="E81" s="250"/>
      <c r="F81" s="250"/>
      <c r="G81" s="250"/>
      <c r="H81" s="250"/>
      <c r="I81" s="250"/>
      <c r="J81" s="250"/>
      <c r="K81" s="250"/>
      <c r="L81" s="250"/>
      <c r="M81" s="250"/>
      <c r="N81" s="250"/>
      <c r="O81" s="250"/>
      <c r="P81" s="250"/>
      <c r="Q81" s="250"/>
    </row>
    <row r="82" spans="1:17" ht="24">
      <c r="A82" s="250"/>
      <c r="B82" s="250"/>
      <c r="C82" s="250"/>
      <c r="D82" s="250"/>
      <c r="E82" s="250"/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</row>
    <row r="83" spans="1:17" ht="24">
      <c r="A83" s="250"/>
      <c r="B83" s="250"/>
      <c r="C83" s="250"/>
      <c r="D83" s="250"/>
      <c r="E83" s="250"/>
      <c r="F83" s="250"/>
      <c r="G83" s="250"/>
      <c r="H83" s="250"/>
      <c r="I83" s="250"/>
      <c r="J83" s="250"/>
      <c r="K83" s="250"/>
      <c r="L83" s="250"/>
      <c r="M83" s="250"/>
      <c r="N83" s="250"/>
      <c r="O83" s="250"/>
      <c r="P83" s="250"/>
      <c r="Q83" s="250"/>
    </row>
    <row r="84" spans="1:17" ht="24">
      <c r="A84" s="250"/>
      <c r="B84" s="250"/>
      <c r="C84" s="250"/>
      <c r="D84" s="250"/>
      <c r="E84" s="250"/>
      <c r="F84" s="250"/>
      <c r="G84" s="250"/>
      <c r="H84" s="250"/>
      <c r="I84" s="250"/>
      <c r="J84" s="250"/>
      <c r="K84" s="250"/>
      <c r="L84" s="250"/>
      <c r="M84" s="250"/>
      <c r="N84" s="250"/>
      <c r="O84" s="250"/>
      <c r="P84" s="250"/>
      <c r="Q84" s="250"/>
    </row>
    <row r="85" spans="1:17" ht="24">
      <c r="A85" s="250"/>
      <c r="B85" s="250"/>
      <c r="C85" s="250"/>
      <c r="D85" s="250"/>
      <c r="E85" s="250"/>
      <c r="F85" s="250"/>
      <c r="G85" s="250"/>
      <c r="H85" s="250"/>
      <c r="I85" s="250"/>
      <c r="J85" s="250"/>
      <c r="K85" s="250"/>
      <c r="L85" s="250"/>
      <c r="M85" s="250"/>
      <c r="N85" s="250"/>
      <c r="O85" s="250"/>
      <c r="P85" s="250"/>
      <c r="Q85" s="250"/>
    </row>
    <row r="86" spans="1:17" ht="24">
      <c r="A86" s="250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</row>
    <row r="87" spans="1:17" ht="24">
      <c r="A87" s="250"/>
      <c r="B87" s="250"/>
      <c r="C87" s="250"/>
      <c r="D87" s="250"/>
      <c r="E87" s="250"/>
      <c r="F87" s="250"/>
      <c r="G87" s="250"/>
      <c r="H87" s="250"/>
      <c r="I87" s="250"/>
      <c r="J87" s="250"/>
      <c r="K87" s="250"/>
      <c r="L87" s="250"/>
      <c r="M87" s="250"/>
      <c r="N87" s="250"/>
      <c r="O87" s="250"/>
      <c r="P87" s="250"/>
      <c r="Q87" s="250"/>
    </row>
    <row r="88" spans="1:17" ht="24">
      <c r="A88" s="250"/>
      <c r="B88" s="250"/>
      <c r="C88" s="250"/>
      <c r="D88" s="250"/>
      <c r="E88" s="250"/>
      <c r="F88" s="250"/>
      <c r="G88" s="250"/>
      <c r="H88" s="250"/>
      <c r="I88" s="250"/>
      <c r="J88" s="250"/>
      <c r="K88" s="250"/>
      <c r="L88" s="250"/>
      <c r="M88" s="250"/>
      <c r="N88" s="250"/>
      <c r="O88" s="250"/>
      <c r="P88" s="250"/>
      <c r="Q88" s="250"/>
    </row>
    <row r="89" spans="1:17" ht="24">
      <c r="A89" s="250"/>
      <c r="B89" s="250"/>
      <c r="C89" s="250"/>
      <c r="D89" s="250"/>
      <c r="E89" s="250"/>
      <c r="F89" s="250"/>
      <c r="G89" s="250"/>
      <c r="H89" s="250"/>
      <c r="I89" s="250"/>
      <c r="J89" s="250"/>
      <c r="K89" s="250"/>
      <c r="L89" s="250"/>
      <c r="M89" s="250"/>
      <c r="N89" s="250"/>
      <c r="O89" s="250"/>
      <c r="P89" s="250"/>
      <c r="Q89" s="250"/>
    </row>
    <row r="90" spans="1:17" ht="24">
      <c r="A90" s="250"/>
      <c r="B90" s="250"/>
      <c r="C90" s="250"/>
      <c r="D90" s="250"/>
      <c r="E90" s="250"/>
      <c r="F90" s="250"/>
      <c r="G90" s="250"/>
      <c r="H90" s="250"/>
      <c r="I90" s="250"/>
      <c r="J90" s="250"/>
      <c r="K90" s="250"/>
      <c r="L90" s="250"/>
      <c r="M90" s="250"/>
      <c r="N90" s="250"/>
      <c r="O90" s="250"/>
      <c r="P90" s="250"/>
      <c r="Q90" s="250"/>
    </row>
    <row r="91" spans="1:17" ht="24">
      <c r="A91" s="250"/>
      <c r="B91" s="250"/>
      <c r="C91" s="250"/>
      <c r="D91" s="250"/>
      <c r="E91" s="250"/>
      <c r="F91" s="250"/>
      <c r="G91" s="250"/>
      <c r="H91" s="250"/>
      <c r="I91" s="250"/>
      <c r="J91" s="250"/>
      <c r="K91" s="250"/>
      <c r="L91" s="250"/>
      <c r="M91" s="250"/>
      <c r="N91" s="250"/>
      <c r="O91" s="250"/>
      <c r="P91" s="250"/>
      <c r="Q91" s="250"/>
    </row>
    <row r="92" spans="1:17" ht="24">
      <c r="A92" s="250"/>
      <c r="B92" s="250"/>
      <c r="C92" s="250"/>
      <c r="D92" s="250"/>
      <c r="E92" s="250"/>
      <c r="F92" s="250"/>
      <c r="G92" s="250"/>
      <c r="H92" s="250"/>
      <c r="I92" s="250"/>
      <c r="J92" s="250"/>
      <c r="K92" s="250"/>
      <c r="L92" s="250"/>
      <c r="M92" s="250"/>
      <c r="N92" s="250"/>
      <c r="O92" s="250"/>
      <c r="P92" s="250"/>
      <c r="Q92" s="250"/>
    </row>
    <row r="93" spans="1:17" ht="24">
      <c r="A93" s="250"/>
      <c r="B93" s="250"/>
      <c r="C93" s="250"/>
      <c r="D93" s="250"/>
      <c r="E93" s="250"/>
      <c r="F93" s="250"/>
      <c r="G93" s="250"/>
      <c r="H93" s="250"/>
      <c r="I93" s="250"/>
      <c r="J93" s="250"/>
      <c r="K93" s="250"/>
      <c r="L93" s="250"/>
      <c r="M93" s="250"/>
      <c r="N93" s="250"/>
      <c r="O93" s="250"/>
      <c r="P93" s="250"/>
      <c r="Q93" s="250"/>
    </row>
    <row r="94" spans="1:17" ht="24">
      <c r="A94" s="250"/>
      <c r="B94" s="250"/>
      <c r="C94" s="250"/>
      <c r="D94" s="250"/>
      <c r="E94" s="250"/>
      <c r="F94" s="250"/>
      <c r="G94" s="250"/>
      <c r="H94" s="250"/>
      <c r="I94" s="250"/>
      <c r="J94" s="250"/>
      <c r="K94" s="250"/>
      <c r="L94" s="250"/>
      <c r="M94" s="250"/>
      <c r="N94" s="250"/>
      <c r="O94" s="250"/>
      <c r="P94" s="250"/>
      <c r="Q94" s="250"/>
    </row>
    <row r="95" spans="1:17" ht="24">
      <c r="A95" s="250"/>
      <c r="B95" s="250"/>
      <c r="C95" s="250"/>
      <c r="D95" s="250"/>
      <c r="E95" s="250"/>
      <c r="F95" s="250"/>
      <c r="G95" s="250"/>
      <c r="H95" s="250"/>
      <c r="I95" s="250"/>
      <c r="J95" s="250"/>
      <c r="K95" s="250"/>
      <c r="L95" s="250"/>
      <c r="M95" s="250"/>
      <c r="N95" s="250"/>
      <c r="O95" s="250"/>
      <c r="P95" s="250"/>
      <c r="Q95" s="250"/>
    </row>
    <row r="96" spans="1:17" ht="24">
      <c r="A96" s="250"/>
      <c r="B96" s="250"/>
      <c r="C96" s="250"/>
      <c r="D96" s="250"/>
      <c r="E96" s="250"/>
      <c r="F96" s="250"/>
      <c r="G96" s="250"/>
      <c r="H96" s="250"/>
      <c r="I96" s="250"/>
      <c r="J96" s="250"/>
      <c r="K96" s="250"/>
      <c r="L96" s="250"/>
      <c r="M96" s="250"/>
      <c r="N96" s="250"/>
      <c r="O96" s="250"/>
      <c r="P96" s="250"/>
      <c r="Q96" s="250"/>
    </row>
    <row r="97" spans="1:17" ht="24">
      <c r="A97" s="250"/>
      <c r="B97" s="250"/>
      <c r="C97" s="250"/>
      <c r="D97" s="250"/>
      <c r="E97" s="250"/>
      <c r="F97" s="250"/>
      <c r="G97" s="250"/>
      <c r="H97" s="250"/>
      <c r="I97" s="250"/>
      <c r="J97" s="250"/>
      <c r="K97" s="250"/>
      <c r="L97" s="250"/>
      <c r="M97" s="250"/>
      <c r="N97" s="250"/>
      <c r="O97" s="250"/>
      <c r="P97" s="250"/>
      <c r="Q97" s="250"/>
    </row>
    <row r="98" spans="1:17" ht="24">
      <c r="A98" s="250"/>
      <c r="B98" s="250"/>
      <c r="C98" s="250"/>
      <c r="D98" s="250"/>
      <c r="E98" s="250"/>
      <c r="F98" s="250"/>
      <c r="G98" s="250"/>
      <c r="H98" s="250"/>
      <c r="I98" s="250"/>
      <c r="J98" s="250"/>
      <c r="K98" s="250"/>
      <c r="L98" s="250"/>
      <c r="M98" s="250"/>
      <c r="N98" s="250"/>
      <c r="O98" s="250"/>
      <c r="P98" s="250"/>
      <c r="Q98" s="250"/>
    </row>
    <row r="99" spans="1:17" ht="24">
      <c r="A99" s="250"/>
      <c r="B99" s="250"/>
      <c r="C99" s="250"/>
      <c r="D99" s="250"/>
      <c r="E99" s="250"/>
      <c r="F99" s="250"/>
      <c r="G99" s="250"/>
      <c r="H99" s="250"/>
      <c r="I99" s="250"/>
      <c r="J99" s="250"/>
      <c r="K99" s="250"/>
      <c r="L99" s="250"/>
      <c r="M99" s="250"/>
      <c r="N99" s="250"/>
      <c r="O99" s="250"/>
      <c r="P99" s="250"/>
      <c r="Q99" s="250"/>
    </row>
    <row r="100" spans="1:17" ht="24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</row>
    <row r="101" spans="1:17" ht="24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  <c r="K101" s="250"/>
      <c r="L101" s="250"/>
      <c r="M101" s="250"/>
      <c r="N101" s="250"/>
      <c r="O101" s="250"/>
      <c r="P101" s="250"/>
      <c r="Q101" s="250"/>
    </row>
    <row r="102" spans="1:17" ht="24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  <c r="K102" s="250"/>
      <c r="L102" s="250"/>
      <c r="M102" s="250"/>
      <c r="N102" s="250"/>
      <c r="O102" s="250"/>
      <c r="P102" s="250"/>
      <c r="Q102" s="250"/>
    </row>
    <row r="103" spans="1:17" ht="24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  <c r="K103" s="250"/>
      <c r="L103" s="250"/>
      <c r="M103" s="250"/>
      <c r="N103" s="250"/>
      <c r="O103" s="250"/>
      <c r="P103" s="250"/>
      <c r="Q103" s="250"/>
    </row>
    <row r="104" spans="1:17" ht="24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  <c r="K104" s="250"/>
      <c r="L104" s="250"/>
      <c r="M104" s="250"/>
      <c r="N104" s="250"/>
      <c r="O104" s="250"/>
      <c r="P104" s="250"/>
      <c r="Q104" s="250"/>
    </row>
    <row r="105" spans="1:17" ht="24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  <c r="K105" s="250"/>
      <c r="L105" s="250"/>
      <c r="M105" s="250"/>
      <c r="N105" s="250"/>
      <c r="O105" s="250"/>
      <c r="P105" s="250"/>
      <c r="Q105" s="250"/>
    </row>
    <row r="106" spans="1:17" ht="24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  <c r="K106" s="250"/>
      <c r="L106" s="250"/>
      <c r="M106" s="250"/>
      <c r="N106" s="250"/>
      <c r="O106" s="250"/>
      <c r="P106" s="250"/>
      <c r="Q106" s="250"/>
    </row>
    <row r="107" spans="1:17" ht="24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50"/>
      <c r="O107" s="250"/>
      <c r="P107" s="250"/>
      <c r="Q107" s="250"/>
    </row>
    <row r="108" spans="1:17" ht="24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  <c r="K108" s="250"/>
      <c r="L108" s="250"/>
      <c r="M108" s="250"/>
      <c r="N108" s="250"/>
      <c r="O108" s="250"/>
      <c r="P108" s="250"/>
      <c r="Q108" s="250"/>
    </row>
    <row r="109" spans="1:17" ht="24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  <c r="K109" s="250"/>
      <c r="L109" s="250"/>
      <c r="M109" s="250"/>
      <c r="N109" s="250"/>
      <c r="O109" s="250"/>
      <c r="P109" s="250"/>
      <c r="Q109" s="250"/>
    </row>
    <row r="110" spans="1:17" ht="24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  <c r="K110" s="250"/>
      <c r="L110" s="250"/>
      <c r="M110" s="250"/>
      <c r="N110" s="250"/>
      <c r="O110" s="250"/>
      <c r="P110" s="250"/>
      <c r="Q110" s="250"/>
    </row>
    <row r="111" spans="1:17" ht="24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  <c r="K111" s="250"/>
      <c r="L111" s="250"/>
      <c r="M111" s="250"/>
      <c r="N111" s="250"/>
      <c r="O111" s="250"/>
      <c r="P111" s="250"/>
      <c r="Q111" s="250"/>
    </row>
    <row r="112" spans="1:17" ht="24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  <c r="K112" s="250"/>
      <c r="L112" s="250"/>
      <c r="M112" s="250"/>
      <c r="N112" s="250"/>
      <c r="O112" s="250"/>
      <c r="P112" s="250"/>
      <c r="Q112" s="250"/>
    </row>
    <row r="113" spans="1:17" ht="24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  <c r="K113" s="250"/>
      <c r="L113" s="250"/>
      <c r="M113" s="250"/>
      <c r="N113" s="250"/>
      <c r="O113" s="250"/>
      <c r="P113" s="250"/>
      <c r="Q113" s="250"/>
    </row>
    <row r="114" spans="1:17" ht="24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  <c r="K114" s="250"/>
      <c r="L114" s="250"/>
      <c r="M114" s="250"/>
      <c r="N114" s="250"/>
      <c r="O114" s="250"/>
      <c r="P114" s="250"/>
      <c r="Q114" s="250"/>
    </row>
    <row r="115" spans="1:17" ht="24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  <c r="K115" s="250"/>
      <c r="L115" s="250"/>
      <c r="M115" s="250"/>
      <c r="N115" s="250"/>
      <c r="O115" s="250"/>
      <c r="P115" s="250"/>
      <c r="Q115" s="250"/>
    </row>
    <row r="116" spans="1:17" ht="24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  <c r="K116" s="250"/>
      <c r="L116" s="250"/>
      <c r="M116" s="250"/>
      <c r="N116" s="250"/>
      <c r="O116" s="250"/>
      <c r="P116" s="250"/>
      <c r="Q116" s="250"/>
    </row>
    <row r="117" spans="1:17" ht="24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  <c r="K117" s="250"/>
      <c r="L117" s="250"/>
      <c r="M117" s="250"/>
      <c r="N117" s="250"/>
      <c r="O117" s="250"/>
      <c r="P117" s="250"/>
      <c r="Q117" s="250"/>
    </row>
    <row r="118" spans="1:17" ht="24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  <c r="K118" s="250"/>
      <c r="L118" s="250"/>
      <c r="M118" s="250"/>
      <c r="N118" s="250"/>
      <c r="O118" s="250"/>
      <c r="P118" s="250"/>
      <c r="Q118" s="250"/>
    </row>
    <row r="119" spans="1:17" ht="24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  <c r="K119" s="250"/>
      <c r="L119" s="250"/>
      <c r="M119" s="250"/>
      <c r="N119" s="250"/>
      <c r="O119" s="250"/>
      <c r="P119" s="250"/>
      <c r="Q119" s="250"/>
    </row>
    <row r="120" spans="1:17" ht="24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  <c r="K120" s="250"/>
      <c r="L120" s="250"/>
      <c r="M120" s="250"/>
      <c r="N120" s="250"/>
      <c r="O120" s="250"/>
      <c r="P120" s="250"/>
      <c r="Q120" s="250"/>
    </row>
    <row r="121" spans="1:17" ht="24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  <c r="K121" s="250"/>
      <c r="L121" s="250"/>
      <c r="M121" s="250"/>
      <c r="N121" s="250"/>
      <c r="O121" s="250"/>
      <c r="P121" s="250"/>
      <c r="Q121" s="250"/>
    </row>
    <row r="122" spans="1:17" ht="24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</row>
    <row r="123" spans="1:17" ht="24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</row>
    <row r="124" spans="1:17" ht="24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  <c r="K124" s="250"/>
      <c r="L124" s="250"/>
      <c r="M124" s="250"/>
      <c r="N124" s="250"/>
      <c r="O124" s="250"/>
      <c r="P124" s="250"/>
      <c r="Q124" s="250"/>
    </row>
    <row r="125" spans="1:17" ht="24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50"/>
      <c r="M125" s="250"/>
      <c r="N125" s="250"/>
      <c r="O125" s="250"/>
      <c r="P125" s="250"/>
      <c r="Q125" s="250"/>
    </row>
    <row r="126" spans="1:17" ht="24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  <c r="K126" s="250"/>
      <c r="L126" s="250"/>
      <c r="M126" s="250"/>
      <c r="N126" s="250"/>
      <c r="O126" s="250"/>
      <c r="P126" s="250"/>
      <c r="Q126" s="250"/>
    </row>
    <row r="127" spans="1:17" ht="24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  <c r="K127" s="250"/>
      <c r="L127" s="250"/>
      <c r="M127" s="250"/>
      <c r="N127" s="250"/>
      <c r="O127" s="250"/>
      <c r="P127" s="250"/>
      <c r="Q127" s="250"/>
    </row>
    <row r="128" spans="1:17" ht="24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  <c r="K128" s="250"/>
      <c r="L128" s="250"/>
      <c r="M128" s="250"/>
      <c r="N128" s="250"/>
      <c r="O128" s="250"/>
      <c r="P128" s="250"/>
      <c r="Q128" s="250"/>
    </row>
    <row r="129" spans="1:17" ht="24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  <c r="K129" s="250"/>
      <c r="L129" s="250"/>
      <c r="M129" s="250"/>
      <c r="N129" s="250"/>
      <c r="O129" s="250"/>
      <c r="P129" s="250"/>
      <c r="Q129" s="250"/>
    </row>
    <row r="130" spans="1:17" ht="24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</row>
    <row r="131" spans="1:17" ht="24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  <c r="K131" s="250"/>
      <c r="L131" s="250"/>
      <c r="M131" s="250"/>
      <c r="N131" s="250"/>
      <c r="O131" s="250"/>
      <c r="P131" s="250"/>
      <c r="Q131" s="250"/>
    </row>
    <row r="132" spans="1:17" ht="24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  <c r="K132" s="250"/>
      <c r="L132" s="250"/>
      <c r="M132" s="250"/>
      <c r="N132" s="250"/>
      <c r="O132" s="250"/>
      <c r="P132" s="250"/>
      <c r="Q132" s="250"/>
    </row>
    <row r="133" spans="1:17" ht="24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  <c r="K133" s="250"/>
      <c r="L133" s="250"/>
      <c r="M133" s="250"/>
      <c r="N133" s="250"/>
      <c r="O133" s="250"/>
      <c r="P133" s="250"/>
      <c r="Q133" s="250"/>
    </row>
    <row r="134" spans="1:17" ht="24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  <c r="K134" s="250"/>
      <c r="L134" s="250"/>
      <c r="M134" s="250"/>
      <c r="N134" s="250"/>
      <c r="O134" s="250"/>
      <c r="P134" s="250"/>
      <c r="Q134" s="250"/>
    </row>
    <row r="135" spans="1:17" ht="24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  <c r="K135" s="250"/>
      <c r="L135" s="250"/>
      <c r="M135" s="250"/>
      <c r="N135" s="250"/>
      <c r="O135" s="250"/>
      <c r="P135" s="250"/>
      <c r="Q135" s="250"/>
    </row>
    <row r="136" spans="1:17" ht="24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  <c r="K136" s="250"/>
      <c r="L136" s="250"/>
      <c r="M136" s="250"/>
      <c r="N136" s="250"/>
      <c r="O136" s="250"/>
      <c r="P136" s="250"/>
      <c r="Q136" s="250"/>
    </row>
    <row r="137" spans="1:17" ht="24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  <c r="K137" s="250"/>
      <c r="L137" s="250"/>
      <c r="M137" s="250"/>
      <c r="N137" s="250"/>
      <c r="O137" s="250"/>
      <c r="P137" s="250"/>
      <c r="Q137" s="250"/>
    </row>
    <row r="138" spans="1:17" ht="24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  <c r="K138" s="250"/>
      <c r="L138" s="250"/>
      <c r="M138" s="250"/>
      <c r="N138" s="250"/>
      <c r="O138" s="250"/>
      <c r="P138" s="250"/>
      <c r="Q138" s="250"/>
    </row>
    <row r="139" spans="1:17" ht="24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  <c r="K139" s="250"/>
      <c r="L139" s="250"/>
      <c r="M139" s="250"/>
      <c r="N139" s="250"/>
      <c r="O139" s="250"/>
      <c r="P139" s="250"/>
      <c r="Q139" s="250"/>
    </row>
    <row r="140" spans="1:17" ht="24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  <c r="K140" s="250"/>
      <c r="L140" s="250"/>
      <c r="M140" s="250"/>
      <c r="N140" s="250"/>
      <c r="O140" s="250"/>
      <c r="P140" s="250"/>
      <c r="Q140" s="250"/>
    </row>
    <row r="141" spans="1:17" ht="24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  <c r="K141" s="250"/>
      <c r="L141" s="250"/>
      <c r="M141" s="250"/>
      <c r="N141" s="250"/>
      <c r="O141" s="250"/>
      <c r="P141" s="250"/>
      <c r="Q141" s="250"/>
    </row>
    <row r="142" spans="1:17" ht="24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  <c r="K142" s="250"/>
      <c r="L142" s="250"/>
      <c r="M142" s="250"/>
      <c r="N142" s="250"/>
      <c r="O142" s="250"/>
      <c r="P142" s="250"/>
      <c r="Q142" s="250"/>
    </row>
    <row r="143" spans="1:17" ht="24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  <c r="K143" s="250"/>
      <c r="L143" s="250"/>
      <c r="M143" s="250"/>
      <c r="N143" s="250"/>
      <c r="O143" s="250"/>
      <c r="P143" s="250"/>
      <c r="Q143" s="250"/>
    </row>
    <row r="144" spans="1:17" ht="24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  <c r="K144" s="250"/>
      <c r="L144" s="250"/>
      <c r="M144" s="250"/>
      <c r="N144" s="250"/>
      <c r="O144" s="250"/>
      <c r="P144" s="250"/>
      <c r="Q144" s="250"/>
    </row>
    <row r="145" spans="1:17" ht="24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  <c r="K145" s="250"/>
      <c r="L145" s="250"/>
      <c r="M145" s="250"/>
      <c r="N145" s="250"/>
      <c r="O145" s="250"/>
      <c r="P145" s="250"/>
      <c r="Q145" s="250"/>
    </row>
    <row r="146" spans="1:17" ht="24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  <c r="K146" s="250"/>
      <c r="L146" s="250"/>
      <c r="M146" s="250"/>
      <c r="N146" s="250"/>
      <c r="O146" s="250"/>
      <c r="P146" s="250"/>
      <c r="Q146" s="250"/>
    </row>
    <row r="147" spans="1:17" ht="24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  <c r="K147" s="250"/>
      <c r="L147" s="250"/>
      <c r="M147" s="250"/>
      <c r="N147" s="250"/>
      <c r="O147" s="250"/>
      <c r="P147" s="250"/>
      <c r="Q147" s="250"/>
    </row>
    <row r="148" spans="1:17" ht="24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  <c r="K148" s="250"/>
      <c r="L148" s="250"/>
      <c r="M148" s="250"/>
      <c r="N148" s="250"/>
      <c r="O148" s="250"/>
      <c r="P148" s="250"/>
      <c r="Q148" s="250"/>
    </row>
    <row r="149" spans="1:17" ht="24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  <c r="K149" s="250"/>
      <c r="L149" s="250"/>
      <c r="M149" s="250"/>
      <c r="N149" s="250"/>
      <c r="O149" s="250"/>
      <c r="P149" s="250"/>
      <c r="Q149" s="250"/>
    </row>
    <row r="150" spans="1:17" ht="24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  <c r="K150" s="250"/>
      <c r="L150" s="250"/>
      <c r="M150" s="250"/>
      <c r="N150" s="250"/>
      <c r="O150" s="250"/>
      <c r="P150" s="250"/>
      <c r="Q150" s="250"/>
    </row>
    <row r="151" spans="1:17" ht="24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  <c r="K151" s="250"/>
      <c r="L151" s="250"/>
      <c r="M151" s="250"/>
      <c r="N151" s="250"/>
      <c r="O151" s="250"/>
      <c r="P151" s="250"/>
      <c r="Q151" s="250"/>
    </row>
    <row r="152" spans="1:17" ht="24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  <c r="K152" s="250"/>
      <c r="L152" s="250"/>
      <c r="M152" s="250"/>
      <c r="N152" s="250"/>
      <c r="O152" s="250"/>
      <c r="P152" s="250"/>
      <c r="Q152" s="250"/>
    </row>
    <row r="153" spans="1:17" ht="24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  <c r="K153" s="250"/>
      <c r="L153" s="250"/>
      <c r="M153" s="250"/>
      <c r="N153" s="250"/>
      <c r="O153" s="250"/>
      <c r="P153" s="250"/>
      <c r="Q153" s="250"/>
    </row>
    <row r="154" spans="1:17" ht="24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  <c r="K154" s="250"/>
      <c r="L154" s="250"/>
      <c r="M154" s="250"/>
      <c r="N154" s="250"/>
      <c r="O154" s="250"/>
      <c r="P154" s="250"/>
      <c r="Q154" s="250"/>
    </row>
    <row r="155" spans="1:17" ht="24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  <c r="K155" s="250"/>
      <c r="L155" s="250"/>
      <c r="M155" s="250"/>
      <c r="N155" s="250"/>
      <c r="O155" s="250"/>
      <c r="P155" s="250"/>
      <c r="Q155" s="250"/>
    </row>
    <row r="156" spans="1:17" ht="24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  <c r="K156" s="250"/>
      <c r="L156" s="250"/>
      <c r="M156" s="250"/>
      <c r="N156" s="250"/>
      <c r="O156" s="250"/>
      <c r="P156" s="250"/>
      <c r="Q156" s="250"/>
    </row>
    <row r="157" spans="1:17" ht="24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  <c r="K157" s="250"/>
      <c r="L157" s="250"/>
      <c r="M157" s="250"/>
      <c r="N157" s="250"/>
      <c r="O157" s="250"/>
      <c r="P157" s="250"/>
      <c r="Q157" s="250"/>
    </row>
    <row r="158" spans="1:17" ht="24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  <c r="K158" s="250"/>
      <c r="L158" s="250"/>
      <c r="M158" s="250"/>
      <c r="N158" s="250"/>
      <c r="O158" s="250"/>
      <c r="P158" s="250"/>
      <c r="Q158" s="250"/>
    </row>
    <row r="159" spans="1:17" ht="24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  <c r="K159" s="250"/>
      <c r="L159" s="250"/>
      <c r="M159" s="250"/>
      <c r="N159" s="250"/>
      <c r="O159" s="250"/>
      <c r="P159" s="250"/>
      <c r="Q159" s="250"/>
    </row>
    <row r="160" spans="1:17" ht="24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  <c r="K160" s="250"/>
      <c r="L160" s="250"/>
      <c r="M160" s="250"/>
      <c r="N160" s="250"/>
      <c r="O160" s="250"/>
      <c r="P160" s="250"/>
      <c r="Q160" s="250"/>
    </row>
    <row r="161" spans="1:17" ht="24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</row>
    <row r="162" spans="1:17" ht="24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  <c r="K162" s="250"/>
      <c r="L162" s="250"/>
      <c r="M162" s="250"/>
      <c r="N162" s="250"/>
      <c r="O162" s="250"/>
      <c r="P162" s="250"/>
      <c r="Q162" s="250"/>
    </row>
    <row r="163" spans="1:17" ht="24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  <c r="K163" s="250"/>
      <c r="L163" s="250"/>
      <c r="M163" s="250"/>
      <c r="N163" s="250"/>
      <c r="O163" s="250"/>
      <c r="P163" s="250"/>
      <c r="Q163" s="250"/>
    </row>
    <row r="164" spans="1:17" ht="24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  <c r="K164" s="250"/>
      <c r="L164" s="250"/>
      <c r="M164" s="250"/>
      <c r="N164" s="250"/>
      <c r="O164" s="250"/>
      <c r="P164" s="250"/>
      <c r="Q164" s="250"/>
    </row>
    <row r="165" spans="1:17" ht="24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  <c r="K165" s="250"/>
      <c r="L165" s="250"/>
      <c r="M165" s="250"/>
      <c r="N165" s="250"/>
      <c r="O165" s="250"/>
      <c r="P165" s="250"/>
      <c r="Q165" s="250"/>
    </row>
    <row r="166" spans="1:17" ht="24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  <c r="K166" s="250"/>
      <c r="L166" s="250"/>
      <c r="M166" s="250"/>
      <c r="N166" s="250"/>
      <c r="O166" s="250"/>
      <c r="P166" s="250"/>
      <c r="Q166" s="250"/>
    </row>
    <row r="167" spans="1:17" ht="24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  <c r="K167" s="250"/>
      <c r="L167" s="250"/>
      <c r="M167" s="250"/>
      <c r="N167" s="250"/>
      <c r="O167" s="250"/>
      <c r="P167" s="250"/>
      <c r="Q167" s="250"/>
    </row>
    <row r="168" spans="1:17" ht="24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  <c r="K168" s="250"/>
      <c r="L168" s="250"/>
      <c r="M168" s="250"/>
      <c r="N168" s="250"/>
      <c r="O168" s="250"/>
      <c r="P168" s="250"/>
      <c r="Q168" s="250"/>
    </row>
    <row r="169" spans="1:17" ht="24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  <c r="K169" s="250"/>
      <c r="L169" s="250"/>
      <c r="M169" s="250"/>
      <c r="N169" s="250"/>
      <c r="O169" s="250"/>
      <c r="P169" s="250"/>
      <c r="Q169" s="250"/>
    </row>
    <row r="170" spans="1:17" ht="24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  <c r="K170" s="250"/>
      <c r="L170" s="250"/>
      <c r="M170" s="250"/>
      <c r="N170" s="250"/>
      <c r="O170" s="250"/>
      <c r="P170" s="250"/>
      <c r="Q170" s="250"/>
    </row>
    <row r="171" spans="1:17" ht="24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  <c r="K171" s="250"/>
      <c r="L171" s="250"/>
      <c r="M171" s="250"/>
      <c r="N171" s="250"/>
      <c r="O171" s="250"/>
      <c r="P171" s="250"/>
      <c r="Q171" s="250"/>
    </row>
    <row r="172" spans="1:17" ht="24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  <c r="K172" s="250"/>
      <c r="L172" s="250"/>
      <c r="M172" s="250"/>
      <c r="N172" s="250"/>
      <c r="O172" s="250"/>
      <c r="P172" s="250"/>
      <c r="Q172" s="250"/>
    </row>
    <row r="173" spans="1:17" ht="24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  <c r="K173" s="250"/>
      <c r="L173" s="250"/>
      <c r="M173" s="250"/>
      <c r="N173" s="250"/>
      <c r="O173" s="250"/>
      <c r="P173" s="250"/>
      <c r="Q173" s="250"/>
    </row>
    <row r="174" spans="1:17" ht="24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  <c r="K174" s="250"/>
      <c r="L174" s="250"/>
      <c r="M174" s="250"/>
      <c r="N174" s="250"/>
      <c r="O174" s="250"/>
      <c r="P174" s="250"/>
      <c r="Q174" s="250"/>
    </row>
    <row r="175" spans="1:17" ht="24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  <c r="K175" s="250"/>
      <c r="L175" s="250"/>
      <c r="M175" s="250"/>
      <c r="N175" s="250"/>
      <c r="O175" s="250"/>
      <c r="P175" s="250"/>
      <c r="Q175" s="250"/>
    </row>
    <row r="176" spans="1:17" ht="24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  <c r="K176" s="250"/>
      <c r="L176" s="250"/>
      <c r="M176" s="250"/>
      <c r="N176" s="250"/>
      <c r="O176" s="250"/>
      <c r="P176" s="250"/>
      <c r="Q176" s="250"/>
    </row>
    <row r="177" spans="1:17" ht="24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  <c r="K177" s="250"/>
      <c r="L177" s="250"/>
      <c r="M177" s="250"/>
      <c r="N177" s="250"/>
      <c r="O177" s="250"/>
      <c r="P177" s="250"/>
      <c r="Q177" s="250"/>
    </row>
    <row r="178" spans="1:17" ht="24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  <c r="K178" s="250"/>
      <c r="L178" s="250"/>
      <c r="M178" s="250"/>
      <c r="N178" s="250"/>
      <c r="O178" s="250"/>
      <c r="P178" s="250"/>
      <c r="Q178" s="250"/>
    </row>
    <row r="179" spans="1:17" ht="24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  <c r="K179" s="250"/>
      <c r="L179" s="250"/>
      <c r="M179" s="250"/>
      <c r="N179" s="250"/>
      <c r="O179" s="250"/>
      <c r="P179" s="250"/>
      <c r="Q179" s="250"/>
    </row>
    <row r="180" spans="1:17" ht="24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</row>
    <row r="181" spans="1:17" ht="24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  <c r="K181" s="250"/>
      <c r="L181" s="250"/>
      <c r="M181" s="250"/>
      <c r="N181" s="250"/>
      <c r="O181" s="250"/>
      <c r="P181" s="250"/>
      <c r="Q181" s="250"/>
    </row>
    <row r="182" spans="1:17" ht="24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  <c r="K182" s="250"/>
      <c r="L182" s="250"/>
      <c r="M182" s="250"/>
      <c r="N182" s="250"/>
      <c r="O182" s="250"/>
      <c r="P182" s="250"/>
      <c r="Q182" s="250"/>
    </row>
    <row r="183" spans="1:17" ht="24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  <c r="K183" s="250"/>
      <c r="L183" s="250"/>
      <c r="M183" s="250"/>
      <c r="N183" s="250"/>
      <c r="O183" s="250"/>
      <c r="P183" s="250"/>
      <c r="Q183" s="250"/>
    </row>
    <row r="184" spans="1:17" ht="24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  <c r="K184" s="250"/>
      <c r="L184" s="250"/>
      <c r="M184" s="250"/>
      <c r="N184" s="250"/>
      <c r="O184" s="250"/>
      <c r="P184" s="250"/>
      <c r="Q184" s="250"/>
    </row>
    <row r="185" spans="1:17" ht="24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  <c r="K185" s="250"/>
      <c r="L185" s="250"/>
      <c r="M185" s="250"/>
      <c r="N185" s="250"/>
      <c r="O185" s="250"/>
      <c r="P185" s="250"/>
      <c r="Q185" s="250"/>
    </row>
    <row r="186" spans="1:17" ht="24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  <c r="K186" s="250"/>
      <c r="L186" s="250"/>
      <c r="M186" s="250"/>
      <c r="N186" s="250"/>
      <c r="O186" s="250"/>
      <c r="P186" s="250"/>
      <c r="Q186" s="250"/>
    </row>
    <row r="187" spans="1:17" ht="24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  <c r="K187" s="250"/>
      <c r="L187" s="250"/>
      <c r="M187" s="250"/>
      <c r="N187" s="250"/>
      <c r="O187" s="250"/>
      <c r="P187" s="250"/>
      <c r="Q187" s="250"/>
    </row>
    <row r="188" spans="1:17" ht="24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  <c r="K188" s="250"/>
      <c r="L188" s="250"/>
      <c r="M188" s="250"/>
      <c r="N188" s="250"/>
      <c r="O188" s="250"/>
      <c r="P188" s="250"/>
      <c r="Q188" s="250"/>
    </row>
    <row r="189" spans="1:17" ht="24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  <c r="K189" s="250"/>
      <c r="L189" s="250"/>
      <c r="M189" s="250"/>
      <c r="N189" s="250"/>
      <c r="O189" s="250"/>
      <c r="P189" s="250"/>
      <c r="Q189" s="250"/>
    </row>
    <row r="190" spans="1:17" ht="24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  <c r="K190" s="250"/>
      <c r="L190" s="250"/>
      <c r="M190" s="250"/>
      <c r="N190" s="250"/>
      <c r="O190" s="250"/>
      <c r="P190" s="250"/>
      <c r="Q190" s="250"/>
    </row>
    <row r="191" spans="1:17" ht="24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  <c r="K191" s="250"/>
      <c r="L191" s="250"/>
      <c r="M191" s="250"/>
      <c r="N191" s="250"/>
      <c r="O191" s="250"/>
      <c r="P191" s="250"/>
      <c r="Q191" s="250"/>
    </row>
    <row r="192" spans="1:17" ht="24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  <c r="K192" s="250"/>
      <c r="L192" s="250"/>
      <c r="M192" s="250"/>
      <c r="N192" s="250"/>
      <c r="O192" s="250"/>
      <c r="P192" s="250"/>
      <c r="Q192" s="250"/>
    </row>
    <row r="193" spans="1:17" ht="24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  <c r="K193" s="250"/>
      <c r="L193" s="250"/>
      <c r="M193" s="250"/>
      <c r="N193" s="250"/>
      <c r="O193" s="250"/>
      <c r="P193" s="250"/>
      <c r="Q193" s="250"/>
    </row>
    <row r="194" spans="1:17" ht="24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  <c r="K194" s="250"/>
      <c r="L194" s="250"/>
      <c r="M194" s="250"/>
      <c r="N194" s="250"/>
      <c r="O194" s="250"/>
      <c r="P194" s="250"/>
      <c r="Q194" s="250"/>
    </row>
    <row r="195" spans="1:17" ht="24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  <c r="K195" s="250"/>
      <c r="L195" s="250"/>
      <c r="M195" s="250"/>
      <c r="N195" s="250"/>
      <c r="O195" s="250"/>
      <c r="P195" s="250"/>
      <c r="Q195" s="250"/>
    </row>
    <row r="196" spans="1:17" ht="24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  <c r="K196" s="250"/>
      <c r="L196" s="250"/>
      <c r="M196" s="250"/>
      <c r="N196" s="250"/>
      <c r="O196" s="250"/>
      <c r="P196" s="250"/>
      <c r="Q196" s="250"/>
    </row>
    <row r="197" spans="1:17" ht="24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  <c r="K197" s="250"/>
      <c r="L197" s="250"/>
      <c r="M197" s="250"/>
      <c r="N197" s="250"/>
      <c r="O197" s="250"/>
      <c r="P197" s="250"/>
      <c r="Q197" s="250"/>
    </row>
    <row r="198" spans="1:17" ht="24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  <c r="K198" s="250"/>
      <c r="L198" s="250"/>
      <c r="M198" s="250"/>
      <c r="N198" s="250"/>
      <c r="O198" s="250"/>
      <c r="P198" s="250"/>
      <c r="Q198" s="250"/>
    </row>
    <row r="199" spans="1:17" ht="24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  <c r="K199" s="250"/>
      <c r="L199" s="250"/>
      <c r="M199" s="250"/>
      <c r="N199" s="250"/>
      <c r="O199" s="250"/>
      <c r="P199" s="250"/>
      <c r="Q199" s="250"/>
    </row>
    <row r="200" spans="1:17" ht="24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  <c r="K200" s="250"/>
      <c r="L200" s="250"/>
      <c r="M200" s="250"/>
      <c r="N200" s="250"/>
      <c r="O200" s="250"/>
      <c r="P200" s="250"/>
      <c r="Q200" s="250"/>
    </row>
    <row r="201" spans="1:17" ht="24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  <c r="K201" s="250"/>
      <c r="L201" s="250"/>
      <c r="M201" s="250"/>
      <c r="N201" s="250"/>
      <c r="O201" s="250"/>
      <c r="P201" s="250"/>
      <c r="Q201" s="250"/>
    </row>
    <row r="202" spans="1:17" ht="24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  <c r="K202" s="250"/>
      <c r="L202" s="250"/>
      <c r="M202" s="250"/>
      <c r="N202" s="250"/>
      <c r="O202" s="250"/>
      <c r="P202" s="250"/>
      <c r="Q202" s="250"/>
    </row>
    <row r="203" spans="1:17" ht="24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  <c r="K203" s="250"/>
      <c r="L203" s="250"/>
      <c r="M203" s="250"/>
      <c r="N203" s="250"/>
      <c r="O203" s="250"/>
      <c r="P203" s="250"/>
      <c r="Q203" s="250"/>
    </row>
    <row r="204" spans="1:17" ht="24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</row>
    <row r="205" spans="1:17" ht="24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  <c r="K205" s="250"/>
      <c r="L205" s="250"/>
      <c r="M205" s="250"/>
      <c r="N205" s="250"/>
      <c r="O205" s="250"/>
      <c r="P205" s="250"/>
      <c r="Q205" s="250"/>
    </row>
    <row r="206" spans="1:17" ht="24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  <c r="K206" s="250"/>
      <c r="L206" s="250"/>
      <c r="M206" s="250"/>
      <c r="N206" s="250"/>
      <c r="O206" s="250"/>
      <c r="P206" s="250"/>
      <c r="Q206" s="250"/>
    </row>
    <row r="207" spans="1:17" ht="24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  <c r="K207" s="250"/>
      <c r="L207" s="250"/>
      <c r="M207" s="250"/>
      <c r="N207" s="250"/>
      <c r="O207" s="250"/>
      <c r="P207" s="250"/>
      <c r="Q207" s="250"/>
    </row>
    <row r="208" spans="1:17" ht="24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  <c r="K208" s="250"/>
      <c r="L208" s="250"/>
      <c r="M208" s="250"/>
      <c r="N208" s="250"/>
      <c r="O208" s="250"/>
      <c r="P208" s="250"/>
      <c r="Q208" s="250"/>
    </row>
    <row r="209" spans="1:17" ht="24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  <c r="K209" s="250"/>
      <c r="L209" s="250"/>
      <c r="M209" s="250"/>
      <c r="N209" s="250"/>
      <c r="O209" s="250"/>
      <c r="P209" s="250"/>
      <c r="Q209" s="250"/>
    </row>
    <row r="210" spans="1:17" ht="24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  <c r="K210" s="250"/>
      <c r="L210" s="250"/>
      <c r="M210" s="250"/>
      <c r="N210" s="250"/>
      <c r="O210" s="250"/>
      <c r="P210" s="250"/>
      <c r="Q210" s="250"/>
    </row>
    <row r="211" spans="1:17" ht="24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50"/>
      <c r="O211" s="250"/>
      <c r="P211" s="250"/>
      <c r="Q211" s="250"/>
    </row>
    <row r="212" spans="1:17" ht="24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  <c r="K212" s="250"/>
      <c r="L212" s="250"/>
      <c r="M212" s="250"/>
      <c r="N212" s="250"/>
      <c r="O212" s="250"/>
      <c r="P212" s="250"/>
      <c r="Q212" s="250"/>
    </row>
    <row r="213" spans="1:17" ht="24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  <c r="K213" s="250"/>
      <c r="L213" s="250"/>
      <c r="M213" s="250"/>
      <c r="N213" s="250"/>
      <c r="O213" s="250"/>
      <c r="P213" s="250"/>
      <c r="Q213" s="250"/>
    </row>
    <row r="214" spans="1:17" ht="24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  <c r="K214" s="250"/>
      <c r="L214" s="250"/>
      <c r="M214" s="250"/>
      <c r="N214" s="250"/>
      <c r="O214" s="250"/>
      <c r="P214" s="250"/>
      <c r="Q214" s="250"/>
    </row>
    <row r="215" spans="1:17" ht="24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  <c r="K215" s="250"/>
      <c r="L215" s="250"/>
      <c r="M215" s="250"/>
      <c r="N215" s="250"/>
      <c r="O215" s="250"/>
      <c r="P215" s="250"/>
      <c r="Q215" s="250"/>
    </row>
    <row r="216" spans="1:17" ht="24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  <c r="K216" s="250"/>
      <c r="L216" s="250"/>
      <c r="M216" s="250"/>
      <c r="N216" s="250"/>
      <c r="O216" s="250"/>
      <c r="P216" s="250"/>
      <c r="Q216" s="250"/>
    </row>
    <row r="217" spans="1:17" ht="24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  <c r="K217" s="250"/>
      <c r="L217" s="250"/>
      <c r="M217" s="250"/>
      <c r="N217" s="250"/>
      <c r="O217" s="250"/>
      <c r="P217" s="250"/>
      <c r="Q217" s="250"/>
    </row>
    <row r="218" spans="1:17" ht="24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  <c r="K218" s="250"/>
      <c r="L218" s="250"/>
      <c r="M218" s="250"/>
      <c r="N218" s="250"/>
      <c r="O218" s="250"/>
      <c r="P218" s="250"/>
      <c r="Q218" s="250"/>
    </row>
    <row r="219" spans="1:17" ht="24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  <c r="K219" s="250"/>
      <c r="L219" s="250"/>
      <c r="M219" s="250"/>
      <c r="N219" s="250"/>
      <c r="O219" s="250"/>
      <c r="P219" s="250"/>
      <c r="Q219" s="250"/>
    </row>
    <row r="220" spans="1:17" ht="24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</row>
    <row r="221" spans="1:17" ht="24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</row>
    <row r="222" spans="1:17" ht="24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  <c r="K222" s="250"/>
      <c r="L222" s="250"/>
      <c r="M222" s="250"/>
      <c r="N222" s="250"/>
      <c r="O222" s="250"/>
      <c r="P222" s="250"/>
      <c r="Q222" s="250"/>
    </row>
    <row r="223" spans="1:17" ht="24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  <c r="K223" s="250"/>
      <c r="L223" s="250"/>
      <c r="M223" s="250"/>
      <c r="N223" s="250"/>
      <c r="O223" s="250"/>
      <c r="P223" s="250"/>
      <c r="Q223" s="250"/>
    </row>
    <row r="224" spans="1:17" ht="24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  <c r="K224" s="250"/>
      <c r="L224" s="250"/>
      <c r="M224" s="250"/>
      <c r="N224" s="250"/>
      <c r="O224" s="250"/>
      <c r="P224" s="250"/>
      <c r="Q224" s="250"/>
    </row>
    <row r="225" spans="1:17" ht="24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</row>
    <row r="226" spans="1:17" ht="24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  <c r="K226" s="250"/>
      <c r="L226" s="250"/>
      <c r="M226" s="250"/>
      <c r="N226" s="250"/>
      <c r="O226" s="250"/>
      <c r="P226" s="250"/>
      <c r="Q226" s="250"/>
    </row>
    <row r="227" spans="1:17" ht="24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  <c r="K227" s="250"/>
      <c r="L227" s="250"/>
      <c r="M227" s="250"/>
      <c r="N227" s="250"/>
      <c r="O227" s="250"/>
      <c r="P227" s="250"/>
      <c r="Q227" s="250"/>
    </row>
    <row r="228" spans="1:17" ht="24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  <c r="K228" s="250"/>
      <c r="L228" s="250"/>
      <c r="M228" s="250"/>
      <c r="N228" s="250"/>
      <c r="O228" s="250"/>
      <c r="P228" s="250"/>
      <c r="Q228" s="250"/>
    </row>
    <row r="229" spans="1:17" ht="24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  <c r="K229" s="250"/>
      <c r="L229" s="250"/>
      <c r="M229" s="250"/>
      <c r="N229" s="250"/>
      <c r="O229" s="250"/>
      <c r="P229" s="250"/>
      <c r="Q229" s="250"/>
    </row>
    <row r="230" spans="1:17" ht="24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  <c r="K230" s="250"/>
      <c r="L230" s="250"/>
      <c r="M230" s="250"/>
      <c r="N230" s="250"/>
      <c r="O230" s="250"/>
      <c r="P230" s="250"/>
      <c r="Q230" s="250"/>
    </row>
    <row r="231" spans="1:17" ht="24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  <c r="K231" s="250"/>
      <c r="L231" s="250"/>
      <c r="M231" s="250"/>
      <c r="N231" s="250"/>
      <c r="O231" s="250"/>
      <c r="P231" s="250"/>
      <c r="Q231" s="250"/>
    </row>
    <row r="232" spans="1:17" ht="24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</row>
    <row r="233" spans="1:17" ht="24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  <c r="K233" s="250"/>
      <c r="L233" s="250"/>
      <c r="M233" s="250"/>
      <c r="N233" s="250"/>
      <c r="O233" s="250"/>
      <c r="P233" s="250"/>
      <c r="Q233" s="250"/>
    </row>
    <row r="234" spans="1:17" ht="24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  <c r="K234" s="250"/>
      <c r="L234" s="250"/>
      <c r="M234" s="250"/>
      <c r="N234" s="250"/>
      <c r="O234" s="250"/>
      <c r="P234" s="250"/>
      <c r="Q234" s="250"/>
    </row>
    <row r="235" spans="1:17" ht="24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  <c r="K235" s="250"/>
      <c r="L235" s="250"/>
      <c r="M235" s="250"/>
      <c r="N235" s="250"/>
      <c r="O235" s="250"/>
      <c r="P235" s="250"/>
      <c r="Q235" s="250"/>
    </row>
    <row r="236" spans="1:17" ht="24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  <c r="K236" s="250"/>
      <c r="L236" s="250"/>
      <c r="M236" s="250"/>
      <c r="N236" s="250"/>
      <c r="O236" s="250"/>
      <c r="P236" s="250"/>
      <c r="Q236" s="250"/>
    </row>
    <row r="237" spans="1:17" ht="24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  <c r="K237" s="250"/>
      <c r="L237" s="250"/>
      <c r="M237" s="250"/>
      <c r="N237" s="250"/>
      <c r="O237" s="250"/>
      <c r="P237" s="250"/>
      <c r="Q237" s="250"/>
    </row>
    <row r="238" spans="1:17" ht="24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  <c r="K238" s="250"/>
      <c r="L238" s="250"/>
      <c r="M238" s="250"/>
      <c r="N238" s="250"/>
      <c r="O238" s="250"/>
      <c r="P238" s="250"/>
      <c r="Q238" s="250"/>
    </row>
    <row r="239" spans="1:17" ht="24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  <c r="K239" s="250"/>
      <c r="L239" s="250"/>
      <c r="M239" s="250"/>
      <c r="N239" s="250"/>
      <c r="O239" s="250"/>
      <c r="P239" s="250"/>
      <c r="Q239" s="250"/>
    </row>
    <row r="240" spans="1:17" ht="24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  <c r="K240" s="250"/>
      <c r="L240" s="250"/>
      <c r="M240" s="250"/>
      <c r="N240" s="250"/>
      <c r="O240" s="250"/>
      <c r="P240" s="250"/>
      <c r="Q240" s="250"/>
    </row>
    <row r="241" spans="1:17" ht="24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  <c r="K241" s="250"/>
      <c r="L241" s="250"/>
      <c r="M241" s="250"/>
      <c r="N241" s="250"/>
      <c r="O241" s="250"/>
      <c r="P241" s="250"/>
      <c r="Q241" s="250"/>
    </row>
    <row r="242" spans="1:17" ht="24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  <c r="K242" s="250"/>
      <c r="L242" s="250"/>
      <c r="M242" s="250"/>
      <c r="N242" s="250"/>
      <c r="O242" s="250"/>
      <c r="P242" s="250"/>
      <c r="Q242" s="250"/>
    </row>
    <row r="243" spans="1:17" ht="24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  <c r="K243" s="250"/>
      <c r="L243" s="250"/>
      <c r="M243" s="250"/>
      <c r="N243" s="250"/>
      <c r="O243" s="250"/>
      <c r="P243" s="250"/>
      <c r="Q243" s="250"/>
    </row>
    <row r="244" spans="1:17" ht="24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  <c r="K244" s="250"/>
      <c r="L244" s="250"/>
      <c r="M244" s="250"/>
      <c r="N244" s="250"/>
      <c r="O244" s="250"/>
      <c r="P244" s="250"/>
      <c r="Q244" s="250"/>
    </row>
    <row r="245" spans="1:17" ht="24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  <c r="K245" s="250"/>
      <c r="L245" s="250"/>
      <c r="M245" s="250"/>
      <c r="N245" s="250"/>
      <c r="O245" s="250"/>
      <c r="P245" s="250"/>
      <c r="Q245" s="250"/>
    </row>
    <row r="246" spans="1:17" ht="24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  <c r="K246" s="250"/>
      <c r="L246" s="250"/>
      <c r="M246" s="250"/>
      <c r="N246" s="250"/>
      <c r="O246" s="250"/>
      <c r="P246" s="250"/>
      <c r="Q246" s="250"/>
    </row>
    <row r="247" spans="1:17" ht="24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  <c r="K247" s="250"/>
      <c r="L247" s="250"/>
      <c r="M247" s="250"/>
      <c r="N247" s="250"/>
      <c r="O247" s="250"/>
      <c r="P247" s="250"/>
      <c r="Q247" s="250"/>
    </row>
    <row r="248" spans="1:17" ht="24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  <c r="K248" s="250"/>
      <c r="L248" s="250"/>
      <c r="M248" s="250"/>
      <c r="N248" s="250"/>
      <c r="O248" s="250"/>
      <c r="P248" s="250"/>
      <c r="Q248" s="250"/>
    </row>
    <row r="249" spans="1:17" ht="24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  <c r="K249" s="250"/>
      <c r="L249" s="250"/>
      <c r="M249" s="250"/>
      <c r="N249" s="250"/>
      <c r="O249" s="250"/>
      <c r="P249" s="250"/>
      <c r="Q249" s="250"/>
    </row>
    <row r="250" spans="1:17" ht="24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  <c r="K250" s="250"/>
      <c r="L250" s="250"/>
      <c r="M250" s="250"/>
      <c r="N250" s="250"/>
      <c r="O250" s="250"/>
      <c r="P250" s="250"/>
      <c r="Q250" s="250"/>
    </row>
    <row r="251" spans="1:17" ht="24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  <c r="K251" s="250"/>
      <c r="L251" s="250"/>
      <c r="M251" s="250"/>
      <c r="N251" s="250"/>
      <c r="O251" s="250"/>
      <c r="P251" s="250"/>
      <c r="Q251" s="250"/>
    </row>
    <row r="252" spans="1:17" ht="24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  <c r="K252" s="250"/>
      <c r="L252" s="250"/>
      <c r="M252" s="250"/>
      <c r="N252" s="250"/>
      <c r="O252" s="250"/>
      <c r="P252" s="250"/>
      <c r="Q252" s="250"/>
    </row>
    <row r="253" spans="1:17" ht="24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  <c r="K253" s="250"/>
      <c r="L253" s="250"/>
      <c r="M253" s="250"/>
      <c r="N253" s="250"/>
      <c r="O253" s="250"/>
      <c r="P253" s="250"/>
      <c r="Q253" s="250"/>
    </row>
    <row r="254" spans="1:17" ht="24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</row>
    <row r="255" spans="1:17" ht="24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</row>
    <row r="256" spans="1:17" ht="24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</row>
    <row r="257" spans="1:17" ht="24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</row>
    <row r="258" spans="1:17" ht="24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</row>
    <row r="259" spans="1:17" ht="24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</row>
    <row r="260" spans="1:17" ht="24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</row>
    <row r="261" spans="1:17" ht="24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</row>
    <row r="262" spans="1:17" ht="24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</row>
    <row r="263" spans="1:17" ht="24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</row>
    <row r="264" spans="1:17" ht="24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</row>
    <row r="265" spans="1:17" ht="24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</row>
    <row r="266" spans="1:17" ht="24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</row>
    <row r="267" spans="1:17" ht="24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</row>
    <row r="268" spans="1:17" ht="24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</row>
    <row r="269" spans="1:17" ht="24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</row>
    <row r="270" spans="1:17" ht="24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</row>
    <row r="271" spans="1:17" ht="24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  <c r="K271" s="250"/>
      <c r="L271" s="250"/>
      <c r="M271" s="250"/>
      <c r="N271" s="250"/>
      <c r="O271" s="250"/>
      <c r="P271" s="250"/>
      <c r="Q271" s="250"/>
    </row>
    <row r="272" spans="1:17" ht="24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  <c r="K272" s="250"/>
      <c r="L272" s="250"/>
      <c r="M272" s="250"/>
      <c r="N272" s="250"/>
      <c r="O272" s="250"/>
      <c r="P272" s="250"/>
      <c r="Q272" s="250"/>
    </row>
    <row r="273" spans="1:17" ht="24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  <c r="K273" s="250"/>
      <c r="L273" s="250"/>
      <c r="M273" s="250"/>
      <c r="N273" s="250"/>
      <c r="O273" s="250"/>
      <c r="P273" s="250"/>
      <c r="Q273" s="250"/>
    </row>
    <row r="274" spans="1:17" ht="24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  <c r="K274" s="250"/>
      <c r="L274" s="250"/>
      <c r="M274" s="250"/>
      <c r="N274" s="250"/>
      <c r="O274" s="250"/>
      <c r="P274" s="250"/>
      <c r="Q274" s="250"/>
    </row>
    <row r="275" spans="1:17" ht="24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  <c r="K275" s="250"/>
      <c r="L275" s="250"/>
      <c r="M275" s="250"/>
      <c r="N275" s="250"/>
      <c r="O275" s="250"/>
      <c r="P275" s="250"/>
      <c r="Q275" s="250"/>
    </row>
    <row r="276" spans="1:17" ht="24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  <c r="K276" s="250"/>
      <c r="L276" s="250"/>
      <c r="M276" s="250"/>
      <c r="N276" s="250"/>
      <c r="O276" s="250"/>
      <c r="P276" s="250"/>
      <c r="Q276" s="250"/>
    </row>
    <row r="277" spans="1:17" ht="24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  <c r="K277" s="250"/>
      <c r="L277" s="250"/>
      <c r="M277" s="250"/>
      <c r="N277" s="250"/>
      <c r="O277" s="250"/>
      <c r="P277" s="250"/>
      <c r="Q277" s="250"/>
    </row>
    <row r="278" spans="1:17" ht="24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</row>
    <row r="279" spans="1:17" ht="24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  <c r="K279" s="250"/>
      <c r="L279" s="250"/>
      <c r="M279" s="250"/>
      <c r="N279" s="250"/>
      <c r="O279" s="250"/>
      <c r="P279" s="250"/>
      <c r="Q279" s="250"/>
    </row>
    <row r="280" spans="1:17" ht="24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  <c r="K280" s="250"/>
      <c r="L280" s="250"/>
      <c r="M280" s="250"/>
      <c r="N280" s="250"/>
      <c r="O280" s="250"/>
      <c r="P280" s="250"/>
      <c r="Q280" s="250"/>
    </row>
    <row r="281" spans="1:17" ht="24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  <c r="K281" s="250"/>
      <c r="L281" s="250"/>
      <c r="M281" s="250"/>
      <c r="N281" s="250"/>
      <c r="O281" s="250"/>
      <c r="P281" s="250"/>
      <c r="Q281" s="250"/>
    </row>
    <row r="282" spans="1:17" ht="24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  <c r="K282" s="250"/>
      <c r="L282" s="250"/>
      <c r="M282" s="250"/>
      <c r="N282" s="250"/>
      <c r="O282" s="250"/>
      <c r="P282" s="250"/>
      <c r="Q282" s="250"/>
    </row>
    <row r="283" spans="1:17" ht="24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  <c r="K283" s="250"/>
      <c r="L283" s="250"/>
      <c r="M283" s="250"/>
      <c r="N283" s="250"/>
      <c r="O283" s="250"/>
      <c r="P283" s="250"/>
      <c r="Q283" s="250"/>
    </row>
    <row r="284" spans="1:17" ht="24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  <c r="K284" s="250"/>
      <c r="L284" s="250"/>
      <c r="M284" s="250"/>
      <c r="N284" s="250"/>
      <c r="O284" s="250"/>
      <c r="P284" s="250"/>
      <c r="Q284" s="250"/>
    </row>
    <row r="285" spans="1:17" ht="24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  <c r="K285" s="250"/>
      <c r="L285" s="250"/>
      <c r="M285" s="250"/>
      <c r="N285" s="250"/>
      <c r="O285" s="250"/>
      <c r="P285" s="250"/>
      <c r="Q285" s="250"/>
    </row>
    <row r="286" spans="1:17" ht="24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  <c r="K286" s="250"/>
      <c r="L286" s="250"/>
      <c r="M286" s="250"/>
      <c r="N286" s="250"/>
      <c r="O286" s="250"/>
      <c r="P286" s="250"/>
      <c r="Q286" s="250"/>
    </row>
    <row r="287" spans="1:17" ht="24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  <c r="K287" s="250"/>
      <c r="L287" s="250"/>
      <c r="M287" s="250"/>
      <c r="N287" s="250"/>
      <c r="O287" s="250"/>
      <c r="P287" s="250"/>
      <c r="Q287" s="250"/>
    </row>
    <row r="288" spans="1:17" ht="24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  <c r="K288" s="250"/>
      <c r="L288" s="250"/>
      <c r="M288" s="250"/>
      <c r="N288" s="250"/>
      <c r="O288" s="250"/>
      <c r="P288" s="250"/>
      <c r="Q288" s="250"/>
    </row>
    <row r="289" spans="1:17" ht="24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  <c r="K289" s="250"/>
      <c r="L289" s="250"/>
      <c r="M289" s="250"/>
      <c r="N289" s="250"/>
      <c r="O289" s="250"/>
      <c r="P289" s="250"/>
      <c r="Q289" s="250"/>
    </row>
    <row r="290" spans="1:17" ht="24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  <c r="K290" s="250"/>
      <c r="L290" s="250"/>
      <c r="M290" s="250"/>
      <c r="N290" s="250"/>
      <c r="O290" s="250"/>
      <c r="P290" s="250"/>
      <c r="Q290" s="250"/>
    </row>
    <row r="291" spans="1:17" ht="24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  <c r="K291" s="250"/>
      <c r="L291" s="250"/>
      <c r="M291" s="250"/>
      <c r="N291" s="250"/>
      <c r="O291" s="250"/>
      <c r="P291" s="250"/>
      <c r="Q291" s="250"/>
    </row>
    <row r="292" spans="1:17" ht="24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  <c r="K292" s="250"/>
      <c r="L292" s="250"/>
      <c r="M292" s="250"/>
      <c r="N292" s="250"/>
      <c r="O292" s="250"/>
      <c r="P292" s="250"/>
      <c r="Q292" s="250"/>
    </row>
    <row r="293" spans="1:17" ht="24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</row>
    <row r="294" spans="1:17" ht="2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  <c r="K294" s="250"/>
      <c r="L294" s="250"/>
      <c r="M294" s="250"/>
      <c r="N294" s="250"/>
      <c r="O294" s="250"/>
      <c r="P294" s="250"/>
      <c r="Q294" s="250"/>
    </row>
    <row r="295" spans="1:17" ht="24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  <c r="K295" s="250"/>
      <c r="L295" s="250"/>
      <c r="M295" s="250"/>
      <c r="N295" s="250"/>
      <c r="O295" s="250"/>
      <c r="P295" s="250"/>
      <c r="Q295" s="250"/>
    </row>
    <row r="296" spans="1:17" ht="24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  <c r="K296" s="250"/>
      <c r="L296" s="250"/>
      <c r="M296" s="250"/>
      <c r="N296" s="250"/>
      <c r="O296" s="250"/>
      <c r="P296" s="250"/>
      <c r="Q296" s="250"/>
    </row>
    <row r="297" spans="1:17" ht="24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  <c r="K297" s="250"/>
      <c r="L297" s="250"/>
      <c r="M297" s="250"/>
      <c r="N297" s="250"/>
      <c r="O297" s="250"/>
      <c r="P297" s="250"/>
      <c r="Q297" s="250"/>
    </row>
    <row r="298" spans="1:17" ht="24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  <c r="K298" s="250"/>
      <c r="L298" s="250"/>
      <c r="M298" s="250"/>
      <c r="N298" s="250"/>
      <c r="O298" s="250"/>
      <c r="P298" s="250"/>
      <c r="Q298" s="250"/>
    </row>
    <row r="299" spans="1:17" ht="24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  <c r="K299" s="250"/>
      <c r="L299" s="250"/>
      <c r="M299" s="250"/>
      <c r="N299" s="250"/>
      <c r="O299" s="250"/>
      <c r="P299" s="250"/>
      <c r="Q299" s="250"/>
    </row>
    <row r="300" spans="1:17" ht="24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  <c r="K300" s="250"/>
      <c r="L300" s="250"/>
      <c r="M300" s="250"/>
      <c r="N300" s="250"/>
      <c r="O300" s="250"/>
      <c r="P300" s="250"/>
      <c r="Q300" s="250"/>
    </row>
    <row r="301" spans="1:17" ht="24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  <c r="K301" s="250"/>
      <c r="L301" s="250"/>
      <c r="M301" s="250"/>
      <c r="N301" s="250"/>
      <c r="O301" s="250"/>
      <c r="P301" s="250"/>
      <c r="Q301" s="250"/>
    </row>
    <row r="302" spans="1:17" ht="24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  <c r="K302" s="250"/>
      <c r="L302" s="250"/>
      <c r="M302" s="250"/>
      <c r="N302" s="250"/>
      <c r="O302" s="250"/>
      <c r="P302" s="250"/>
      <c r="Q302" s="250"/>
    </row>
    <row r="303" spans="1:17" ht="24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  <c r="K303" s="250"/>
      <c r="L303" s="250"/>
      <c r="M303" s="250"/>
      <c r="N303" s="250"/>
      <c r="O303" s="250"/>
      <c r="P303" s="250"/>
      <c r="Q303" s="250"/>
    </row>
    <row r="304" spans="1:17" ht="2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  <c r="K304" s="250"/>
      <c r="L304" s="250"/>
      <c r="M304" s="250"/>
      <c r="N304" s="250"/>
      <c r="O304" s="250"/>
      <c r="P304" s="250"/>
      <c r="Q304" s="250"/>
    </row>
    <row r="305" spans="1:17" ht="24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  <c r="K305" s="250"/>
      <c r="L305" s="250"/>
      <c r="M305" s="250"/>
      <c r="N305" s="250"/>
      <c r="O305" s="250"/>
      <c r="P305" s="250"/>
      <c r="Q305" s="250"/>
    </row>
    <row r="306" spans="1:17" ht="24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  <c r="K306" s="250"/>
      <c r="L306" s="250"/>
      <c r="M306" s="250"/>
      <c r="N306" s="250"/>
      <c r="O306" s="250"/>
      <c r="P306" s="250"/>
      <c r="Q306" s="250"/>
    </row>
    <row r="307" spans="1:17" ht="24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  <c r="K307" s="250"/>
      <c r="L307" s="250"/>
      <c r="M307" s="250"/>
      <c r="N307" s="250"/>
      <c r="O307" s="250"/>
      <c r="P307" s="250"/>
      <c r="Q307" s="250"/>
    </row>
    <row r="308" spans="1:17" ht="24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</row>
    <row r="309" spans="1:17" ht="24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  <c r="K309" s="250"/>
      <c r="L309" s="250"/>
      <c r="M309" s="250"/>
      <c r="N309" s="250"/>
      <c r="O309" s="250"/>
      <c r="P309" s="250"/>
      <c r="Q309" s="250"/>
    </row>
    <row r="310" spans="1:17" ht="24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  <c r="K310" s="250"/>
      <c r="L310" s="250"/>
      <c r="M310" s="250"/>
      <c r="N310" s="250"/>
      <c r="O310" s="250"/>
      <c r="P310" s="250"/>
      <c r="Q310" s="250"/>
    </row>
    <row r="311" spans="1:17" ht="24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  <c r="K311" s="250"/>
      <c r="L311" s="250"/>
      <c r="M311" s="250"/>
      <c r="N311" s="250"/>
      <c r="O311" s="250"/>
      <c r="P311" s="250"/>
      <c r="Q311" s="250"/>
    </row>
    <row r="312" spans="1:17" ht="24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  <c r="K312" s="250"/>
      <c r="L312" s="250"/>
      <c r="M312" s="250"/>
      <c r="N312" s="250"/>
      <c r="O312" s="250"/>
      <c r="P312" s="250"/>
      <c r="Q312" s="250"/>
    </row>
    <row r="313" spans="1:17" ht="24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  <c r="K313" s="250"/>
      <c r="L313" s="250"/>
      <c r="M313" s="250"/>
      <c r="N313" s="250"/>
      <c r="O313" s="250"/>
      <c r="P313" s="250"/>
      <c r="Q313" s="250"/>
    </row>
    <row r="314" spans="1:17" ht="2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  <c r="K314" s="250"/>
      <c r="L314" s="250"/>
      <c r="M314" s="250"/>
      <c r="N314" s="250"/>
      <c r="O314" s="250"/>
      <c r="P314" s="250"/>
      <c r="Q314" s="250"/>
    </row>
    <row r="315" spans="1:17" ht="24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  <c r="K315" s="250"/>
      <c r="L315" s="250"/>
      <c r="M315" s="250"/>
      <c r="N315" s="250"/>
      <c r="O315" s="250"/>
      <c r="P315" s="250"/>
      <c r="Q315" s="250"/>
    </row>
    <row r="316" spans="1:17" ht="24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  <c r="K316" s="250"/>
      <c r="L316" s="250"/>
      <c r="M316" s="250"/>
      <c r="N316" s="250"/>
      <c r="O316" s="250"/>
      <c r="P316" s="250"/>
      <c r="Q316" s="250"/>
    </row>
    <row r="317" spans="1:17" ht="24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  <c r="K317" s="250"/>
      <c r="L317" s="250"/>
      <c r="M317" s="250"/>
      <c r="N317" s="250"/>
      <c r="O317" s="250"/>
      <c r="P317" s="250"/>
      <c r="Q317" s="250"/>
    </row>
    <row r="318" spans="1:17" ht="24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  <c r="K318" s="250"/>
      <c r="L318" s="250"/>
      <c r="M318" s="250"/>
      <c r="N318" s="250"/>
      <c r="O318" s="250"/>
      <c r="P318" s="250"/>
      <c r="Q318" s="250"/>
    </row>
    <row r="319" spans="1:17" ht="24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  <c r="K319" s="250"/>
      <c r="L319" s="250"/>
      <c r="M319" s="250"/>
      <c r="N319" s="250"/>
      <c r="O319" s="250"/>
      <c r="P319" s="250"/>
      <c r="Q319" s="250"/>
    </row>
    <row r="320" spans="1:17" ht="24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  <c r="K320" s="250"/>
      <c r="L320" s="250"/>
      <c r="M320" s="250"/>
      <c r="N320" s="250"/>
      <c r="O320" s="250"/>
      <c r="P320" s="250"/>
      <c r="Q320" s="250"/>
    </row>
    <row r="321" spans="1:17" ht="24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  <c r="K321" s="250"/>
      <c r="L321" s="250"/>
      <c r="M321" s="250"/>
      <c r="N321" s="250"/>
      <c r="O321" s="250"/>
      <c r="P321" s="250"/>
      <c r="Q321" s="250"/>
    </row>
    <row r="322" spans="1:17" ht="24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  <c r="K322" s="250"/>
      <c r="L322" s="250"/>
      <c r="M322" s="250"/>
      <c r="N322" s="250"/>
      <c r="O322" s="250"/>
      <c r="P322" s="250"/>
      <c r="Q322" s="250"/>
    </row>
    <row r="323" spans="1:17" ht="24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  <c r="K323" s="250"/>
      <c r="L323" s="250"/>
      <c r="M323" s="250"/>
      <c r="N323" s="250"/>
      <c r="O323" s="250"/>
      <c r="P323" s="250"/>
      <c r="Q323" s="250"/>
    </row>
    <row r="324" spans="1:17" ht="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</row>
    <row r="325" spans="1:17" ht="24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  <c r="K325" s="250"/>
      <c r="L325" s="250"/>
      <c r="M325" s="250"/>
      <c r="N325" s="250"/>
      <c r="O325" s="250"/>
      <c r="P325" s="250"/>
      <c r="Q325" s="250"/>
    </row>
    <row r="326" spans="1:17" ht="24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  <c r="K326" s="250"/>
      <c r="L326" s="250"/>
      <c r="M326" s="250"/>
      <c r="N326" s="250"/>
      <c r="O326" s="250"/>
      <c r="P326" s="250"/>
      <c r="Q326" s="250"/>
    </row>
    <row r="327" spans="1:17" ht="24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  <c r="K327" s="250"/>
      <c r="L327" s="250"/>
      <c r="M327" s="250"/>
      <c r="N327" s="250"/>
      <c r="O327" s="250"/>
      <c r="P327" s="250"/>
      <c r="Q327" s="250"/>
    </row>
    <row r="328" spans="1:17" ht="24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  <c r="K328" s="250"/>
      <c r="L328" s="250"/>
      <c r="M328" s="250"/>
      <c r="N328" s="250"/>
      <c r="O328" s="250"/>
      <c r="P328" s="250"/>
      <c r="Q328" s="250"/>
    </row>
    <row r="329" spans="1:17" ht="24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  <c r="K329" s="250"/>
      <c r="L329" s="250"/>
      <c r="M329" s="250"/>
      <c r="N329" s="250"/>
      <c r="O329" s="250"/>
      <c r="P329" s="250"/>
      <c r="Q329" s="250"/>
    </row>
    <row r="330" spans="1:17" ht="24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  <c r="K330" s="250"/>
      <c r="L330" s="250"/>
      <c r="M330" s="250"/>
      <c r="N330" s="250"/>
      <c r="O330" s="250"/>
      <c r="P330" s="250"/>
      <c r="Q330" s="250"/>
    </row>
    <row r="331" spans="1:17" ht="24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  <c r="K331" s="250"/>
      <c r="L331" s="250"/>
      <c r="M331" s="250"/>
      <c r="N331" s="250"/>
      <c r="O331" s="250"/>
      <c r="P331" s="250"/>
      <c r="Q331" s="250"/>
    </row>
    <row r="332" spans="1:17" ht="24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  <c r="K332" s="250"/>
      <c r="L332" s="250"/>
      <c r="M332" s="250"/>
      <c r="N332" s="250"/>
      <c r="O332" s="250"/>
      <c r="P332" s="250"/>
      <c r="Q332" s="250"/>
    </row>
    <row r="333" spans="1:17" ht="24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  <c r="K333" s="250"/>
      <c r="L333" s="250"/>
      <c r="M333" s="250"/>
      <c r="N333" s="250"/>
      <c r="O333" s="250"/>
      <c r="P333" s="250"/>
      <c r="Q333" s="250"/>
    </row>
    <row r="334" spans="1:17" ht="2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  <c r="K334" s="250"/>
      <c r="L334" s="250"/>
      <c r="M334" s="250"/>
      <c r="N334" s="250"/>
      <c r="O334" s="250"/>
      <c r="P334" s="250"/>
      <c r="Q334" s="250"/>
    </row>
    <row r="335" spans="1:17" ht="24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  <c r="K335" s="250"/>
      <c r="L335" s="250"/>
      <c r="M335" s="250"/>
      <c r="N335" s="250"/>
      <c r="O335" s="250"/>
      <c r="P335" s="250"/>
      <c r="Q335" s="250"/>
    </row>
    <row r="336" spans="1:17" ht="24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  <c r="K336" s="250"/>
      <c r="L336" s="250"/>
      <c r="M336" s="250"/>
      <c r="N336" s="250"/>
      <c r="O336" s="250"/>
      <c r="P336" s="250"/>
      <c r="Q336" s="250"/>
    </row>
    <row r="337" spans="1:17" ht="24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  <c r="K337" s="250"/>
      <c r="L337" s="250"/>
      <c r="M337" s="250"/>
      <c r="N337" s="250"/>
      <c r="O337" s="250"/>
      <c r="P337" s="250"/>
      <c r="Q337" s="250"/>
    </row>
    <row r="338" spans="1:17" ht="24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  <c r="K338" s="250"/>
      <c r="L338" s="250"/>
      <c r="M338" s="250"/>
      <c r="N338" s="250"/>
      <c r="O338" s="250"/>
      <c r="P338" s="250"/>
      <c r="Q338" s="250"/>
    </row>
    <row r="339" spans="1:17" ht="24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  <c r="K339" s="250"/>
      <c r="L339" s="250"/>
      <c r="M339" s="250"/>
      <c r="N339" s="250"/>
      <c r="O339" s="250"/>
      <c r="P339" s="250"/>
      <c r="Q339" s="250"/>
    </row>
    <row r="340" spans="1:17" ht="24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  <c r="K340" s="250"/>
      <c r="L340" s="250"/>
      <c r="M340" s="250"/>
      <c r="N340" s="250"/>
      <c r="O340" s="250"/>
      <c r="P340" s="250"/>
      <c r="Q340" s="250"/>
    </row>
    <row r="341" spans="1:17" ht="24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  <c r="K341" s="250"/>
      <c r="L341" s="250"/>
      <c r="M341" s="250"/>
      <c r="N341" s="250"/>
      <c r="O341" s="250"/>
      <c r="P341" s="250"/>
      <c r="Q341" s="250"/>
    </row>
    <row r="342" spans="1:17" ht="24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  <c r="K342" s="250"/>
      <c r="L342" s="250"/>
      <c r="M342" s="250"/>
      <c r="N342" s="250"/>
      <c r="O342" s="250"/>
      <c r="P342" s="250"/>
      <c r="Q342" s="250"/>
    </row>
    <row r="343" spans="1:17" ht="24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  <c r="K343" s="250"/>
      <c r="L343" s="250"/>
      <c r="M343" s="250"/>
      <c r="N343" s="250"/>
      <c r="O343" s="250"/>
      <c r="P343" s="250"/>
      <c r="Q343" s="250"/>
    </row>
    <row r="344" spans="1:17" ht="2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  <c r="K344" s="250"/>
      <c r="L344" s="250"/>
      <c r="M344" s="250"/>
      <c r="N344" s="250"/>
      <c r="O344" s="250"/>
      <c r="P344" s="250"/>
      <c r="Q344" s="250"/>
    </row>
    <row r="345" spans="1:17" ht="24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  <c r="K345" s="250"/>
      <c r="L345" s="250"/>
      <c r="M345" s="250"/>
      <c r="N345" s="250"/>
      <c r="O345" s="250"/>
      <c r="P345" s="250"/>
      <c r="Q345" s="250"/>
    </row>
    <row r="346" spans="1:17" ht="24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  <c r="K346" s="250"/>
      <c r="L346" s="250"/>
      <c r="M346" s="250"/>
      <c r="N346" s="250"/>
      <c r="O346" s="250"/>
      <c r="P346" s="250"/>
      <c r="Q346" s="250"/>
    </row>
    <row r="347" spans="1:17" ht="24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  <c r="K347" s="250"/>
      <c r="L347" s="250"/>
      <c r="M347" s="250"/>
      <c r="N347" s="250"/>
      <c r="O347" s="250"/>
      <c r="P347" s="250"/>
      <c r="Q347" s="250"/>
    </row>
    <row r="348" spans="1:17" ht="24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  <c r="K348" s="250"/>
      <c r="L348" s="250"/>
      <c r="M348" s="250"/>
      <c r="N348" s="250"/>
      <c r="O348" s="250"/>
      <c r="P348" s="250"/>
      <c r="Q348" s="250"/>
    </row>
    <row r="349" spans="1:17" ht="24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  <c r="K349" s="250"/>
      <c r="L349" s="250"/>
      <c r="M349" s="250"/>
      <c r="N349" s="250"/>
      <c r="O349" s="250"/>
      <c r="P349" s="250"/>
      <c r="Q349" s="250"/>
    </row>
    <row r="350" spans="1:17" ht="24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  <c r="K350" s="250"/>
      <c r="L350" s="250"/>
      <c r="M350" s="250"/>
      <c r="N350" s="250"/>
      <c r="O350" s="250"/>
      <c r="P350" s="250"/>
      <c r="Q350" s="250"/>
    </row>
    <row r="351" spans="1:17" ht="24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  <c r="K351" s="250"/>
      <c r="L351" s="250"/>
      <c r="M351" s="250"/>
      <c r="N351" s="250"/>
      <c r="O351" s="250"/>
      <c r="P351" s="250"/>
      <c r="Q351" s="250"/>
    </row>
    <row r="352" spans="1:17" ht="24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  <c r="K352" s="250"/>
      <c r="L352" s="250"/>
      <c r="M352" s="250"/>
      <c r="N352" s="250"/>
      <c r="O352" s="250"/>
      <c r="P352" s="250"/>
      <c r="Q352" s="250"/>
    </row>
    <row r="353" spans="1:17" ht="24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  <c r="K353" s="250"/>
      <c r="L353" s="250"/>
      <c r="M353" s="250"/>
      <c r="N353" s="250"/>
      <c r="O353" s="250"/>
      <c r="P353" s="250"/>
      <c r="Q353" s="250"/>
    </row>
    <row r="354" spans="1:17" ht="2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  <c r="K354" s="250"/>
      <c r="L354" s="250"/>
      <c r="M354" s="250"/>
      <c r="N354" s="250"/>
      <c r="O354" s="250"/>
      <c r="P354" s="250"/>
      <c r="Q354" s="250"/>
    </row>
    <row r="355" spans="1:17" ht="24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  <c r="K355" s="250"/>
      <c r="L355" s="250"/>
      <c r="M355" s="250"/>
      <c r="N355" s="250"/>
      <c r="O355" s="250"/>
      <c r="P355" s="250"/>
      <c r="Q355" s="250"/>
    </row>
    <row r="356" spans="1:17" ht="24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  <c r="K356" s="250"/>
      <c r="L356" s="250"/>
      <c r="M356" s="250"/>
      <c r="N356" s="250"/>
      <c r="O356" s="250"/>
      <c r="P356" s="250"/>
      <c r="Q356" s="250"/>
    </row>
    <row r="357" spans="1:17" ht="24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  <c r="K357" s="250"/>
      <c r="L357" s="250"/>
      <c r="M357" s="250"/>
      <c r="N357" s="250"/>
      <c r="O357" s="250"/>
      <c r="P357" s="250"/>
      <c r="Q357" s="250"/>
    </row>
    <row r="358" spans="1:17" ht="24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  <c r="K358" s="250"/>
      <c r="L358" s="250"/>
      <c r="M358" s="250"/>
      <c r="N358" s="250"/>
      <c r="O358" s="250"/>
      <c r="P358" s="250"/>
      <c r="Q358" s="250"/>
    </row>
    <row r="359" spans="1:17" ht="24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  <c r="K359" s="250"/>
      <c r="L359" s="250"/>
      <c r="M359" s="250"/>
      <c r="N359" s="250"/>
      <c r="O359" s="250"/>
      <c r="P359" s="250"/>
      <c r="Q359" s="250"/>
    </row>
    <row r="360" spans="1:17" ht="24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  <c r="K360" s="250"/>
      <c r="L360" s="250"/>
      <c r="M360" s="250"/>
      <c r="N360" s="250"/>
      <c r="O360" s="250"/>
      <c r="P360" s="250"/>
      <c r="Q360" s="250"/>
    </row>
    <row r="361" spans="1:17" ht="24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  <c r="K361" s="250"/>
      <c r="L361" s="250"/>
      <c r="M361" s="250"/>
      <c r="N361" s="250"/>
      <c r="O361" s="250"/>
      <c r="P361" s="250"/>
      <c r="Q361" s="250"/>
    </row>
    <row r="362" spans="1:17" ht="24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  <c r="K362" s="250"/>
      <c r="L362" s="250"/>
      <c r="M362" s="250"/>
      <c r="N362" s="250"/>
      <c r="O362" s="250"/>
      <c r="P362" s="250"/>
      <c r="Q362" s="250"/>
    </row>
    <row r="363" spans="1:17" ht="24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  <c r="K363" s="250"/>
      <c r="L363" s="250"/>
      <c r="M363" s="250"/>
      <c r="N363" s="250"/>
      <c r="O363" s="250"/>
      <c r="P363" s="250"/>
      <c r="Q363" s="250"/>
    </row>
    <row r="364" spans="1:17" ht="2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  <c r="K364" s="250"/>
      <c r="L364" s="250"/>
      <c r="M364" s="250"/>
      <c r="N364" s="250"/>
      <c r="O364" s="250"/>
      <c r="P364" s="250"/>
      <c r="Q364" s="250"/>
    </row>
    <row r="365" spans="1:17" ht="24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  <c r="K365" s="250"/>
      <c r="L365" s="250"/>
      <c r="M365" s="250"/>
      <c r="N365" s="250"/>
      <c r="O365" s="250"/>
      <c r="P365" s="250"/>
      <c r="Q365" s="250"/>
    </row>
    <row r="366" spans="1:17" ht="24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  <c r="K366" s="250"/>
      <c r="L366" s="250"/>
      <c r="M366" s="250"/>
      <c r="N366" s="250"/>
      <c r="O366" s="250"/>
      <c r="P366" s="250"/>
      <c r="Q366" s="250"/>
    </row>
    <row r="367" spans="1:17" ht="24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  <c r="K367" s="250"/>
      <c r="L367" s="250"/>
      <c r="M367" s="250"/>
      <c r="N367" s="250"/>
      <c r="O367" s="250"/>
      <c r="P367" s="250"/>
      <c r="Q367" s="250"/>
    </row>
    <row r="368" spans="1:17" ht="24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  <c r="K368" s="250"/>
      <c r="L368" s="250"/>
      <c r="M368" s="250"/>
      <c r="N368" s="250"/>
      <c r="O368" s="250"/>
      <c r="P368" s="250"/>
      <c r="Q368" s="250"/>
    </row>
    <row r="369" spans="1:17" ht="24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  <c r="K369" s="250"/>
      <c r="L369" s="250"/>
      <c r="M369" s="250"/>
      <c r="N369" s="250"/>
      <c r="O369" s="250"/>
      <c r="P369" s="250"/>
      <c r="Q369" s="250"/>
    </row>
    <row r="370" spans="1:17" ht="24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  <c r="K370" s="250"/>
      <c r="L370" s="250"/>
      <c r="M370" s="250"/>
      <c r="N370" s="250"/>
      <c r="O370" s="250"/>
      <c r="P370" s="250"/>
      <c r="Q370" s="250"/>
    </row>
    <row r="371" spans="1:17" ht="24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  <c r="K371" s="250"/>
      <c r="L371" s="250"/>
      <c r="M371" s="250"/>
      <c r="N371" s="250"/>
      <c r="O371" s="250"/>
      <c r="P371" s="250"/>
      <c r="Q371" s="250"/>
    </row>
    <row r="372" spans="1:17" ht="24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  <c r="K372" s="250"/>
      <c r="L372" s="250"/>
      <c r="M372" s="250"/>
      <c r="N372" s="250"/>
      <c r="O372" s="250"/>
      <c r="P372" s="250"/>
      <c r="Q372" s="250"/>
    </row>
    <row r="373" spans="1:17" ht="24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  <c r="K373" s="250"/>
      <c r="L373" s="250"/>
      <c r="M373" s="250"/>
      <c r="N373" s="250"/>
      <c r="O373" s="250"/>
      <c r="P373" s="250"/>
      <c r="Q373" s="250"/>
    </row>
    <row r="374" spans="1:17" ht="2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  <c r="K374" s="250"/>
      <c r="L374" s="250"/>
      <c r="M374" s="250"/>
      <c r="N374" s="250"/>
      <c r="O374" s="250"/>
      <c r="P374" s="250"/>
      <c r="Q374" s="250"/>
    </row>
    <row r="375" spans="1:17" ht="24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  <c r="K375" s="250"/>
      <c r="L375" s="250"/>
      <c r="M375" s="250"/>
      <c r="N375" s="250"/>
      <c r="O375" s="250"/>
      <c r="P375" s="250"/>
      <c r="Q375" s="250"/>
    </row>
    <row r="376" spans="1:17" ht="24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  <c r="K376" s="250"/>
      <c r="L376" s="250"/>
      <c r="M376" s="250"/>
      <c r="N376" s="250"/>
      <c r="O376" s="250"/>
      <c r="P376" s="250"/>
      <c r="Q376" s="250"/>
    </row>
    <row r="377" spans="1:17" ht="24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  <c r="K377" s="250"/>
      <c r="L377" s="250"/>
      <c r="M377" s="250"/>
      <c r="N377" s="250"/>
      <c r="O377" s="250"/>
      <c r="P377" s="250"/>
      <c r="Q377" s="250"/>
    </row>
    <row r="378" spans="1:17" ht="24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  <c r="K378" s="250"/>
      <c r="L378" s="250"/>
      <c r="M378" s="250"/>
      <c r="N378" s="250"/>
      <c r="O378" s="250"/>
      <c r="P378" s="250"/>
      <c r="Q378" s="250"/>
    </row>
    <row r="379" spans="1:17" ht="24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  <c r="K379" s="250"/>
      <c r="L379" s="250"/>
      <c r="M379" s="250"/>
      <c r="N379" s="250"/>
      <c r="O379" s="250"/>
      <c r="P379" s="250"/>
      <c r="Q379" s="250"/>
    </row>
    <row r="380" spans="1:17" ht="24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  <c r="K380" s="250"/>
      <c r="L380" s="250"/>
      <c r="M380" s="250"/>
      <c r="N380" s="250"/>
      <c r="O380" s="250"/>
      <c r="P380" s="250"/>
      <c r="Q380" s="250"/>
    </row>
    <row r="381" spans="1:17" ht="24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  <c r="K381" s="250"/>
      <c r="L381" s="250"/>
      <c r="M381" s="250"/>
      <c r="N381" s="250"/>
      <c r="O381" s="250"/>
      <c r="P381" s="250"/>
      <c r="Q381" s="250"/>
    </row>
    <row r="382" spans="1:17" ht="24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  <c r="K382" s="250"/>
      <c r="L382" s="250"/>
      <c r="M382" s="250"/>
      <c r="N382" s="250"/>
      <c r="O382" s="250"/>
      <c r="P382" s="250"/>
      <c r="Q382" s="250"/>
    </row>
    <row r="383" spans="1:17" ht="24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  <c r="K383" s="250"/>
      <c r="L383" s="250"/>
      <c r="M383" s="250"/>
      <c r="N383" s="250"/>
      <c r="O383" s="250"/>
      <c r="P383" s="250"/>
      <c r="Q383" s="250"/>
    </row>
    <row r="384" spans="1:17" ht="2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  <c r="K384" s="250"/>
      <c r="L384" s="250"/>
      <c r="M384" s="250"/>
      <c r="N384" s="250"/>
      <c r="O384" s="250"/>
      <c r="P384" s="250"/>
      <c r="Q384" s="250"/>
    </row>
    <row r="385" spans="1:17" ht="24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  <c r="K385" s="250"/>
      <c r="L385" s="250"/>
      <c r="M385" s="250"/>
      <c r="N385" s="250"/>
      <c r="O385" s="250"/>
      <c r="P385" s="250"/>
      <c r="Q385" s="250"/>
    </row>
    <row r="386" spans="1:17" ht="24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  <c r="K386" s="250"/>
      <c r="L386" s="250"/>
      <c r="M386" s="250"/>
      <c r="N386" s="250"/>
      <c r="O386" s="250"/>
      <c r="P386" s="250"/>
      <c r="Q386" s="250"/>
    </row>
    <row r="387" spans="1:17" ht="24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  <c r="K387" s="250"/>
      <c r="L387" s="250"/>
      <c r="M387" s="250"/>
      <c r="N387" s="250"/>
      <c r="O387" s="250"/>
      <c r="P387" s="250"/>
      <c r="Q387" s="250"/>
    </row>
    <row r="388" spans="1:17" ht="24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  <c r="K388" s="250"/>
      <c r="L388" s="250"/>
      <c r="M388" s="250"/>
      <c r="N388" s="250"/>
      <c r="O388" s="250"/>
      <c r="P388" s="250"/>
      <c r="Q388" s="250"/>
    </row>
    <row r="389" spans="1:17" ht="24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  <c r="K389" s="250"/>
      <c r="L389" s="250"/>
      <c r="M389" s="250"/>
      <c r="N389" s="250"/>
      <c r="O389" s="250"/>
      <c r="P389" s="250"/>
      <c r="Q389" s="250"/>
    </row>
    <row r="390" spans="1:17" ht="24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  <c r="K390" s="250"/>
      <c r="L390" s="250"/>
      <c r="M390" s="250"/>
      <c r="N390" s="250"/>
      <c r="O390" s="250"/>
      <c r="P390" s="250"/>
      <c r="Q390" s="250"/>
    </row>
    <row r="391" spans="1:17" ht="24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  <c r="K391" s="250"/>
      <c r="L391" s="250"/>
      <c r="M391" s="250"/>
      <c r="N391" s="250"/>
      <c r="O391" s="250"/>
      <c r="P391" s="250"/>
      <c r="Q391" s="250"/>
    </row>
    <row r="392" spans="1:17" ht="24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  <c r="K392" s="250"/>
      <c r="L392" s="250"/>
      <c r="M392" s="250"/>
      <c r="N392" s="250"/>
      <c r="O392" s="250"/>
      <c r="P392" s="250"/>
      <c r="Q392" s="250"/>
    </row>
    <row r="393" spans="1:17" ht="24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  <c r="K393" s="250"/>
      <c r="L393" s="250"/>
      <c r="M393" s="250"/>
      <c r="N393" s="250"/>
      <c r="O393" s="250"/>
      <c r="P393" s="250"/>
      <c r="Q393" s="250"/>
    </row>
    <row r="394" spans="1:17" ht="2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  <c r="K394" s="250"/>
      <c r="L394" s="250"/>
      <c r="M394" s="250"/>
      <c r="N394" s="250"/>
      <c r="O394" s="250"/>
      <c r="P394" s="250"/>
      <c r="Q394" s="250"/>
    </row>
    <row r="395" spans="1:17" ht="24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  <c r="K395" s="250"/>
      <c r="L395" s="250"/>
      <c r="M395" s="250"/>
      <c r="N395" s="250"/>
      <c r="O395" s="250"/>
      <c r="P395" s="250"/>
      <c r="Q395" s="250"/>
    </row>
    <row r="396" spans="1:17" ht="24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  <c r="K396" s="250"/>
      <c r="L396" s="250"/>
      <c r="M396" s="250"/>
      <c r="N396" s="250"/>
      <c r="O396" s="250"/>
      <c r="P396" s="250"/>
      <c r="Q396" s="250"/>
    </row>
    <row r="397" spans="1:17" ht="24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  <c r="K397" s="250"/>
      <c r="L397" s="250"/>
      <c r="M397" s="250"/>
      <c r="N397" s="250"/>
      <c r="O397" s="250"/>
      <c r="P397" s="250"/>
      <c r="Q397" s="250"/>
    </row>
    <row r="398" spans="1:17" ht="24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  <c r="K398" s="250"/>
      <c r="L398" s="250"/>
      <c r="M398" s="250"/>
      <c r="N398" s="250"/>
      <c r="O398" s="250"/>
      <c r="P398" s="250"/>
      <c r="Q398" s="250"/>
    </row>
    <row r="399" spans="1:17" ht="24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  <c r="K399" s="250"/>
      <c r="L399" s="250"/>
      <c r="M399" s="250"/>
      <c r="N399" s="250"/>
      <c r="O399" s="250"/>
      <c r="P399" s="250"/>
      <c r="Q399" s="250"/>
    </row>
    <row r="400" spans="1:17" ht="24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  <c r="K400" s="250"/>
      <c r="L400" s="250"/>
      <c r="M400" s="250"/>
      <c r="N400" s="250"/>
      <c r="O400" s="250"/>
      <c r="P400" s="250"/>
      <c r="Q400" s="250"/>
    </row>
    <row r="401" spans="1:17" ht="24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  <c r="K401" s="250"/>
      <c r="L401" s="250"/>
      <c r="M401" s="250"/>
      <c r="N401" s="250"/>
      <c r="O401" s="250"/>
      <c r="P401" s="250"/>
      <c r="Q401" s="250"/>
    </row>
    <row r="402" spans="1:17" ht="24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  <c r="K402" s="250"/>
      <c r="L402" s="250"/>
      <c r="M402" s="250"/>
      <c r="N402" s="250"/>
      <c r="O402" s="250"/>
      <c r="P402" s="250"/>
      <c r="Q402" s="250"/>
    </row>
    <row r="403" spans="1:17" ht="24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  <c r="K403" s="250"/>
      <c r="L403" s="250"/>
      <c r="M403" s="250"/>
      <c r="N403" s="250"/>
      <c r="O403" s="250"/>
      <c r="P403" s="250"/>
      <c r="Q403" s="250"/>
    </row>
    <row r="404" spans="1:17" ht="2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  <c r="K404" s="250"/>
      <c r="L404" s="250"/>
      <c r="M404" s="250"/>
      <c r="N404" s="250"/>
      <c r="O404" s="250"/>
      <c r="P404" s="250"/>
      <c r="Q404" s="250"/>
    </row>
    <row r="405" spans="1:17" ht="24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  <c r="K405" s="250"/>
      <c r="L405" s="250"/>
      <c r="M405" s="250"/>
      <c r="N405" s="250"/>
      <c r="O405" s="250"/>
      <c r="P405" s="250"/>
      <c r="Q405" s="250"/>
    </row>
    <row r="406" spans="1:17" ht="24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  <c r="K406" s="250"/>
      <c r="L406" s="250"/>
      <c r="M406" s="250"/>
      <c r="N406" s="250"/>
      <c r="O406" s="250"/>
      <c r="P406" s="250"/>
      <c r="Q406" s="250"/>
    </row>
    <row r="407" spans="1:17" ht="24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  <c r="K407" s="250"/>
      <c r="L407" s="250"/>
      <c r="M407" s="250"/>
      <c r="N407" s="250"/>
      <c r="O407" s="250"/>
      <c r="P407" s="250"/>
      <c r="Q407" s="250"/>
    </row>
    <row r="408" spans="1:17" ht="24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  <c r="K408" s="250"/>
      <c r="L408" s="250"/>
      <c r="M408" s="250"/>
      <c r="N408" s="250"/>
      <c r="O408" s="250"/>
      <c r="P408" s="250"/>
      <c r="Q408" s="250"/>
    </row>
    <row r="409" spans="1:17" ht="24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  <c r="K409" s="250"/>
      <c r="L409" s="250"/>
      <c r="M409" s="250"/>
      <c r="N409" s="250"/>
      <c r="O409" s="250"/>
      <c r="P409" s="250"/>
      <c r="Q409" s="250"/>
    </row>
    <row r="410" spans="1:17" ht="24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  <c r="K410" s="250"/>
      <c r="L410" s="250"/>
      <c r="M410" s="250"/>
      <c r="N410" s="250"/>
      <c r="O410" s="250"/>
      <c r="P410" s="250"/>
      <c r="Q410" s="250"/>
    </row>
    <row r="411" spans="1:17" ht="24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  <c r="K411" s="250"/>
      <c r="L411" s="250"/>
      <c r="M411" s="250"/>
      <c r="N411" s="250"/>
      <c r="O411" s="250"/>
      <c r="P411" s="250"/>
      <c r="Q411" s="250"/>
    </row>
    <row r="412" spans="1:17" ht="24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  <c r="K412" s="250"/>
      <c r="L412" s="250"/>
      <c r="M412" s="250"/>
      <c r="N412" s="250"/>
      <c r="O412" s="250"/>
      <c r="P412" s="250"/>
      <c r="Q412" s="250"/>
    </row>
    <row r="413" spans="1:17" ht="24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  <c r="K413" s="250"/>
      <c r="L413" s="250"/>
      <c r="M413" s="250"/>
      <c r="N413" s="250"/>
      <c r="O413" s="250"/>
      <c r="P413" s="250"/>
      <c r="Q413" s="250"/>
    </row>
    <row r="414" spans="1:17" ht="2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  <c r="K414" s="250"/>
      <c r="L414" s="250"/>
      <c r="M414" s="250"/>
      <c r="N414" s="250"/>
      <c r="O414" s="250"/>
      <c r="P414" s="250"/>
      <c r="Q414" s="250"/>
    </row>
    <row r="415" spans="1:17" ht="24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  <c r="K415" s="250"/>
      <c r="L415" s="250"/>
      <c r="M415" s="250"/>
      <c r="N415" s="250"/>
      <c r="O415" s="250"/>
      <c r="P415" s="250"/>
      <c r="Q415" s="250"/>
    </row>
    <row r="416" spans="1:17" ht="24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  <c r="K416" s="250"/>
      <c r="L416" s="250"/>
      <c r="M416" s="250"/>
      <c r="N416" s="250"/>
      <c r="O416" s="250"/>
      <c r="P416" s="250"/>
      <c r="Q416" s="250"/>
    </row>
    <row r="417" spans="1:17" ht="24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  <c r="K417" s="250"/>
      <c r="L417" s="250"/>
      <c r="M417" s="250"/>
      <c r="N417" s="250"/>
      <c r="O417" s="250"/>
      <c r="P417" s="250"/>
      <c r="Q417" s="250"/>
    </row>
    <row r="418" spans="1:17" ht="24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  <c r="K418" s="250"/>
      <c r="L418" s="250"/>
      <c r="M418" s="250"/>
      <c r="N418" s="250"/>
      <c r="O418" s="250"/>
      <c r="P418" s="250"/>
      <c r="Q418" s="250"/>
    </row>
    <row r="419" spans="1:17" ht="24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  <c r="K419" s="250"/>
      <c r="L419" s="250"/>
      <c r="M419" s="250"/>
      <c r="N419" s="250"/>
      <c r="O419" s="250"/>
      <c r="P419" s="250"/>
      <c r="Q419" s="250"/>
    </row>
    <row r="420" spans="1:17" ht="24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  <c r="K420" s="250"/>
      <c r="L420" s="250"/>
      <c r="M420" s="250"/>
      <c r="N420" s="250"/>
      <c r="O420" s="250"/>
      <c r="P420" s="250"/>
      <c r="Q420" s="250"/>
    </row>
    <row r="421" spans="1:17" ht="24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  <c r="K421" s="250"/>
      <c r="L421" s="250"/>
      <c r="M421" s="250"/>
      <c r="N421" s="250"/>
      <c r="O421" s="250"/>
      <c r="P421" s="250"/>
      <c r="Q421" s="250"/>
    </row>
    <row r="422" spans="1:17" ht="24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  <c r="K422" s="250"/>
      <c r="L422" s="250"/>
      <c r="M422" s="250"/>
      <c r="N422" s="250"/>
      <c r="O422" s="250"/>
      <c r="P422" s="250"/>
      <c r="Q422" s="250"/>
    </row>
    <row r="423" spans="1:17" ht="24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  <c r="K423" s="250"/>
      <c r="L423" s="250"/>
      <c r="M423" s="250"/>
      <c r="N423" s="250"/>
      <c r="O423" s="250"/>
      <c r="P423" s="250"/>
      <c r="Q423" s="250"/>
    </row>
    <row r="424" spans="1:17" ht="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  <c r="K424" s="250"/>
      <c r="L424" s="250"/>
      <c r="M424" s="250"/>
      <c r="N424" s="250"/>
      <c r="O424" s="250"/>
      <c r="P424" s="250"/>
      <c r="Q424" s="250"/>
    </row>
    <row r="425" spans="1:17" ht="24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  <c r="K425" s="250"/>
      <c r="L425" s="250"/>
      <c r="M425" s="250"/>
      <c r="N425" s="250"/>
      <c r="O425" s="250"/>
      <c r="P425" s="250"/>
      <c r="Q425" s="250"/>
    </row>
    <row r="426" spans="1:17" ht="24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  <c r="K426" s="250"/>
      <c r="L426" s="250"/>
      <c r="M426" s="250"/>
      <c r="N426" s="250"/>
      <c r="O426" s="250"/>
      <c r="P426" s="250"/>
      <c r="Q426" s="250"/>
    </row>
    <row r="427" spans="1:17" ht="24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  <c r="K427" s="250"/>
      <c r="L427" s="250"/>
      <c r="M427" s="250"/>
      <c r="N427" s="250"/>
      <c r="O427" s="250"/>
      <c r="P427" s="250"/>
      <c r="Q427" s="250"/>
    </row>
    <row r="428" spans="1:17" ht="24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  <c r="K428" s="250"/>
      <c r="L428" s="250"/>
      <c r="M428" s="250"/>
      <c r="N428" s="250"/>
      <c r="O428" s="250"/>
      <c r="P428" s="250"/>
      <c r="Q428" s="250"/>
    </row>
    <row r="429" spans="1:17" ht="24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  <c r="K429" s="250"/>
      <c r="L429" s="250"/>
      <c r="M429" s="250"/>
      <c r="N429" s="250"/>
      <c r="O429" s="250"/>
      <c r="P429" s="250"/>
      <c r="Q429" s="250"/>
    </row>
    <row r="430" spans="1:17" ht="24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  <c r="K430" s="250"/>
      <c r="L430" s="250"/>
      <c r="M430" s="250"/>
      <c r="N430" s="250"/>
      <c r="O430" s="250"/>
      <c r="P430" s="250"/>
      <c r="Q430" s="250"/>
    </row>
    <row r="431" spans="1:17" ht="24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  <c r="K431" s="250"/>
      <c r="L431" s="250"/>
      <c r="M431" s="250"/>
      <c r="N431" s="250"/>
      <c r="O431" s="250"/>
      <c r="P431" s="250"/>
      <c r="Q431" s="250"/>
    </row>
    <row r="432" spans="1:17" ht="24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  <c r="K432" s="250"/>
      <c r="L432" s="250"/>
      <c r="M432" s="250"/>
      <c r="N432" s="250"/>
      <c r="O432" s="250"/>
      <c r="P432" s="250"/>
      <c r="Q432" s="250"/>
    </row>
    <row r="433" spans="1:17" ht="24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  <c r="K433" s="250"/>
      <c r="L433" s="250"/>
      <c r="M433" s="250"/>
      <c r="N433" s="250"/>
      <c r="O433" s="250"/>
      <c r="P433" s="250"/>
      <c r="Q433" s="250"/>
    </row>
    <row r="434" spans="1:17" ht="2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  <c r="K434" s="250"/>
      <c r="L434" s="250"/>
      <c r="M434" s="250"/>
      <c r="N434" s="250"/>
      <c r="O434" s="250"/>
      <c r="P434" s="250"/>
      <c r="Q434" s="250"/>
    </row>
    <row r="435" spans="1:17" ht="24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  <c r="K435" s="250"/>
      <c r="L435" s="250"/>
      <c r="M435" s="250"/>
      <c r="N435" s="250"/>
      <c r="O435" s="250"/>
      <c r="P435" s="250"/>
      <c r="Q435" s="250"/>
    </row>
    <row r="436" spans="1:17" ht="24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  <c r="K436" s="250"/>
      <c r="L436" s="250"/>
      <c r="M436" s="250"/>
      <c r="N436" s="250"/>
      <c r="O436" s="250"/>
      <c r="P436" s="250"/>
      <c r="Q436" s="250"/>
    </row>
    <row r="437" spans="1:17" ht="24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  <c r="K437" s="250"/>
      <c r="L437" s="250"/>
      <c r="M437" s="250"/>
      <c r="N437" s="250"/>
      <c r="O437" s="250"/>
      <c r="P437" s="250"/>
      <c r="Q437" s="250"/>
    </row>
    <row r="438" spans="1:17" ht="24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  <c r="K438" s="250"/>
      <c r="L438" s="250"/>
      <c r="M438" s="250"/>
      <c r="N438" s="250"/>
      <c r="O438" s="250"/>
      <c r="P438" s="250"/>
      <c r="Q438" s="250"/>
    </row>
    <row r="439" spans="1:17" ht="24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  <c r="K439" s="250"/>
      <c r="L439" s="250"/>
      <c r="M439" s="250"/>
      <c r="N439" s="250"/>
      <c r="O439" s="250"/>
      <c r="P439" s="250"/>
      <c r="Q439" s="250"/>
    </row>
    <row r="440" spans="1:17" ht="24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  <c r="K440" s="250"/>
      <c r="L440" s="250"/>
      <c r="M440" s="250"/>
      <c r="N440" s="250"/>
      <c r="O440" s="250"/>
      <c r="P440" s="250"/>
      <c r="Q440" s="250"/>
    </row>
    <row r="441" spans="1:17" ht="24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  <c r="K441" s="250"/>
      <c r="L441" s="250"/>
      <c r="M441" s="250"/>
      <c r="N441" s="250"/>
      <c r="O441" s="250"/>
      <c r="P441" s="250"/>
      <c r="Q441" s="250"/>
    </row>
    <row r="442" spans="1:17" ht="24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  <c r="K442" s="250"/>
      <c r="L442" s="250"/>
      <c r="M442" s="250"/>
      <c r="N442" s="250"/>
      <c r="O442" s="250"/>
      <c r="P442" s="250"/>
      <c r="Q442" s="250"/>
    </row>
    <row r="443" spans="1:17" ht="24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  <c r="K443" s="250"/>
      <c r="L443" s="250"/>
      <c r="M443" s="250"/>
      <c r="N443" s="250"/>
      <c r="O443" s="250"/>
      <c r="P443" s="250"/>
      <c r="Q443" s="250"/>
    </row>
    <row r="444" spans="1:17" ht="2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  <c r="K444" s="250"/>
      <c r="L444" s="250"/>
      <c r="M444" s="250"/>
      <c r="N444" s="250"/>
      <c r="O444" s="250"/>
      <c r="P444" s="250"/>
      <c r="Q444" s="250"/>
    </row>
    <row r="445" spans="1:17" ht="24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  <c r="K445" s="250"/>
      <c r="L445" s="250"/>
      <c r="M445" s="250"/>
      <c r="N445" s="250"/>
      <c r="O445" s="250"/>
      <c r="P445" s="250"/>
      <c r="Q445" s="250"/>
    </row>
    <row r="446" spans="1:17" ht="24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  <c r="K446" s="250"/>
      <c r="L446" s="250"/>
      <c r="M446" s="250"/>
      <c r="N446" s="250"/>
      <c r="O446" s="250"/>
      <c r="P446" s="250"/>
      <c r="Q446" s="250"/>
    </row>
    <row r="447" spans="1:17" ht="24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  <c r="K447" s="250"/>
      <c r="L447" s="250"/>
      <c r="M447" s="250"/>
      <c r="N447" s="250"/>
      <c r="O447" s="250"/>
      <c r="P447" s="250"/>
      <c r="Q447" s="250"/>
    </row>
    <row r="448" spans="1:17" ht="24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  <c r="K448" s="250"/>
      <c r="L448" s="250"/>
      <c r="M448" s="250"/>
      <c r="N448" s="250"/>
      <c r="O448" s="250"/>
      <c r="P448" s="250"/>
      <c r="Q448" s="250"/>
    </row>
    <row r="449" spans="1:17" ht="24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  <c r="K449" s="250"/>
      <c r="L449" s="250"/>
      <c r="M449" s="250"/>
      <c r="N449" s="250"/>
      <c r="O449" s="250"/>
      <c r="P449" s="250"/>
      <c r="Q449" s="250"/>
    </row>
    <row r="450" spans="1:17" ht="24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  <c r="K450" s="250"/>
      <c r="L450" s="250"/>
      <c r="M450" s="250"/>
      <c r="N450" s="250"/>
      <c r="O450" s="250"/>
      <c r="P450" s="250"/>
      <c r="Q450" s="250"/>
    </row>
    <row r="451" spans="1:17" ht="24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  <c r="K451" s="250"/>
      <c r="L451" s="250"/>
      <c r="M451" s="250"/>
      <c r="N451" s="250"/>
      <c r="O451" s="250"/>
      <c r="P451" s="250"/>
      <c r="Q451" s="250"/>
    </row>
    <row r="452" spans="1:17" ht="24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  <c r="K452" s="250"/>
      <c r="L452" s="250"/>
      <c r="M452" s="250"/>
      <c r="N452" s="250"/>
      <c r="O452" s="250"/>
      <c r="P452" s="250"/>
      <c r="Q452" s="250"/>
    </row>
    <row r="453" spans="1:17" ht="24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  <c r="K453" s="250"/>
      <c r="L453" s="250"/>
      <c r="M453" s="250"/>
      <c r="N453" s="250"/>
      <c r="O453" s="250"/>
      <c r="P453" s="250"/>
      <c r="Q453" s="250"/>
    </row>
    <row r="454" spans="1:17" ht="2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  <c r="K454" s="250"/>
      <c r="L454" s="250"/>
      <c r="M454" s="250"/>
      <c r="N454" s="250"/>
      <c r="O454" s="250"/>
      <c r="P454" s="250"/>
      <c r="Q454" s="250"/>
    </row>
    <row r="455" spans="1:17" ht="24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  <c r="K455" s="250"/>
      <c r="L455" s="250"/>
      <c r="M455" s="250"/>
      <c r="N455" s="250"/>
      <c r="O455" s="250"/>
      <c r="P455" s="250"/>
      <c r="Q455" s="250"/>
    </row>
    <row r="456" spans="1:17" ht="24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  <c r="K456" s="250"/>
      <c r="L456" s="250"/>
      <c r="M456" s="250"/>
      <c r="N456" s="250"/>
      <c r="O456" s="250"/>
      <c r="P456" s="250"/>
      <c r="Q456" s="250"/>
    </row>
    <row r="457" spans="1:17" ht="24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  <c r="K457" s="250"/>
      <c r="L457" s="250"/>
      <c r="M457" s="250"/>
      <c r="N457" s="250"/>
      <c r="O457" s="250"/>
      <c r="P457" s="250"/>
      <c r="Q457" s="250"/>
    </row>
    <row r="458" spans="1:17" ht="24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  <c r="K458" s="250"/>
      <c r="L458" s="250"/>
      <c r="M458" s="250"/>
      <c r="N458" s="250"/>
      <c r="O458" s="250"/>
      <c r="P458" s="250"/>
      <c r="Q458" s="250"/>
    </row>
    <row r="459" spans="1:17" ht="24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  <c r="K459" s="250"/>
      <c r="L459" s="250"/>
      <c r="M459" s="250"/>
      <c r="N459" s="250"/>
      <c r="O459" s="250"/>
      <c r="P459" s="250"/>
      <c r="Q459" s="250"/>
    </row>
    <row r="460" spans="1:17" ht="24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  <c r="K460" s="250"/>
      <c r="L460" s="250"/>
      <c r="M460" s="250"/>
      <c r="N460" s="250"/>
      <c r="O460" s="250"/>
      <c r="P460" s="250"/>
      <c r="Q460" s="250"/>
    </row>
    <row r="461" spans="1:17" ht="24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  <c r="K461" s="250"/>
      <c r="L461" s="250"/>
      <c r="M461" s="250"/>
      <c r="N461" s="250"/>
      <c r="O461" s="250"/>
      <c r="P461" s="250"/>
      <c r="Q461" s="250"/>
    </row>
    <row r="462" spans="1:17" ht="24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  <c r="K462" s="250"/>
      <c r="L462" s="250"/>
      <c r="M462" s="250"/>
      <c r="N462" s="250"/>
      <c r="O462" s="250"/>
      <c r="P462" s="250"/>
      <c r="Q462" s="250"/>
    </row>
    <row r="463" spans="1:17" ht="24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  <c r="K463" s="250"/>
      <c r="L463" s="250"/>
      <c r="M463" s="250"/>
      <c r="N463" s="250"/>
      <c r="O463" s="250"/>
      <c r="P463" s="250"/>
      <c r="Q463" s="250"/>
    </row>
    <row r="464" spans="1:17" ht="2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  <c r="K464" s="250"/>
      <c r="L464" s="250"/>
      <c r="M464" s="250"/>
      <c r="N464" s="250"/>
      <c r="O464" s="250"/>
      <c r="P464" s="250"/>
      <c r="Q464" s="250"/>
    </row>
    <row r="465" spans="1:17" ht="24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  <c r="K465" s="250"/>
      <c r="L465" s="250"/>
      <c r="M465" s="250"/>
      <c r="N465" s="250"/>
      <c r="O465" s="250"/>
      <c r="P465" s="250"/>
      <c r="Q465" s="250"/>
    </row>
    <row r="466" spans="1:17" ht="24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  <c r="K466" s="250"/>
      <c r="L466" s="250"/>
      <c r="M466" s="250"/>
      <c r="N466" s="250"/>
      <c r="O466" s="250"/>
      <c r="P466" s="250"/>
      <c r="Q466" s="250"/>
    </row>
    <row r="467" spans="1:17" ht="24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  <c r="K467" s="250"/>
      <c r="L467" s="250"/>
      <c r="M467" s="250"/>
      <c r="N467" s="250"/>
      <c r="O467" s="250"/>
      <c r="P467" s="250"/>
      <c r="Q467" s="250"/>
    </row>
    <row r="468" spans="1:17" ht="24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  <c r="K468" s="250"/>
      <c r="L468" s="250"/>
      <c r="M468" s="250"/>
      <c r="N468" s="250"/>
      <c r="O468" s="250"/>
      <c r="P468" s="250"/>
      <c r="Q468" s="250"/>
    </row>
    <row r="469" spans="1:17" ht="24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  <c r="K469" s="250"/>
      <c r="L469" s="250"/>
      <c r="M469" s="250"/>
      <c r="N469" s="250"/>
      <c r="O469" s="250"/>
      <c r="P469" s="250"/>
      <c r="Q469" s="250"/>
    </row>
    <row r="470" spans="1:17" ht="24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  <c r="K470" s="250"/>
      <c r="L470" s="250"/>
      <c r="M470" s="250"/>
      <c r="N470" s="250"/>
      <c r="O470" s="250"/>
      <c r="P470" s="250"/>
      <c r="Q470" s="250"/>
    </row>
    <row r="471" spans="1:17" ht="24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  <c r="K471" s="250"/>
      <c r="L471" s="250"/>
      <c r="M471" s="250"/>
      <c r="N471" s="250"/>
      <c r="O471" s="250"/>
      <c r="P471" s="250"/>
      <c r="Q471" s="250"/>
    </row>
    <row r="472" spans="1:17" ht="24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  <c r="K472" s="250"/>
      <c r="L472" s="250"/>
      <c r="M472" s="250"/>
      <c r="N472" s="250"/>
      <c r="O472" s="250"/>
      <c r="P472" s="250"/>
      <c r="Q472" s="250"/>
    </row>
    <row r="473" spans="1:17" ht="24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  <c r="K473" s="250"/>
      <c r="L473" s="250"/>
      <c r="M473" s="250"/>
      <c r="N473" s="250"/>
      <c r="O473" s="250"/>
      <c r="P473" s="250"/>
      <c r="Q473" s="250"/>
    </row>
    <row r="474" spans="1:17" ht="2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  <c r="K474" s="250"/>
      <c r="L474" s="250"/>
      <c r="M474" s="250"/>
      <c r="N474" s="250"/>
      <c r="O474" s="250"/>
      <c r="P474" s="250"/>
      <c r="Q474" s="250"/>
    </row>
    <row r="475" spans="1:17" ht="24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  <c r="K475" s="250"/>
      <c r="L475" s="250"/>
      <c r="M475" s="250"/>
      <c r="N475" s="250"/>
      <c r="O475" s="250"/>
      <c r="P475" s="250"/>
      <c r="Q475" s="250"/>
    </row>
    <row r="476" spans="1:17" ht="24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  <c r="K476" s="250"/>
      <c r="L476" s="250"/>
      <c r="M476" s="250"/>
      <c r="N476" s="250"/>
      <c r="O476" s="250"/>
      <c r="P476" s="250"/>
      <c r="Q476" s="250"/>
    </row>
    <row r="477" spans="1:17" ht="24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  <c r="K477" s="250"/>
      <c r="L477" s="250"/>
      <c r="M477" s="250"/>
      <c r="N477" s="250"/>
      <c r="O477" s="250"/>
      <c r="P477" s="250"/>
      <c r="Q477" s="250"/>
    </row>
    <row r="478" spans="1:17" ht="24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  <c r="K478" s="250"/>
      <c r="L478" s="250"/>
      <c r="M478" s="250"/>
      <c r="N478" s="250"/>
      <c r="O478" s="250"/>
      <c r="P478" s="250"/>
      <c r="Q478" s="250"/>
    </row>
    <row r="479" spans="1:17" ht="24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  <c r="K479" s="250"/>
      <c r="L479" s="250"/>
      <c r="M479" s="250"/>
      <c r="N479" s="250"/>
      <c r="O479" s="250"/>
      <c r="P479" s="250"/>
      <c r="Q479" s="250"/>
    </row>
    <row r="480" spans="1:17" ht="24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  <c r="K480" s="250"/>
      <c r="L480" s="250"/>
      <c r="M480" s="250"/>
      <c r="N480" s="250"/>
      <c r="O480" s="250"/>
      <c r="P480" s="250"/>
      <c r="Q480" s="250"/>
    </row>
    <row r="481" spans="1:17" ht="24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  <c r="K481" s="250"/>
      <c r="L481" s="250"/>
      <c r="M481" s="250"/>
      <c r="N481" s="250"/>
      <c r="O481" s="250"/>
      <c r="P481" s="250"/>
      <c r="Q481" s="250"/>
    </row>
    <row r="482" spans="1:17" ht="24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  <c r="K482" s="250"/>
      <c r="L482" s="250"/>
      <c r="M482" s="250"/>
      <c r="N482" s="250"/>
      <c r="O482" s="250"/>
      <c r="P482" s="250"/>
      <c r="Q482" s="250"/>
    </row>
    <row r="483" spans="1:17" ht="24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  <c r="K483" s="250"/>
      <c r="L483" s="250"/>
      <c r="M483" s="250"/>
      <c r="N483" s="250"/>
      <c r="O483" s="250"/>
      <c r="P483" s="250"/>
      <c r="Q483" s="250"/>
    </row>
    <row r="484" spans="1:17" ht="2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  <c r="K484" s="250"/>
      <c r="L484" s="250"/>
      <c r="M484" s="250"/>
      <c r="N484" s="250"/>
      <c r="O484" s="250"/>
      <c r="P484" s="250"/>
      <c r="Q484" s="250"/>
    </row>
    <row r="485" spans="1:17" ht="24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  <c r="K485" s="250"/>
      <c r="L485" s="250"/>
      <c r="M485" s="250"/>
      <c r="N485" s="250"/>
      <c r="O485" s="250"/>
      <c r="P485" s="250"/>
      <c r="Q485" s="250"/>
    </row>
    <row r="486" spans="1:17" ht="24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  <c r="K486" s="250"/>
      <c r="L486" s="250"/>
      <c r="M486" s="250"/>
      <c r="N486" s="250"/>
      <c r="O486" s="250"/>
      <c r="P486" s="250"/>
      <c r="Q486" s="250"/>
    </row>
    <row r="487" spans="1:17" ht="24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  <c r="K487" s="250"/>
      <c r="L487" s="250"/>
      <c r="M487" s="250"/>
      <c r="N487" s="250"/>
      <c r="O487" s="250"/>
      <c r="P487" s="250"/>
      <c r="Q487" s="250"/>
    </row>
    <row r="488" spans="1:17" ht="24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  <c r="K488" s="250"/>
      <c r="L488" s="250"/>
      <c r="M488" s="250"/>
      <c r="N488" s="250"/>
      <c r="O488" s="250"/>
      <c r="P488" s="250"/>
      <c r="Q488" s="250"/>
    </row>
    <row r="489" spans="1:17" ht="24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  <c r="K489" s="250"/>
      <c r="L489" s="250"/>
      <c r="M489" s="250"/>
      <c r="N489" s="250"/>
      <c r="O489" s="250"/>
      <c r="P489" s="250"/>
      <c r="Q489" s="250"/>
    </row>
    <row r="490" spans="1:17" ht="24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  <c r="K490" s="250"/>
      <c r="L490" s="250"/>
      <c r="M490" s="250"/>
      <c r="N490" s="250"/>
      <c r="O490" s="250"/>
      <c r="P490" s="250"/>
      <c r="Q490" s="250"/>
    </row>
    <row r="491" spans="1:17" ht="24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  <c r="K491" s="250"/>
      <c r="L491" s="250"/>
      <c r="M491" s="250"/>
      <c r="N491" s="250"/>
      <c r="O491" s="250"/>
      <c r="P491" s="250"/>
      <c r="Q491" s="250"/>
    </row>
    <row r="492" spans="1:17" ht="24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  <c r="K492" s="250"/>
      <c r="L492" s="250"/>
      <c r="M492" s="250"/>
      <c r="N492" s="250"/>
      <c r="O492" s="250"/>
      <c r="P492" s="250"/>
      <c r="Q492" s="250"/>
    </row>
    <row r="493" spans="1:17" ht="24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  <c r="K493" s="250"/>
      <c r="L493" s="250"/>
      <c r="M493" s="250"/>
      <c r="N493" s="250"/>
      <c r="O493" s="250"/>
      <c r="P493" s="250"/>
      <c r="Q493" s="250"/>
    </row>
    <row r="494" spans="1:17" ht="2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  <c r="K494" s="250"/>
      <c r="L494" s="250"/>
      <c r="M494" s="250"/>
      <c r="N494" s="250"/>
      <c r="O494" s="250"/>
      <c r="P494" s="250"/>
      <c r="Q494" s="250"/>
    </row>
    <row r="495" spans="1:17" ht="24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  <c r="K495" s="250"/>
      <c r="L495" s="250"/>
      <c r="M495" s="250"/>
      <c r="N495" s="250"/>
      <c r="O495" s="250"/>
      <c r="P495" s="250"/>
      <c r="Q495" s="250"/>
    </row>
    <row r="496" spans="1:17" ht="24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  <c r="K496" s="250"/>
      <c r="L496" s="250"/>
      <c r="M496" s="250"/>
      <c r="N496" s="250"/>
      <c r="O496" s="250"/>
      <c r="P496" s="250"/>
      <c r="Q496" s="250"/>
    </row>
    <row r="497" spans="1:17" ht="24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  <c r="K497" s="250"/>
      <c r="L497" s="250"/>
      <c r="M497" s="250"/>
      <c r="N497" s="250"/>
      <c r="O497" s="250"/>
      <c r="P497" s="250"/>
      <c r="Q497" s="250"/>
    </row>
    <row r="498" spans="1:17" ht="24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  <c r="K498" s="250"/>
      <c r="L498" s="250"/>
      <c r="M498" s="250"/>
      <c r="N498" s="250"/>
      <c r="O498" s="250"/>
      <c r="P498" s="250"/>
      <c r="Q498" s="250"/>
    </row>
    <row r="499" spans="1:17" ht="24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  <c r="K499" s="250"/>
      <c r="L499" s="250"/>
      <c r="M499" s="250"/>
      <c r="N499" s="250"/>
      <c r="O499" s="250"/>
      <c r="P499" s="250"/>
      <c r="Q499" s="250"/>
    </row>
    <row r="500" spans="1:17" ht="24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  <c r="K500" s="250"/>
      <c r="L500" s="250"/>
      <c r="M500" s="250"/>
      <c r="N500" s="250"/>
      <c r="O500" s="250"/>
      <c r="P500" s="250"/>
      <c r="Q500" s="250"/>
    </row>
    <row r="501" spans="1:17" ht="24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  <c r="K501" s="250"/>
      <c r="L501" s="250"/>
      <c r="M501" s="250"/>
      <c r="N501" s="250"/>
      <c r="O501" s="250"/>
      <c r="P501" s="250"/>
      <c r="Q501" s="250"/>
    </row>
    <row r="502" spans="1:17" ht="24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  <c r="K502" s="250"/>
      <c r="L502" s="250"/>
      <c r="M502" s="250"/>
      <c r="N502" s="250"/>
      <c r="O502" s="250"/>
      <c r="P502" s="250"/>
      <c r="Q502" s="250"/>
    </row>
    <row r="503" spans="1:17" ht="24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  <c r="K503" s="250"/>
      <c r="L503" s="250"/>
      <c r="M503" s="250"/>
      <c r="N503" s="250"/>
      <c r="O503" s="250"/>
      <c r="P503" s="250"/>
      <c r="Q503" s="250"/>
    </row>
    <row r="504" spans="1:17" ht="2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  <c r="K504" s="250"/>
      <c r="L504" s="250"/>
      <c r="M504" s="250"/>
      <c r="N504" s="250"/>
      <c r="O504" s="250"/>
      <c r="P504" s="250"/>
      <c r="Q504" s="250"/>
    </row>
    <row r="505" spans="1:17" ht="24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  <c r="K505" s="250"/>
      <c r="L505" s="250"/>
      <c r="M505" s="250"/>
      <c r="N505" s="250"/>
      <c r="O505" s="250"/>
      <c r="P505" s="250"/>
      <c r="Q505" s="250"/>
    </row>
    <row r="506" spans="1:17" ht="24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  <c r="K506" s="250"/>
      <c r="L506" s="250"/>
      <c r="M506" s="250"/>
      <c r="N506" s="250"/>
      <c r="O506" s="250"/>
      <c r="P506" s="250"/>
      <c r="Q506" s="250"/>
    </row>
    <row r="507" spans="1:17" ht="24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  <c r="K507" s="250"/>
      <c r="L507" s="250"/>
      <c r="M507" s="250"/>
      <c r="N507" s="250"/>
      <c r="O507" s="250"/>
      <c r="P507" s="250"/>
      <c r="Q507" s="250"/>
    </row>
    <row r="508" spans="1:17" ht="24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  <c r="K508" s="250"/>
      <c r="L508" s="250"/>
      <c r="M508" s="250"/>
      <c r="N508" s="250"/>
      <c r="O508" s="250"/>
      <c r="P508" s="250"/>
      <c r="Q508" s="250"/>
    </row>
    <row r="509" spans="1:17" ht="24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  <c r="K509" s="250"/>
      <c r="L509" s="250"/>
      <c r="M509" s="250"/>
      <c r="N509" s="250"/>
      <c r="O509" s="250"/>
      <c r="P509" s="250"/>
      <c r="Q509" s="250"/>
    </row>
    <row r="510" spans="1:17" ht="24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  <c r="K510" s="250"/>
      <c r="L510" s="250"/>
      <c r="M510" s="250"/>
      <c r="N510" s="250"/>
      <c r="O510" s="250"/>
      <c r="P510" s="250"/>
      <c r="Q510" s="250"/>
    </row>
    <row r="511" spans="1:17" ht="24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  <c r="K511" s="250"/>
      <c r="L511" s="250"/>
      <c r="M511" s="250"/>
      <c r="N511" s="250"/>
      <c r="O511" s="250"/>
      <c r="P511" s="250"/>
      <c r="Q511" s="250"/>
    </row>
    <row r="512" spans="1:17" ht="24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  <c r="K512" s="250"/>
      <c r="L512" s="250"/>
      <c r="M512" s="250"/>
      <c r="N512" s="250"/>
      <c r="O512" s="250"/>
      <c r="P512" s="250"/>
      <c r="Q512" s="250"/>
    </row>
    <row r="513" spans="1:17" ht="24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  <c r="K513" s="250"/>
      <c r="L513" s="250"/>
      <c r="M513" s="250"/>
      <c r="N513" s="250"/>
      <c r="O513" s="250"/>
      <c r="P513" s="250"/>
      <c r="Q513" s="250"/>
    </row>
    <row r="514" spans="1:17" ht="2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  <c r="K514" s="250"/>
      <c r="L514" s="250"/>
      <c r="M514" s="250"/>
      <c r="N514" s="250"/>
      <c r="O514" s="250"/>
      <c r="P514" s="250"/>
      <c r="Q514" s="250"/>
    </row>
    <row r="515" spans="1:17" ht="24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  <c r="K515" s="250"/>
      <c r="L515" s="250"/>
      <c r="M515" s="250"/>
      <c r="N515" s="250"/>
      <c r="O515" s="250"/>
      <c r="P515" s="250"/>
      <c r="Q515" s="250"/>
    </row>
    <row r="516" spans="1:17" ht="24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  <c r="K516" s="250"/>
      <c r="L516" s="250"/>
      <c r="M516" s="250"/>
      <c r="N516" s="250"/>
      <c r="O516" s="250"/>
      <c r="P516" s="250"/>
      <c r="Q516" s="250"/>
    </row>
    <row r="517" spans="1:17" ht="24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  <c r="K517" s="250"/>
      <c r="L517" s="250"/>
      <c r="M517" s="250"/>
      <c r="N517" s="250"/>
      <c r="O517" s="250"/>
      <c r="P517" s="250"/>
      <c r="Q517" s="250"/>
    </row>
    <row r="518" spans="1:17" ht="24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  <c r="K518" s="250"/>
      <c r="L518" s="250"/>
      <c r="M518" s="250"/>
      <c r="N518" s="250"/>
      <c r="O518" s="250"/>
      <c r="P518" s="250"/>
      <c r="Q518" s="250"/>
    </row>
    <row r="519" spans="1:17" ht="24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  <c r="K519" s="250"/>
      <c r="L519" s="250"/>
      <c r="M519" s="250"/>
      <c r="N519" s="250"/>
      <c r="O519" s="250"/>
      <c r="P519" s="250"/>
      <c r="Q519" s="250"/>
    </row>
    <row r="520" spans="1:17" ht="24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  <c r="K520" s="250"/>
      <c r="L520" s="250"/>
      <c r="M520" s="250"/>
      <c r="N520" s="250"/>
      <c r="O520" s="250"/>
      <c r="P520" s="250"/>
      <c r="Q520" s="250"/>
    </row>
    <row r="521" spans="1:17" ht="24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  <c r="K521" s="250"/>
      <c r="L521" s="250"/>
      <c r="M521" s="250"/>
      <c r="N521" s="250"/>
      <c r="O521" s="250"/>
      <c r="P521" s="250"/>
      <c r="Q521" s="250"/>
    </row>
    <row r="522" spans="1:17" ht="24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  <c r="K522" s="250"/>
      <c r="L522" s="250"/>
      <c r="M522" s="250"/>
      <c r="N522" s="250"/>
      <c r="O522" s="250"/>
      <c r="P522" s="250"/>
      <c r="Q522" s="250"/>
    </row>
    <row r="523" spans="1:17" ht="24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  <c r="K523" s="250"/>
      <c r="L523" s="250"/>
      <c r="M523" s="250"/>
      <c r="N523" s="250"/>
      <c r="O523" s="250"/>
      <c r="P523" s="250"/>
      <c r="Q523" s="250"/>
    </row>
    <row r="524" spans="1:17" ht="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  <c r="K524" s="250"/>
      <c r="L524" s="250"/>
      <c r="M524" s="250"/>
      <c r="N524" s="250"/>
      <c r="O524" s="250"/>
      <c r="P524" s="250"/>
      <c r="Q524" s="250"/>
    </row>
    <row r="525" spans="1:17" ht="24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  <c r="K525" s="250"/>
      <c r="L525" s="250"/>
      <c r="M525" s="250"/>
      <c r="N525" s="250"/>
      <c r="O525" s="250"/>
      <c r="P525" s="250"/>
      <c r="Q525" s="250"/>
    </row>
    <row r="526" spans="1:17" ht="24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  <c r="K526" s="250"/>
      <c r="L526" s="250"/>
      <c r="M526" s="250"/>
      <c r="N526" s="250"/>
      <c r="O526" s="250"/>
      <c r="P526" s="250"/>
      <c r="Q526" s="250"/>
    </row>
    <row r="527" spans="1:17" ht="24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  <c r="K527" s="250"/>
      <c r="L527" s="250"/>
      <c r="M527" s="250"/>
      <c r="N527" s="250"/>
      <c r="O527" s="250"/>
      <c r="P527" s="250"/>
      <c r="Q527" s="250"/>
    </row>
    <row r="528" spans="1:17" ht="24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  <c r="K528" s="250"/>
      <c r="L528" s="250"/>
      <c r="M528" s="250"/>
      <c r="N528" s="250"/>
      <c r="O528" s="250"/>
      <c r="P528" s="250"/>
      <c r="Q528" s="250"/>
    </row>
    <row r="529" spans="1:17" ht="24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  <c r="K529" s="250"/>
      <c r="L529" s="250"/>
      <c r="M529" s="250"/>
      <c r="N529" s="250"/>
      <c r="O529" s="250"/>
      <c r="P529" s="250"/>
      <c r="Q529" s="250"/>
    </row>
    <row r="530" spans="1:17" ht="24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  <c r="K530" s="250"/>
      <c r="L530" s="250"/>
      <c r="M530" s="250"/>
      <c r="N530" s="250"/>
      <c r="O530" s="250"/>
      <c r="P530" s="250"/>
      <c r="Q530" s="250"/>
    </row>
    <row r="531" spans="1:17" ht="24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  <c r="K531" s="250"/>
      <c r="L531" s="250"/>
      <c r="M531" s="250"/>
      <c r="N531" s="250"/>
      <c r="O531" s="250"/>
      <c r="P531" s="250"/>
      <c r="Q531" s="250"/>
    </row>
    <row r="532" spans="1:17" ht="24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  <c r="K532" s="250"/>
      <c r="L532" s="250"/>
      <c r="M532" s="250"/>
      <c r="N532" s="250"/>
      <c r="O532" s="250"/>
      <c r="P532" s="250"/>
      <c r="Q532" s="250"/>
    </row>
    <row r="533" spans="1:17" ht="24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  <c r="K533" s="250"/>
      <c r="L533" s="250"/>
      <c r="M533" s="250"/>
      <c r="N533" s="250"/>
      <c r="O533" s="250"/>
      <c r="P533" s="250"/>
      <c r="Q533" s="250"/>
    </row>
    <row r="534" spans="1:17" ht="2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  <c r="K534" s="250"/>
      <c r="L534" s="250"/>
      <c r="M534" s="250"/>
      <c r="N534" s="250"/>
      <c r="O534" s="250"/>
      <c r="P534" s="250"/>
      <c r="Q534" s="250"/>
    </row>
    <row r="535" spans="1:17" ht="24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  <c r="K535" s="250"/>
      <c r="L535" s="250"/>
      <c r="M535" s="250"/>
      <c r="N535" s="250"/>
      <c r="O535" s="250"/>
      <c r="P535" s="250"/>
      <c r="Q535" s="250"/>
    </row>
    <row r="536" spans="1:17" ht="24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  <c r="K536" s="250"/>
      <c r="L536" s="250"/>
      <c r="M536" s="250"/>
      <c r="N536" s="250"/>
      <c r="O536" s="250"/>
      <c r="P536" s="250"/>
      <c r="Q536" s="250"/>
    </row>
    <row r="537" spans="1:17" ht="24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  <c r="K537" s="250"/>
      <c r="L537" s="250"/>
      <c r="M537" s="250"/>
      <c r="N537" s="250"/>
      <c r="O537" s="250"/>
      <c r="P537" s="250"/>
      <c r="Q537" s="250"/>
    </row>
    <row r="538" spans="1:17" ht="24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  <c r="K538" s="250"/>
      <c r="L538" s="250"/>
      <c r="M538" s="250"/>
      <c r="N538" s="250"/>
      <c r="O538" s="250"/>
      <c r="P538" s="250"/>
      <c r="Q538" s="250"/>
    </row>
    <row r="539" spans="1:17" ht="24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  <c r="K539" s="250"/>
      <c r="L539" s="250"/>
      <c r="M539" s="250"/>
      <c r="N539" s="250"/>
      <c r="O539" s="250"/>
      <c r="P539" s="250"/>
      <c r="Q539" s="250"/>
    </row>
    <row r="540" spans="1:17" ht="24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  <c r="K540" s="250"/>
      <c r="L540" s="250"/>
      <c r="M540" s="250"/>
      <c r="N540" s="250"/>
      <c r="O540" s="250"/>
      <c r="P540" s="250"/>
      <c r="Q540" s="250"/>
    </row>
    <row r="541" spans="1:17" ht="24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  <c r="K541" s="250"/>
      <c r="L541" s="250"/>
      <c r="M541" s="250"/>
      <c r="N541" s="250"/>
      <c r="O541" s="250"/>
      <c r="P541" s="250"/>
      <c r="Q541" s="250"/>
    </row>
    <row r="542" spans="1:17" ht="24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  <c r="K542" s="250"/>
      <c r="L542" s="250"/>
      <c r="M542" s="250"/>
      <c r="N542" s="250"/>
      <c r="O542" s="250"/>
      <c r="P542" s="250"/>
      <c r="Q542" s="250"/>
    </row>
    <row r="543" spans="1:17" ht="24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  <c r="K543" s="250"/>
      <c r="L543" s="250"/>
      <c r="M543" s="250"/>
      <c r="N543" s="250"/>
      <c r="O543" s="250"/>
      <c r="P543" s="250"/>
      <c r="Q543" s="250"/>
    </row>
    <row r="544" spans="1:17" ht="2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  <c r="K544" s="250"/>
      <c r="L544" s="250"/>
      <c r="M544" s="250"/>
      <c r="N544" s="250"/>
      <c r="O544" s="250"/>
      <c r="P544" s="250"/>
      <c r="Q544" s="250"/>
    </row>
    <row r="545" spans="1:17" ht="24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  <c r="K545" s="250"/>
      <c r="L545" s="250"/>
      <c r="M545" s="250"/>
      <c r="N545" s="250"/>
      <c r="O545" s="250"/>
      <c r="P545" s="250"/>
      <c r="Q545" s="250"/>
    </row>
    <row r="546" spans="1:17" ht="24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  <c r="K546" s="250"/>
      <c r="L546" s="250"/>
      <c r="M546" s="250"/>
      <c r="N546" s="250"/>
      <c r="O546" s="250"/>
      <c r="P546" s="250"/>
      <c r="Q546" s="250"/>
    </row>
    <row r="547" spans="1:17" ht="24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  <c r="K547" s="250"/>
      <c r="L547" s="250"/>
      <c r="M547" s="250"/>
      <c r="N547" s="250"/>
      <c r="O547" s="250"/>
      <c r="P547" s="250"/>
      <c r="Q547" s="250"/>
    </row>
    <row r="548" spans="1:17" ht="24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  <c r="K548" s="250"/>
      <c r="L548" s="250"/>
      <c r="M548" s="250"/>
      <c r="N548" s="250"/>
      <c r="O548" s="250"/>
      <c r="P548" s="250"/>
      <c r="Q548" s="250"/>
    </row>
    <row r="549" spans="1:17" ht="24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  <c r="K549" s="250"/>
      <c r="L549" s="250"/>
      <c r="M549" s="250"/>
      <c r="N549" s="250"/>
      <c r="O549" s="250"/>
      <c r="P549" s="250"/>
      <c r="Q549" s="250"/>
    </row>
    <row r="550" spans="1:17" ht="24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  <c r="K550" s="250"/>
      <c r="L550" s="250"/>
      <c r="M550" s="250"/>
      <c r="N550" s="250"/>
      <c r="O550" s="250"/>
      <c r="P550" s="250"/>
      <c r="Q550" s="250"/>
    </row>
    <row r="551" spans="1:17" ht="24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  <c r="K551" s="250"/>
      <c r="L551" s="250"/>
      <c r="M551" s="250"/>
      <c r="N551" s="250"/>
      <c r="O551" s="250"/>
      <c r="P551" s="250"/>
      <c r="Q551" s="250"/>
    </row>
    <row r="552" spans="1:17" ht="24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  <c r="K552" s="250"/>
      <c r="L552" s="250"/>
      <c r="M552" s="250"/>
      <c r="N552" s="250"/>
      <c r="O552" s="250"/>
      <c r="P552" s="250"/>
      <c r="Q552" s="250"/>
    </row>
    <row r="553" spans="1:17" ht="24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  <c r="K553" s="250"/>
      <c r="L553" s="250"/>
      <c r="M553" s="250"/>
      <c r="N553" s="250"/>
      <c r="O553" s="250"/>
      <c r="P553" s="250"/>
      <c r="Q553" s="250"/>
    </row>
    <row r="554" spans="1:17" ht="2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  <c r="K554" s="250"/>
      <c r="L554" s="250"/>
      <c r="M554" s="250"/>
      <c r="N554" s="250"/>
      <c r="O554" s="250"/>
      <c r="P554" s="250"/>
      <c r="Q554" s="250"/>
    </row>
    <row r="555" spans="1:17" ht="24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  <c r="K555" s="250"/>
      <c r="L555" s="250"/>
      <c r="M555" s="250"/>
      <c r="N555" s="250"/>
      <c r="O555" s="250"/>
      <c r="P555" s="250"/>
      <c r="Q555" s="250"/>
    </row>
    <row r="556" spans="1:17" ht="24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  <c r="K556" s="250"/>
      <c r="L556" s="250"/>
      <c r="M556" s="250"/>
      <c r="N556" s="250"/>
      <c r="O556" s="250"/>
      <c r="P556" s="250"/>
      <c r="Q556" s="250"/>
    </row>
    <row r="557" spans="1:17" ht="24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  <c r="K557" s="250"/>
      <c r="L557" s="250"/>
      <c r="M557" s="250"/>
      <c r="N557" s="250"/>
      <c r="O557" s="250"/>
      <c r="P557" s="250"/>
      <c r="Q557" s="250"/>
    </row>
    <row r="558" spans="1:17" ht="24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  <c r="K558" s="250"/>
      <c r="L558" s="250"/>
      <c r="M558" s="250"/>
      <c r="N558" s="250"/>
      <c r="O558" s="250"/>
      <c r="P558" s="250"/>
      <c r="Q558" s="250"/>
    </row>
    <row r="559" spans="1:17" ht="24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  <c r="K559" s="250"/>
      <c r="L559" s="250"/>
      <c r="M559" s="250"/>
      <c r="N559" s="250"/>
      <c r="O559" s="250"/>
      <c r="P559" s="250"/>
      <c r="Q559" s="250"/>
    </row>
    <row r="560" spans="1:17" ht="24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  <c r="K560" s="250"/>
      <c r="L560" s="250"/>
      <c r="M560" s="250"/>
      <c r="N560" s="250"/>
      <c r="O560" s="250"/>
      <c r="P560" s="250"/>
      <c r="Q560" s="250"/>
    </row>
    <row r="561" spans="1:17" ht="24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  <c r="K561" s="250"/>
      <c r="L561" s="250"/>
      <c r="M561" s="250"/>
      <c r="N561" s="250"/>
      <c r="O561" s="250"/>
      <c r="P561" s="250"/>
      <c r="Q561" s="250"/>
    </row>
    <row r="562" spans="1:17" ht="24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  <c r="K562" s="250"/>
      <c r="L562" s="250"/>
      <c r="M562" s="250"/>
      <c r="N562" s="250"/>
      <c r="O562" s="250"/>
      <c r="P562" s="250"/>
      <c r="Q562" s="250"/>
    </row>
    <row r="563" spans="1:17" ht="24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  <c r="K563" s="250"/>
      <c r="L563" s="250"/>
      <c r="M563" s="250"/>
      <c r="N563" s="250"/>
      <c r="O563" s="250"/>
      <c r="P563" s="250"/>
      <c r="Q563" s="250"/>
    </row>
    <row r="564" spans="1:17" ht="2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  <c r="K564" s="250"/>
      <c r="L564" s="250"/>
      <c r="M564" s="250"/>
      <c r="N564" s="250"/>
      <c r="O564" s="250"/>
      <c r="P564" s="250"/>
      <c r="Q564" s="250"/>
    </row>
    <row r="565" spans="1:17" ht="24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  <c r="K565" s="250"/>
      <c r="L565" s="250"/>
      <c r="M565" s="250"/>
      <c r="N565" s="250"/>
      <c r="O565" s="250"/>
      <c r="P565" s="250"/>
      <c r="Q565" s="250"/>
    </row>
    <row r="566" spans="1:17" ht="24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  <c r="K566" s="250"/>
      <c r="L566" s="250"/>
      <c r="M566" s="250"/>
      <c r="N566" s="250"/>
      <c r="O566" s="250"/>
      <c r="P566" s="250"/>
      <c r="Q566" s="250"/>
    </row>
    <row r="567" spans="1:17" ht="24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  <c r="K567" s="250"/>
      <c r="L567" s="250"/>
      <c r="M567" s="250"/>
      <c r="N567" s="250"/>
      <c r="O567" s="250"/>
      <c r="P567" s="250"/>
      <c r="Q567" s="250"/>
    </row>
    <row r="568" spans="1:17" ht="24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  <c r="K568" s="250"/>
      <c r="L568" s="250"/>
      <c r="M568" s="250"/>
      <c r="N568" s="250"/>
      <c r="O568" s="250"/>
      <c r="P568" s="250"/>
      <c r="Q568" s="250"/>
    </row>
    <row r="569" spans="1:17" ht="24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  <c r="K569" s="250"/>
      <c r="L569" s="250"/>
      <c r="M569" s="250"/>
      <c r="N569" s="250"/>
      <c r="O569" s="250"/>
      <c r="P569" s="250"/>
      <c r="Q569" s="250"/>
    </row>
    <row r="570" spans="1:17" ht="24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  <c r="K570" s="250"/>
      <c r="L570" s="250"/>
      <c r="M570" s="250"/>
      <c r="N570" s="250"/>
      <c r="O570" s="250"/>
      <c r="P570" s="250"/>
      <c r="Q570" s="250"/>
    </row>
    <row r="571" spans="1:17" ht="24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  <c r="K571" s="250"/>
      <c r="L571" s="250"/>
      <c r="M571" s="250"/>
      <c r="N571" s="250"/>
      <c r="O571" s="250"/>
      <c r="P571" s="250"/>
      <c r="Q571" s="250"/>
    </row>
    <row r="572" spans="1:17" ht="24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  <c r="K572" s="250"/>
      <c r="L572" s="250"/>
      <c r="M572" s="250"/>
      <c r="N572" s="250"/>
      <c r="O572" s="250"/>
      <c r="P572" s="250"/>
      <c r="Q572" s="250"/>
    </row>
    <row r="573" spans="1:17" ht="24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  <c r="K573" s="250"/>
      <c r="L573" s="250"/>
      <c r="M573" s="250"/>
      <c r="N573" s="250"/>
      <c r="O573" s="250"/>
      <c r="P573" s="250"/>
      <c r="Q573" s="250"/>
    </row>
    <row r="574" spans="1:17" ht="2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  <c r="K574" s="250"/>
      <c r="L574" s="250"/>
      <c r="M574" s="250"/>
      <c r="N574" s="250"/>
      <c r="O574" s="250"/>
      <c r="P574" s="250"/>
      <c r="Q574" s="250"/>
    </row>
    <row r="575" spans="1:17" ht="24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  <c r="K575" s="250"/>
      <c r="L575" s="250"/>
      <c r="M575" s="250"/>
      <c r="N575" s="250"/>
      <c r="O575" s="250"/>
      <c r="P575" s="250"/>
      <c r="Q575" s="250"/>
    </row>
    <row r="576" spans="1:17" ht="24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  <c r="K576" s="250"/>
      <c r="L576" s="250"/>
      <c r="M576" s="250"/>
      <c r="N576" s="250"/>
      <c r="O576" s="250"/>
      <c r="P576" s="250"/>
      <c r="Q576" s="250"/>
    </row>
    <row r="577" spans="1:17" ht="24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  <c r="K577" s="250"/>
      <c r="L577" s="250"/>
      <c r="M577" s="250"/>
      <c r="N577" s="250"/>
      <c r="O577" s="250"/>
      <c r="P577" s="250"/>
      <c r="Q577" s="250"/>
    </row>
    <row r="578" spans="1:17" ht="24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  <c r="K578" s="250"/>
      <c r="L578" s="250"/>
      <c r="M578" s="250"/>
      <c r="N578" s="250"/>
      <c r="O578" s="250"/>
      <c r="P578" s="250"/>
      <c r="Q578" s="250"/>
    </row>
    <row r="579" spans="1:17" ht="24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  <c r="K579" s="250"/>
      <c r="L579" s="250"/>
      <c r="M579" s="250"/>
      <c r="N579" s="250"/>
      <c r="O579" s="250"/>
      <c r="P579" s="250"/>
      <c r="Q579" s="250"/>
    </row>
    <row r="580" spans="1:17" ht="24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  <c r="K580" s="250"/>
      <c r="L580" s="250"/>
      <c r="M580" s="250"/>
      <c r="N580" s="250"/>
      <c r="O580" s="250"/>
      <c r="P580" s="250"/>
      <c r="Q580" s="250"/>
    </row>
    <row r="581" spans="1:17" ht="24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  <c r="K581" s="250"/>
      <c r="L581" s="250"/>
      <c r="M581" s="250"/>
      <c r="N581" s="250"/>
      <c r="O581" s="250"/>
      <c r="P581" s="250"/>
      <c r="Q581" s="250"/>
    </row>
    <row r="582" spans="1:17" ht="24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  <c r="K582" s="250"/>
      <c r="L582" s="250"/>
      <c r="M582" s="250"/>
      <c r="N582" s="250"/>
      <c r="O582" s="250"/>
      <c r="P582" s="250"/>
      <c r="Q582" s="250"/>
    </row>
    <row r="583" spans="1:17" ht="24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  <c r="K583" s="250"/>
      <c r="L583" s="250"/>
      <c r="M583" s="250"/>
      <c r="N583" s="250"/>
      <c r="O583" s="250"/>
      <c r="P583" s="250"/>
      <c r="Q583" s="250"/>
    </row>
    <row r="584" spans="1:17" ht="2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  <c r="K584" s="250"/>
      <c r="L584" s="250"/>
      <c r="M584" s="250"/>
      <c r="N584" s="250"/>
      <c r="O584" s="250"/>
      <c r="P584" s="250"/>
      <c r="Q584" s="250"/>
    </row>
    <row r="585" spans="1:17" ht="24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  <c r="K585" s="250"/>
      <c r="L585" s="250"/>
      <c r="M585" s="250"/>
      <c r="N585" s="250"/>
      <c r="O585" s="250"/>
      <c r="P585" s="250"/>
      <c r="Q585" s="250"/>
    </row>
    <row r="586" spans="1:17" ht="24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  <c r="K586" s="250"/>
      <c r="L586" s="250"/>
      <c r="M586" s="250"/>
      <c r="N586" s="250"/>
      <c r="O586" s="250"/>
      <c r="P586" s="250"/>
      <c r="Q586" s="250"/>
    </row>
    <row r="587" spans="1:17" ht="24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  <c r="K587" s="250"/>
      <c r="L587" s="250"/>
      <c r="M587" s="250"/>
      <c r="N587" s="250"/>
      <c r="O587" s="250"/>
      <c r="P587" s="250"/>
      <c r="Q587" s="250"/>
    </row>
    <row r="588" spans="1:17" ht="24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  <c r="K588" s="250"/>
      <c r="L588" s="250"/>
      <c r="M588" s="250"/>
      <c r="N588" s="250"/>
      <c r="O588" s="250"/>
      <c r="P588" s="250"/>
      <c r="Q588" s="250"/>
    </row>
    <row r="589" spans="1:17" ht="24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  <c r="K589" s="250"/>
      <c r="L589" s="250"/>
      <c r="M589" s="250"/>
      <c r="N589" s="250"/>
      <c r="O589" s="250"/>
      <c r="P589" s="250"/>
      <c r="Q589" s="250"/>
    </row>
    <row r="590" spans="1:17" ht="24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  <c r="K590" s="250"/>
      <c r="L590" s="250"/>
      <c r="M590" s="250"/>
      <c r="N590" s="250"/>
      <c r="O590" s="250"/>
      <c r="P590" s="250"/>
      <c r="Q590" s="250"/>
    </row>
    <row r="591" spans="1:17" ht="24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  <c r="K591" s="250"/>
      <c r="L591" s="250"/>
      <c r="M591" s="250"/>
      <c r="N591" s="250"/>
      <c r="O591" s="250"/>
      <c r="P591" s="250"/>
      <c r="Q591" s="250"/>
    </row>
    <row r="592" spans="1:17" ht="24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  <c r="K592" s="250"/>
      <c r="L592" s="250"/>
      <c r="M592" s="250"/>
      <c r="N592" s="250"/>
      <c r="O592" s="250"/>
      <c r="P592" s="250"/>
      <c r="Q592" s="250"/>
    </row>
    <row r="593" spans="1:17" ht="24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  <c r="K593" s="250"/>
      <c r="L593" s="250"/>
      <c r="M593" s="250"/>
      <c r="N593" s="250"/>
      <c r="O593" s="250"/>
      <c r="P593" s="250"/>
      <c r="Q593" s="250"/>
    </row>
    <row r="594" spans="1:17" ht="2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  <c r="K594" s="250"/>
      <c r="L594" s="250"/>
      <c r="M594" s="250"/>
      <c r="N594" s="250"/>
      <c r="O594" s="250"/>
      <c r="P594" s="250"/>
      <c r="Q594" s="250"/>
    </row>
    <row r="595" spans="1:17" ht="24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  <c r="K595" s="250"/>
      <c r="L595" s="250"/>
      <c r="M595" s="250"/>
      <c r="N595" s="250"/>
      <c r="O595" s="250"/>
      <c r="P595" s="250"/>
      <c r="Q595" s="250"/>
    </row>
    <row r="596" spans="1:17" ht="24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  <c r="K596" s="250"/>
      <c r="L596" s="250"/>
      <c r="M596" s="250"/>
      <c r="N596" s="250"/>
      <c r="O596" s="250"/>
      <c r="P596" s="250"/>
      <c r="Q596" s="250"/>
    </row>
    <row r="597" spans="1:17" ht="24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  <c r="K597" s="250"/>
      <c r="L597" s="250"/>
      <c r="M597" s="250"/>
      <c r="N597" s="250"/>
      <c r="O597" s="250"/>
      <c r="P597" s="250"/>
      <c r="Q597" s="250"/>
    </row>
    <row r="598" spans="1:17" ht="24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  <c r="K598" s="250"/>
      <c r="L598" s="250"/>
      <c r="M598" s="250"/>
      <c r="N598" s="250"/>
      <c r="O598" s="250"/>
      <c r="P598" s="250"/>
      <c r="Q598" s="250"/>
    </row>
    <row r="599" spans="1:17" ht="24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  <c r="K599" s="250"/>
      <c r="L599" s="250"/>
      <c r="M599" s="250"/>
      <c r="N599" s="250"/>
      <c r="O599" s="250"/>
      <c r="P599" s="250"/>
      <c r="Q599" s="250"/>
    </row>
    <row r="600" spans="1:17" ht="24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  <c r="K600" s="250"/>
      <c r="L600" s="250"/>
      <c r="M600" s="250"/>
      <c r="N600" s="250"/>
      <c r="O600" s="250"/>
      <c r="P600" s="250"/>
      <c r="Q600" s="250"/>
    </row>
    <row r="601" spans="1:17" ht="24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  <c r="K601" s="250"/>
      <c r="L601" s="250"/>
      <c r="M601" s="250"/>
      <c r="N601" s="250"/>
      <c r="O601" s="250"/>
      <c r="P601" s="250"/>
      <c r="Q601" s="250"/>
    </row>
    <row r="602" spans="1:17" ht="24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  <c r="K602" s="250"/>
      <c r="L602" s="250"/>
      <c r="M602" s="250"/>
      <c r="N602" s="250"/>
      <c r="O602" s="250"/>
      <c r="P602" s="250"/>
      <c r="Q602" s="250"/>
    </row>
    <row r="603" spans="1:17" ht="24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  <c r="K603" s="250"/>
      <c r="L603" s="250"/>
      <c r="M603" s="250"/>
      <c r="N603" s="250"/>
      <c r="O603" s="250"/>
      <c r="P603" s="250"/>
      <c r="Q603" s="250"/>
    </row>
    <row r="604" spans="1:17" ht="2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  <c r="K604" s="250"/>
      <c r="L604" s="250"/>
      <c r="M604" s="250"/>
      <c r="N604" s="250"/>
      <c r="O604" s="250"/>
      <c r="P604" s="250"/>
      <c r="Q604" s="250"/>
    </row>
    <row r="605" spans="1:17" ht="24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  <c r="K605" s="250"/>
      <c r="L605" s="250"/>
      <c r="M605" s="250"/>
      <c r="N605" s="250"/>
      <c r="O605" s="250"/>
      <c r="P605" s="250"/>
      <c r="Q605" s="250"/>
    </row>
    <row r="606" spans="1:17" ht="24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  <c r="K606" s="250"/>
      <c r="L606" s="250"/>
      <c r="M606" s="250"/>
      <c r="N606" s="250"/>
      <c r="O606" s="250"/>
      <c r="P606" s="250"/>
      <c r="Q606" s="250"/>
    </row>
    <row r="607" spans="1:17" ht="24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  <c r="K607" s="250"/>
      <c r="L607" s="250"/>
      <c r="M607" s="250"/>
      <c r="N607" s="250"/>
      <c r="O607" s="250"/>
      <c r="P607" s="250"/>
      <c r="Q607" s="250"/>
    </row>
    <row r="608" spans="1:17" ht="24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  <c r="K608" s="250"/>
      <c r="L608" s="250"/>
      <c r="M608" s="250"/>
      <c r="N608" s="250"/>
      <c r="O608" s="250"/>
      <c r="P608" s="250"/>
      <c r="Q608" s="250"/>
    </row>
    <row r="609" spans="1:17" ht="24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  <c r="K609" s="250"/>
      <c r="L609" s="250"/>
      <c r="M609" s="250"/>
      <c r="N609" s="250"/>
      <c r="O609" s="250"/>
      <c r="P609" s="250"/>
      <c r="Q609" s="250"/>
    </row>
    <row r="610" spans="1:17" ht="24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  <c r="K610" s="250"/>
      <c r="L610" s="250"/>
      <c r="M610" s="250"/>
      <c r="N610" s="250"/>
      <c r="O610" s="250"/>
      <c r="P610" s="250"/>
      <c r="Q610" s="250"/>
    </row>
    <row r="611" spans="1:17" ht="24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  <c r="K611" s="250"/>
      <c r="L611" s="250"/>
      <c r="M611" s="250"/>
      <c r="N611" s="250"/>
      <c r="O611" s="250"/>
      <c r="P611" s="250"/>
      <c r="Q611" s="250"/>
    </row>
    <row r="612" spans="1:17" ht="24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  <c r="K612" s="250"/>
      <c r="L612" s="250"/>
      <c r="M612" s="250"/>
      <c r="N612" s="250"/>
      <c r="O612" s="250"/>
      <c r="P612" s="250"/>
      <c r="Q612" s="250"/>
    </row>
    <row r="613" spans="1:17" ht="24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  <c r="K613" s="250"/>
      <c r="L613" s="250"/>
      <c r="M613" s="250"/>
      <c r="N613" s="250"/>
      <c r="O613" s="250"/>
      <c r="P613" s="250"/>
      <c r="Q613" s="250"/>
    </row>
    <row r="614" spans="1:17" ht="2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  <c r="K614" s="250"/>
      <c r="L614" s="250"/>
      <c r="M614" s="250"/>
      <c r="N614" s="250"/>
      <c r="O614" s="250"/>
      <c r="P614" s="250"/>
      <c r="Q614" s="250"/>
    </row>
    <row r="615" spans="1:17" ht="24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  <c r="K615" s="250"/>
      <c r="L615" s="250"/>
      <c r="M615" s="250"/>
      <c r="N615" s="250"/>
      <c r="O615" s="250"/>
      <c r="P615" s="250"/>
      <c r="Q615" s="250"/>
    </row>
    <row r="616" spans="1:17" ht="24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  <c r="K616" s="250"/>
      <c r="L616" s="250"/>
      <c r="M616" s="250"/>
      <c r="N616" s="250"/>
      <c r="O616" s="250"/>
      <c r="P616" s="250"/>
      <c r="Q616" s="250"/>
    </row>
    <row r="617" spans="1:17" ht="24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  <c r="K617" s="250"/>
      <c r="L617" s="250"/>
      <c r="M617" s="250"/>
      <c r="N617" s="250"/>
      <c r="O617" s="250"/>
      <c r="P617" s="250"/>
      <c r="Q617" s="250"/>
    </row>
    <row r="618" spans="1:17" ht="24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  <c r="K618" s="250"/>
      <c r="L618" s="250"/>
      <c r="M618" s="250"/>
      <c r="N618" s="250"/>
      <c r="O618" s="250"/>
      <c r="P618" s="250"/>
      <c r="Q618" s="250"/>
    </row>
    <row r="619" spans="1:17" ht="24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  <c r="K619" s="250"/>
      <c r="L619" s="250"/>
      <c r="M619" s="250"/>
      <c r="N619" s="250"/>
      <c r="O619" s="250"/>
      <c r="P619" s="250"/>
      <c r="Q619" s="250"/>
    </row>
    <row r="620" spans="1:17" ht="24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  <c r="K620" s="250"/>
      <c r="L620" s="250"/>
      <c r="M620" s="250"/>
      <c r="N620" s="250"/>
      <c r="O620" s="250"/>
      <c r="P620" s="250"/>
      <c r="Q620" s="250"/>
    </row>
    <row r="621" spans="1:17" ht="24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  <c r="K621" s="250"/>
      <c r="L621" s="250"/>
      <c r="M621" s="250"/>
      <c r="N621" s="250"/>
      <c r="O621" s="250"/>
      <c r="P621" s="250"/>
      <c r="Q621" s="250"/>
    </row>
    <row r="622" spans="1:17" ht="24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  <c r="K622" s="250"/>
      <c r="L622" s="250"/>
      <c r="M622" s="250"/>
      <c r="N622" s="250"/>
      <c r="O622" s="250"/>
      <c r="P622" s="250"/>
      <c r="Q622" s="250"/>
    </row>
    <row r="623" spans="1:17" ht="24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  <c r="K623" s="250"/>
      <c r="L623" s="250"/>
      <c r="M623" s="250"/>
      <c r="N623" s="250"/>
      <c r="O623" s="250"/>
      <c r="P623" s="250"/>
      <c r="Q623" s="250"/>
    </row>
    <row r="624" spans="1:17" ht="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  <c r="K624" s="250"/>
      <c r="L624" s="250"/>
      <c r="M624" s="250"/>
      <c r="N624" s="250"/>
      <c r="O624" s="250"/>
      <c r="P624" s="250"/>
      <c r="Q624" s="250"/>
    </row>
    <row r="625" spans="1:17" ht="24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  <c r="K625" s="250"/>
      <c r="L625" s="250"/>
      <c r="M625" s="250"/>
      <c r="N625" s="250"/>
      <c r="O625" s="250"/>
      <c r="P625" s="250"/>
      <c r="Q625" s="250"/>
    </row>
    <row r="626" spans="1:17" ht="24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  <c r="K626" s="250"/>
      <c r="L626" s="250"/>
      <c r="M626" s="250"/>
      <c r="N626" s="250"/>
      <c r="O626" s="250"/>
      <c r="P626" s="250"/>
      <c r="Q626" s="250"/>
    </row>
    <row r="627" spans="1:17" ht="24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  <c r="K627" s="250"/>
      <c r="L627" s="250"/>
      <c r="M627" s="250"/>
      <c r="N627" s="250"/>
      <c r="O627" s="250"/>
      <c r="P627" s="250"/>
      <c r="Q627" s="250"/>
    </row>
    <row r="628" spans="1:17" ht="24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  <c r="K628" s="250"/>
      <c r="L628" s="250"/>
      <c r="M628" s="250"/>
      <c r="N628" s="250"/>
      <c r="O628" s="250"/>
      <c r="P628" s="250"/>
      <c r="Q628" s="250"/>
    </row>
    <row r="629" spans="1:17" ht="24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  <c r="K629" s="250"/>
      <c r="L629" s="250"/>
      <c r="M629" s="250"/>
      <c r="N629" s="250"/>
      <c r="O629" s="250"/>
      <c r="P629" s="250"/>
      <c r="Q629" s="250"/>
    </row>
    <row r="630" spans="1:17" ht="24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  <c r="K630" s="250"/>
      <c r="L630" s="250"/>
      <c r="M630" s="250"/>
      <c r="N630" s="250"/>
      <c r="O630" s="250"/>
      <c r="P630" s="250"/>
      <c r="Q630" s="250"/>
    </row>
    <row r="631" spans="1:17" ht="24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  <c r="K631" s="250"/>
      <c r="L631" s="250"/>
      <c r="M631" s="250"/>
      <c r="N631" s="250"/>
      <c r="O631" s="250"/>
      <c r="P631" s="250"/>
      <c r="Q631" s="250"/>
    </row>
    <row r="632" spans="1:17" ht="24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  <c r="K632" s="250"/>
      <c r="L632" s="250"/>
      <c r="M632" s="250"/>
      <c r="N632" s="250"/>
      <c r="O632" s="250"/>
      <c r="P632" s="250"/>
      <c r="Q632" s="250"/>
    </row>
    <row r="633" spans="1:17" ht="24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  <c r="K633" s="250"/>
      <c r="L633" s="250"/>
      <c r="M633" s="250"/>
      <c r="N633" s="250"/>
      <c r="O633" s="250"/>
      <c r="P633" s="250"/>
      <c r="Q633" s="250"/>
    </row>
    <row r="634" spans="1:17" ht="2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  <c r="K634" s="250"/>
      <c r="L634" s="250"/>
      <c r="M634" s="250"/>
      <c r="N634" s="250"/>
      <c r="O634" s="250"/>
      <c r="P634" s="250"/>
      <c r="Q634" s="250"/>
    </row>
    <row r="635" spans="1:17" ht="24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  <c r="K635" s="250"/>
      <c r="L635" s="250"/>
      <c r="M635" s="250"/>
      <c r="N635" s="250"/>
      <c r="O635" s="250"/>
      <c r="P635" s="250"/>
      <c r="Q635" s="250"/>
    </row>
    <row r="636" spans="1:17" ht="24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  <c r="K636" s="250"/>
      <c r="L636" s="250"/>
      <c r="M636" s="250"/>
      <c r="N636" s="250"/>
      <c r="O636" s="250"/>
      <c r="P636" s="250"/>
      <c r="Q636" s="250"/>
    </row>
    <row r="637" spans="1:17" ht="24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  <c r="K637" s="250"/>
      <c r="L637" s="250"/>
      <c r="M637" s="250"/>
      <c r="N637" s="250"/>
      <c r="O637" s="250"/>
      <c r="P637" s="250"/>
      <c r="Q637" s="250"/>
    </row>
    <row r="638" spans="1:17" ht="24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  <c r="K638" s="250"/>
      <c r="L638" s="250"/>
      <c r="M638" s="250"/>
      <c r="N638" s="250"/>
      <c r="O638" s="250"/>
      <c r="P638" s="250"/>
      <c r="Q638" s="250"/>
    </row>
    <row r="639" spans="1:17" ht="24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  <c r="K639" s="250"/>
      <c r="L639" s="250"/>
      <c r="M639" s="250"/>
      <c r="N639" s="250"/>
      <c r="O639" s="250"/>
      <c r="P639" s="250"/>
      <c r="Q639" s="250"/>
    </row>
    <row r="640" spans="1:17" ht="24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  <c r="K640" s="250"/>
      <c r="L640" s="250"/>
      <c r="M640" s="250"/>
      <c r="N640" s="250"/>
      <c r="O640" s="250"/>
      <c r="P640" s="250"/>
      <c r="Q640" s="250"/>
    </row>
    <row r="641" spans="1:17" ht="24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  <c r="K641" s="250"/>
      <c r="L641" s="250"/>
      <c r="M641" s="250"/>
      <c r="N641" s="250"/>
      <c r="O641" s="250"/>
      <c r="P641" s="250"/>
      <c r="Q641" s="250"/>
    </row>
    <row r="642" spans="1:17" ht="24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  <c r="K642" s="250"/>
      <c r="L642" s="250"/>
      <c r="M642" s="250"/>
      <c r="N642" s="250"/>
      <c r="O642" s="250"/>
      <c r="P642" s="250"/>
      <c r="Q642" s="250"/>
    </row>
    <row r="643" spans="1:17" ht="24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  <c r="K643" s="250"/>
      <c r="L643" s="250"/>
      <c r="M643" s="250"/>
      <c r="N643" s="250"/>
      <c r="O643" s="250"/>
      <c r="P643" s="250"/>
      <c r="Q643" s="250"/>
    </row>
    <row r="644" spans="1:17" ht="2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  <c r="K644" s="250"/>
      <c r="L644" s="250"/>
      <c r="M644" s="250"/>
      <c r="N644" s="250"/>
      <c r="O644" s="250"/>
      <c r="P644" s="250"/>
      <c r="Q644" s="250"/>
    </row>
    <row r="645" spans="1:17" ht="24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  <c r="K645" s="250"/>
      <c r="L645" s="250"/>
      <c r="M645" s="250"/>
      <c r="N645" s="250"/>
      <c r="O645" s="250"/>
      <c r="P645" s="250"/>
      <c r="Q645" s="250"/>
    </row>
    <row r="646" spans="1:17" ht="24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  <c r="K646" s="250"/>
      <c r="L646" s="250"/>
      <c r="M646" s="250"/>
      <c r="N646" s="250"/>
      <c r="O646" s="250"/>
      <c r="P646" s="250"/>
      <c r="Q646" s="250"/>
    </row>
    <row r="647" spans="1:17" ht="24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  <c r="K647" s="250"/>
      <c r="L647" s="250"/>
      <c r="M647" s="250"/>
      <c r="N647" s="250"/>
      <c r="O647" s="250"/>
      <c r="P647" s="250"/>
      <c r="Q647" s="250"/>
    </row>
    <row r="648" spans="1:17" ht="24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  <c r="K648" s="250"/>
      <c r="L648" s="250"/>
      <c r="M648" s="250"/>
      <c r="N648" s="250"/>
      <c r="O648" s="250"/>
      <c r="P648" s="250"/>
      <c r="Q648" s="250"/>
    </row>
    <row r="649" spans="1:17" ht="24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  <c r="K649" s="250"/>
      <c r="L649" s="250"/>
      <c r="M649" s="250"/>
      <c r="N649" s="250"/>
      <c r="O649" s="250"/>
      <c r="P649" s="250"/>
      <c r="Q649" s="250"/>
    </row>
    <row r="650" spans="1:17" ht="24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  <c r="K650" s="250"/>
      <c r="L650" s="250"/>
      <c r="M650" s="250"/>
      <c r="N650" s="250"/>
      <c r="O650" s="250"/>
      <c r="P650" s="250"/>
      <c r="Q650" s="250"/>
    </row>
    <row r="651" spans="1:17" ht="24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  <c r="K651" s="250"/>
      <c r="L651" s="250"/>
      <c r="M651" s="250"/>
      <c r="N651" s="250"/>
      <c r="O651" s="250"/>
      <c r="P651" s="250"/>
      <c r="Q651" s="250"/>
    </row>
    <row r="652" spans="1:17" ht="24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  <c r="K652" s="250"/>
      <c r="L652" s="250"/>
      <c r="M652" s="250"/>
      <c r="N652" s="250"/>
      <c r="O652" s="250"/>
      <c r="P652" s="250"/>
      <c r="Q652" s="250"/>
    </row>
    <row r="653" spans="1:17" ht="24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  <c r="K653" s="250"/>
      <c r="L653" s="250"/>
      <c r="M653" s="250"/>
      <c r="N653" s="250"/>
      <c r="O653" s="250"/>
      <c r="P653" s="250"/>
      <c r="Q653" s="250"/>
    </row>
    <row r="654" spans="1:17" ht="2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  <c r="K654" s="250"/>
      <c r="L654" s="250"/>
      <c r="M654" s="250"/>
      <c r="N654" s="250"/>
      <c r="O654" s="250"/>
      <c r="P654" s="250"/>
      <c r="Q654" s="250"/>
    </row>
    <row r="655" spans="1:17" ht="24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  <c r="K655" s="250"/>
      <c r="L655" s="250"/>
      <c r="M655" s="250"/>
      <c r="N655" s="250"/>
      <c r="O655" s="250"/>
      <c r="P655" s="250"/>
      <c r="Q655" s="250"/>
    </row>
    <row r="656" spans="1:17" ht="24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  <c r="K656" s="250"/>
      <c r="L656" s="250"/>
      <c r="M656" s="250"/>
      <c r="N656" s="250"/>
      <c r="O656" s="250"/>
      <c r="P656" s="250"/>
      <c r="Q656" s="250"/>
    </row>
    <row r="657" spans="1:17" ht="24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  <c r="K657" s="250"/>
      <c r="L657" s="250"/>
      <c r="M657" s="250"/>
      <c r="N657" s="250"/>
      <c r="O657" s="250"/>
      <c r="P657" s="250"/>
      <c r="Q657" s="250"/>
    </row>
    <row r="658" spans="1:17" ht="24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  <c r="K658" s="250"/>
      <c r="L658" s="250"/>
      <c r="M658" s="250"/>
      <c r="N658" s="250"/>
      <c r="O658" s="250"/>
      <c r="P658" s="250"/>
      <c r="Q658" s="250"/>
    </row>
    <row r="659" spans="1:17" ht="24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  <c r="K659" s="250"/>
      <c r="L659" s="250"/>
      <c r="M659" s="250"/>
      <c r="N659" s="250"/>
      <c r="O659" s="250"/>
      <c r="P659" s="250"/>
      <c r="Q659" s="250"/>
    </row>
    <row r="660" spans="1:17" ht="24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  <c r="K660" s="250"/>
      <c r="L660" s="250"/>
      <c r="M660" s="250"/>
      <c r="N660" s="250"/>
      <c r="O660" s="250"/>
      <c r="P660" s="250"/>
      <c r="Q660" s="250"/>
    </row>
    <row r="661" spans="1:17" ht="24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  <c r="K661" s="250"/>
      <c r="L661" s="250"/>
      <c r="M661" s="250"/>
      <c r="N661" s="250"/>
      <c r="O661" s="250"/>
      <c r="P661" s="250"/>
      <c r="Q661" s="250"/>
    </row>
    <row r="662" spans="1:17" ht="24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  <c r="K662" s="250"/>
      <c r="L662" s="250"/>
      <c r="M662" s="250"/>
      <c r="N662" s="250"/>
      <c r="O662" s="250"/>
      <c r="P662" s="250"/>
      <c r="Q662" s="250"/>
    </row>
    <row r="663" spans="1:17" ht="24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  <c r="K663" s="250"/>
      <c r="L663" s="250"/>
      <c r="M663" s="250"/>
      <c r="N663" s="250"/>
      <c r="O663" s="250"/>
      <c r="P663" s="250"/>
      <c r="Q663" s="250"/>
    </row>
    <row r="664" spans="1:17" ht="2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  <c r="K664" s="250"/>
      <c r="L664" s="250"/>
      <c r="M664" s="250"/>
      <c r="N664" s="250"/>
      <c r="O664" s="250"/>
      <c r="P664" s="250"/>
      <c r="Q664" s="250"/>
    </row>
    <row r="665" spans="1:17" ht="24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  <c r="K665" s="250"/>
      <c r="L665" s="250"/>
      <c r="M665" s="250"/>
      <c r="N665" s="250"/>
      <c r="O665" s="250"/>
      <c r="P665" s="250"/>
      <c r="Q665" s="250"/>
    </row>
    <row r="666" spans="1:17" ht="24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  <c r="K666" s="250"/>
      <c r="L666" s="250"/>
      <c r="M666" s="250"/>
      <c r="N666" s="250"/>
      <c r="O666" s="250"/>
      <c r="P666" s="250"/>
      <c r="Q666" s="250"/>
    </row>
    <row r="667" spans="1:17" ht="24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  <c r="K667" s="250"/>
      <c r="L667" s="250"/>
      <c r="M667" s="250"/>
      <c r="N667" s="250"/>
      <c r="O667" s="250"/>
      <c r="P667" s="250"/>
      <c r="Q667" s="250"/>
    </row>
    <row r="668" spans="1:17" ht="24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  <c r="K668" s="250"/>
      <c r="L668" s="250"/>
      <c r="M668" s="250"/>
      <c r="N668" s="250"/>
      <c r="O668" s="250"/>
      <c r="P668" s="250"/>
      <c r="Q668" s="250"/>
    </row>
    <row r="669" spans="1:17" ht="24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  <c r="K669" s="250"/>
      <c r="L669" s="250"/>
      <c r="M669" s="250"/>
      <c r="N669" s="250"/>
      <c r="O669" s="250"/>
      <c r="P669" s="250"/>
      <c r="Q669" s="250"/>
    </row>
    <row r="670" spans="1:17" ht="24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  <c r="K670" s="250"/>
      <c r="L670" s="250"/>
      <c r="M670" s="250"/>
      <c r="N670" s="250"/>
      <c r="O670" s="250"/>
      <c r="P670" s="250"/>
      <c r="Q670" s="250"/>
    </row>
    <row r="671" spans="1:17" ht="24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  <c r="K671" s="250"/>
      <c r="L671" s="250"/>
      <c r="M671" s="250"/>
      <c r="N671" s="250"/>
      <c r="O671" s="250"/>
      <c r="P671" s="250"/>
      <c r="Q671" s="250"/>
    </row>
    <row r="672" spans="1:17" ht="24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  <c r="K672" s="250"/>
      <c r="L672" s="250"/>
      <c r="M672" s="250"/>
      <c r="N672" s="250"/>
      <c r="O672" s="250"/>
      <c r="P672" s="250"/>
      <c r="Q672" s="250"/>
    </row>
    <row r="673" spans="1:17" ht="24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  <c r="K673" s="250"/>
      <c r="L673" s="250"/>
      <c r="M673" s="250"/>
      <c r="N673" s="250"/>
      <c r="O673" s="250"/>
      <c r="P673" s="250"/>
      <c r="Q673" s="250"/>
    </row>
    <row r="674" spans="1:17" ht="2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  <c r="K674" s="250"/>
      <c r="L674" s="250"/>
      <c r="M674" s="250"/>
      <c r="N674" s="250"/>
      <c r="O674" s="250"/>
      <c r="P674" s="250"/>
      <c r="Q674" s="250"/>
    </row>
    <row r="675" spans="1:17" ht="24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  <c r="K675" s="250"/>
      <c r="L675" s="250"/>
      <c r="M675" s="250"/>
      <c r="N675" s="250"/>
      <c r="O675" s="250"/>
      <c r="P675" s="250"/>
      <c r="Q675" s="250"/>
    </row>
    <row r="676" spans="1:17" ht="24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  <c r="K676" s="250"/>
      <c r="L676" s="250"/>
      <c r="M676" s="250"/>
      <c r="N676" s="250"/>
      <c r="O676" s="250"/>
      <c r="P676" s="250"/>
      <c r="Q676" s="250"/>
    </row>
    <row r="677" spans="1:17" ht="24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  <c r="K677" s="250"/>
      <c r="L677" s="250"/>
      <c r="M677" s="250"/>
      <c r="N677" s="250"/>
      <c r="O677" s="250"/>
      <c r="P677" s="250"/>
      <c r="Q677" s="250"/>
    </row>
    <row r="678" spans="1:17" ht="24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  <c r="K678" s="250"/>
      <c r="L678" s="250"/>
      <c r="M678" s="250"/>
      <c r="N678" s="250"/>
      <c r="O678" s="250"/>
      <c r="P678" s="250"/>
      <c r="Q678" s="250"/>
    </row>
    <row r="679" spans="1:17" ht="24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  <c r="K679" s="250"/>
      <c r="L679" s="250"/>
      <c r="M679" s="250"/>
      <c r="N679" s="250"/>
      <c r="O679" s="250"/>
      <c r="P679" s="250"/>
      <c r="Q679" s="250"/>
    </row>
    <row r="680" spans="1:17" ht="24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  <c r="K680" s="250"/>
      <c r="L680" s="250"/>
      <c r="M680" s="250"/>
      <c r="N680" s="250"/>
      <c r="O680" s="250"/>
      <c r="P680" s="250"/>
      <c r="Q680" s="250"/>
    </row>
    <row r="681" spans="1:17" ht="24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  <c r="K681" s="250"/>
      <c r="L681" s="250"/>
      <c r="M681" s="250"/>
      <c r="N681" s="250"/>
      <c r="O681" s="250"/>
      <c r="P681" s="250"/>
      <c r="Q681" s="250"/>
    </row>
    <row r="682" spans="1:17" ht="24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  <c r="K682" s="250"/>
      <c r="L682" s="250"/>
      <c r="M682" s="250"/>
      <c r="N682" s="250"/>
      <c r="O682" s="250"/>
      <c r="P682" s="250"/>
      <c r="Q682" s="250"/>
    </row>
    <row r="683" spans="1:17" ht="24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  <c r="K683" s="250"/>
      <c r="L683" s="250"/>
      <c r="M683" s="250"/>
      <c r="N683" s="250"/>
      <c r="O683" s="250"/>
      <c r="P683" s="250"/>
      <c r="Q683" s="250"/>
    </row>
    <row r="684" spans="1:17" ht="2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  <c r="K684" s="250"/>
      <c r="L684" s="250"/>
      <c r="M684" s="250"/>
      <c r="N684" s="250"/>
      <c r="O684" s="250"/>
      <c r="P684" s="250"/>
      <c r="Q684" s="250"/>
    </row>
    <row r="685" spans="1:17" ht="24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  <c r="K685" s="250"/>
      <c r="L685" s="250"/>
      <c r="M685" s="250"/>
      <c r="N685" s="250"/>
      <c r="O685" s="250"/>
      <c r="P685" s="250"/>
      <c r="Q685" s="250"/>
    </row>
    <row r="686" spans="1:17" ht="24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  <c r="K686" s="250"/>
      <c r="L686" s="250"/>
      <c r="M686" s="250"/>
      <c r="N686" s="250"/>
      <c r="O686" s="250"/>
      <c r="P686" s="250"/>
      <c r="Q686" s="250"/>
    </row>
    <row r="687" spans="1:17" ht="24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  <c r="K687" s="250"/>
      <c r="L687" s="250"/>
      <c r="M687" s="250"/>
      <c r="N687" s="250"/>
      <c r="O687" s="250"/>
      <c r="P687" s="250"/>
      <c r="Q687" s="250"/>
    </row>
    <row r="688" spans="1:17" ht="24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  <c r="K688" s="250"/>
      <c r="L688" s="250"/>
      <c r="M688" s="250"/>
      <c r="N688" s="250"/>
      <c r="O688" s="250"/>
      <c r="P688" s="250"/>
      <c r="Q688" s="250"/>
    </row>
    <row r="689" spans="1:17" ht="24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  <c r="K689" s="250"/>
      <c r="L689" s="250"/>
      <c r="M689" s="250"/>
      <c r="N689" s="250"/>
      <c r="O689" s="250"/>
      <c r="P689" s="250"/>
      <c r="Q689" s="250"/>
    </row>
    <row r="690" spans="1:17" ht="24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  <c r="K690" s="250"/>
      <c r="L690" s="250"/>
      <c r="M690" s="250"/>
      <c r="N690" s="250"/>
      <c r="O690" s="250"/>
      <c r="P690" s="250"/>
      <c r="Q690" s="250"/>
    </row>
    <row r="691" spans="1:17" ht="24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  <c r="K691" s="250"/>
      <c r="L691" s="250"/>
      <c r="M691" s="250"/>
      <c r="N691" s="250"/>
      <c r="O691" s="250"/>
      <c r="P691" s="250"/>
      <c r="Q691" s="250"/>
    </row>
    <row r="692" spans="1:17" ht="24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  <c r="K692" s="250"/>
      <c r="L692" s="250"/>
      <c r="M692" s="250"/>
      <c r="N692" s="250"/>
      <c r="O692" s="250"/>
      <c r="P692" s="250"/>
      <c r="Q692" s="250"/>
    </row>
    <row r="693" spans="1:17" ht="24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  <c r="K693" s="250"/>
      <c r="L693" s="250"/>
      <c r="M693" s="250"/>
      <c r="N693" s="250"/>
      <c r="O693" s="250"/>
      <c r="P693" s="250"/>
      <c r="Q693" s="250"/>
    </row>
    <row r="694" spans="1:17" ht="2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  <c r="K694" s="250"/>
      <c r="L694" s="250"/>
      <c r="M694" s="250"/>
      <c r="N694" s="250"/>
      <c r="O694" s="250"/>
      <c r="P694" s="250"/>
      <c r="Q694" s="250"/>
    </row>
    <row r="695" spans="1:17" ht="24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  <c r="K695" s="250"/>
      <c r="L695" s="250"/>
      <c r="M695" s="250"/>
      <c r="N695" s="250"/>
      <c r="O695" s="250"/>
      <c r="P695" s="250"/>
      <c r="Q695" s="250"/>
    </row>
    <row r="696" spans="1:17" ht="24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  <c r="K696" s="250"/>
      <c r="L696" s="250"/>
      <c r="M696" s="250"/>
      <c r="N696" s="250"/>
      <c r="O696" s="250"/>
      <c r="P696" s="250"/>
      <c r="Q696" s="250"/>
    </row>
    <row r="697" spans="1:17" ht="24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  <c r="K697" s="250"/>
      <c r="L697" s="250"/>
      <c r="M697" s="250"/>
      <c r="N697" s="250"/>
      <c r="O697" s="250"/>
      <c r="P697" s="250"/>
      <c r="Q697" s="250"/>
    </row>
    <row r="698" spans="1:17" ht="24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  <c r="K698" s="250"/>
      <c r="L698" s="250"/>
      <c r="M698" s="250"/>
      <c r="N698" s="250"/>
      <c r="O698" s="250"/>
      <c r="P698" s="250"/>
      <c r="Q698" s="250"/>
    </row>
    <row r="699" spans="1:17" ht="24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  <c r="K699" s="250"/>
      <c r="L699" s="250"/>
      <c r="M699" s="250"/>
      <c r="N699" s="250"/>
      <c r="O699" s="250"/>
      <c r="P699" s="250"/>
      <c r="Q699" s="250"/>
    </row>
    <row r="700" spans="1:17" ht="24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  <c r="K700" s="250"/>
      <c r="L700" s="250"/>
      <c r="M700" s="250"/>
      <c r="N700" s="250"/>
      <c r="O700" s="250"/>
      <c r="P700" s="250"/>
      <c r="Q700" s="250"/>
    </row>
    <row r="701" spans="1:17" ht="24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  <c r="K701" s="250"/>
      <c r="L701" s="250"/>
      <c r="M701" s="250"/>
      <c r="N701" s="250"/>
      <c r="O701" s="250"/>
      <c r="P701" s="250"/>
      <c r="Q701" s="250"/>
    </row>
    <row r="702" spans="1:17" ht="24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  <c r="K702" s="250"/>
      <c r="L702" s="250"/>
      <c r="M702" s="250"/>
      <c r="N702" s="250"/>
      <c r="O702" s="250"/>
      <c r="P702" s="250"/>
      <c r="Q702" s="250"/>
    </row>
    <row r="703" spans="1:17" ht="24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  <c r="K703" s="250"/>
      <c r="L703" s="250"/>
      <c r="M703" s="250"/>
      <c r="N703" s="250"/>
      <c r="O703" s="250"/>
      <c r="P703" s="250"/>
      <c r="Q703" s="250"/>
    </row>
    <row r="704" spans="1:17" ht="2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  <c r="K704" s="250"/>
      <c r="L704" s="250"/>
      <c r="M704" s="250"/>
      <c r="N704" s="250"/>
      <c r="O704" s="250"/>
      <c r="P704" s="250"/>
      <c r="Q704" s="250"/>
    </row>
    <row r="705" spans="1:17" ht="24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  <c r="K705" s="250"/>
      <c r="L705" s="250"/>
      <c r="M705" s="250"/>
      <c r="N705" s="250"/>
      <c r="O705" s="250"/>
      <c r="P705" s="250"/>
      <c r="Q705" s="250"/>
    </row>
    <row r="706" spans="1:17" ht="24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  <c r="K706" s="250"/>
      <c r="L706" s="250"/>
      <c r="M706" s="250"/>
      <c r="N706" s="250"/>
      <c r="O706" s="250"/>
      <c r="P706" s="250"/>
      <c r="Q706" s="250"/>
    </row>
    <row r="707" spans="1:17" ht="24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  <c r="K707" s="250"/>
      <c r="L707" s="250"/>
      <c r="M707" s="250"/>
      <c r="N707" s="250"/>
      <c r="O707" s="250"/>
      <c r="P707" s="250"/>
      <c r="Q707" s="250"/>
    </row>
    <row r="708" spans="1:17" ht="24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  <c r="K708" s="250"/>
      <c r="L708" s="250"/>
      <c r="M708" s="250"/>
      <c r="N708" s="250"/>
      <c r="O708" s="250"/>
      <c r="P708" s="250"/>
      <c r="Q708" s="250"/>
    </row>
    <row r="709" spans="1:17" ht="24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  <c r="K709" s="250"/>
      <c r="L709" s="250"/>
      <c r="M709" s="250"/>
      <c r="N709" s="250"/>
      <c r="O709" s="250"/>
      <c r="P709" s="250"/>
      <c r="Q709" s="250"/>
    </row>
    <row r="710" spans="1:17" ht="24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  <c r="K710" s="250"/>
      <c r="L710" s="250"/>
      <c r="M710" s="250"/>
      <c r="N710" s="250"/>
      <c r="O710" s="250"/>
      <c r="P710" s="250"/>
      <c r="Q710" s="250"/>
    </row>
    <row r="711" spans="1:17" ht="24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  <c r="K711" s="250"/>
      <c r="L711" s="250"/>
      <c r="M711" s="250"/>
      <c r="N711" s="250"/>
      <c r="O711" s="250"/>
      <c r="P711" s="250"/>
      <c r="Q711" s="250"/>
    </row>
    <row r="712" spans="1:17" ht="24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  <c r="K712" s="250"/>
      <c r="L712" s="250"/>
      <c r="M712" s="250"/>
      <c r="N712" s="250"/>
      <c r="O712" s="250"/>
      <c r="P712" s="250"/>
      <c r="Q712" s="250"/>
    </row>
    <row r="713" spans="1:17" ht="24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  <c r="K713" s="250"/>
      <c r="L713" s="250"/>
      <c r="M713" s="250"/>
      <c r="N713" s="250"/>
      <c r="O713" s="250"/>
      <c r="P713" s="250"/>
      <c r="Q713" s="250"/>
    </row>
    <row r="714" spans="1:17" ht="2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  <c r="K714" s="250"/>
      <c r="L714" s="250"/>
      <c r="M714" s="250"/>
      <c r="N714" s="250"/>
      <c r="O714" s="250"/>
      <c r="P714" s="250"/>
      <c r="Q714" s="250"/>
    </row>
    <row r="715" spans="1:17" ht="24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  <c r="K715" s="250"/>
      <c r="L715" s="250"/>
      <c r="M715" s="250"/>
      <c r="N715" s="250"/>
      <c r="O715" s="250"/>
      <c r="P715" s="250"/>
      <c r="Q715" s="250"/>
    </row>
    <row r="716" spans="1:17" ht="24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  <c r="K716" s="250"/>
      <c r="L716" s="250"/>
      <c r="M716" s="250"/>
      <c r="N716" s="250"/>
      <c r="O716" s="250"/>
      <c r="P716" s="250"/>
      <c r="Q716" s="250"/>
    </row>
    <row r="717" spans="1:17" ht="24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  <c r="K717" s="250"/>
      <c r="L717" s="250"/>
      <c r="M717" s="250"/>
      <c r="N717" s="250"/>
      <c r="O717" s="250"/>
      <c r="P717" s="250"/>
      <c r="Q717" s="250"/>
    </row>
    <row r="718" spans="1:17" ht="24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  <c r="K718" s="250"/>
      <c r="L718" s="250"/>
      <c r="M718" s="250"/>
      <c r="N718" s="250"/>
      <c r="O718" s="250"/>
      <c r="P718" s="250"/>
      <c r="Q718" s="250"/>
    </row>
    <row r="719" spans="1:17" ht="24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  <c r="K719" s="250"/>
      <c r="L719" s="250"/>
      <c r="M719" s="250"/>
      <c r="N719" s="250"/>
      <c r="O719" s="250"/>
      <c r="P719" s="250"/>
      <c r="Q719" s="250"/>
    </row>
    <row r="720" spans="1:17" ht="24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  <c r="K720" s="250"/>
      <c r="L720" s="250"/>
      <c r="M720" s="250"/>
      <c r="N720" s="250"/>
      <c r="O720" s="250"/>
      <c r="P720" s="250"/>
      <c r="Q720" s="250"/>
    </row>
    <row r="721" spans="1:17" ht="24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  <c r="K721" s="250"/>
      <c r="L721" s="250"/>
      <c r="M721" s="250"/>
      <c r="N721" s="250"/>
      <c r="O721" s="250"/>
      <c r="P721" s="250"/>
      <c r="Q721" s="250"/>
    </row>
    <row r="722" spans="1:17" ht="24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  <c r="K722" s="250"/>
      <c r="L722" s="250"/>
      <c r="M722" s="250"/>
      <c r="N722" s="250"/>
      <c r="O722" s="250"/>
      <c r="P722" s="250"/>
      <c r="Q722" s="250"/>
    </row>
    <row r="723" spans="1:17" ht="24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  <c r="K723" s="250"/>
      <c r="L723" s="250"/>
      <c r="M723" s="250"/>
      <c r="N723" s="250"/>
      <c r="O723" s="250"/>
      <c r="P723" s="250"/>
      <c r="Q723" s="250"/>
    </row>
    <row r="724" spans="1:17" ht="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  <c r="K724" s="250"/>
      <c r="L724" s="250"/>
      <c r="M724" s="250"/>
      <c r="N724" s="250"/>
      <c r="O724" s="250"/>
      <c r="P724" s="250"/>
      <c r="Q724" s="250"/>
    </row>
    <row r="725" spans="1:17" ht="24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  <c r="K725" s="250"/>
      <c r="L725" s="250"/>
      <c r="M725" s="250"/>
      <c r="N725" s="250"/>
      <c r="O725" s="250"/>
      <c r="P725" s="250"/>
      <c r="Q725" s="250"/>
    </row>
    <row r="726" spans="1:17" ht="24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  <c r="K726" s="250"/>
      <c r="L726" s="250"/>
      <c r="M726" s="250"/>
      <c r="N726" s="250"/>
      <c r="O726" s="250"/>
      <c r="P726" s="250"/>
      <c r="Q726" s="250"/>
    </row>
    <row r="727" spans="1:17" ht="24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  <c r="K727" s="250"/>
      <c r="L727" s="250"/>
      <c r="M727" s="250"/>
      <c r="N727" s="250"/>
      <c r="O727" s="250"/>
      <c r="P727" s="250"/>
      <c r="Q727" s="250"/>
    </row>
    <row r="728" spans="1:17" ht="24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  <c r="K728" s="250"/>
      <c r="L728" s="250"/>
      <c r="M728" s="250"/>
      <c r="N728" s="250"/>
      <c r="O728" s="250"/>
      <c r="P728" s="250"/>
      <c r="Q728" s="250"/>
    </row>
    <row r="729" spans="1:17" ht="24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  <c r="K729" s="250"/>
      <c r="L729" s="250"/>
      <c r="M729" s="250"/>
      <c r="N729" s="250"/>
      <c r="O729" s="250"/>
      <c r="P729" s="250"/>
      <c r="Q729" s="250"/>
    </row>
    <row r="730" spans="1:17" ht="24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  <c r="K730" s="250"/>
      <c r="L730" s="250"/>
      <c r="M730" s="250"/>
      <c r="N730" s="250"/>
      <c r="O730" s="250"/>
      <c r="P730" s="250"/>
      <c r="Q730" s="250"/>
    </row>
    <row r="731" spans="1:17" ht="24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  <c r="K731" s="250"/>
      <c r="L731" s="250"/>
      <c r="M731" s="250"/>
      <c r="N731" s="250"/>
      <c r="O731" s="250"/>
      <c r="P731" s="250"/>
      <c r="Q731" s="250"/>
    </row>
    <row r="732" spans="1:17" ht="24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  <c r="K732" s="250"/>
      <c r="L732" s="250"/>
      <c r="M732" s="250"/>
      <c r="N732" s="250"/>
      <c r="O732" s="250"/>
      <c r="P732" s="250"/>
      <c r="Q732" s="250"/>
    </row>
    <row r="733" spans="1:17" ht="24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  <c r="K733" s="250"/>
      <c r="L733" s="250"/>
      <c r="M733" s="250"/>
      <c r="N733" s="250"/>
      <c r="O733" s="250"/>
      <c r="P733" s="250"/>
      <c r="Q733" s="250"/>
    </row>
    <row r="734" spans="1:17" ht="2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  <c r="K734" s="250"/>
      <c r="L734" s="250"/>
      <c r="M734" s="250"/>
      <c r="N734" s="250"/>
      <c r="O734" s="250"/>
      <c r="P734" s="250"/>
      <c r="Q734" s="250"/>
    </row>
    <row r="735" spans="1:17" ht="24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  <c r="K735" s="250"/>
      <c r="L735" s="250"/>
      <c r="M735" s="250"/>
      <c r="N735" s="250"/>
      <c r="O735" s="250"/>
      <c r="P735" s="250"/>
      <c r="Q735" s="250"/>
    </row>
    <row r="736" spans="1:17" ht="24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  <c r="K736" s="250"/>
      <c r="L736" s="250"/>
      <c r="M736" s="250"/>
      <c r="N736" s="250"/>
      <c r="O736" s="250"/>
      <c r="P736" s="250"/>
      <c r="Q736" s="250"/>
    </row>
    <row r="737" spans="1:17" ht="24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  <c r="K737" s="250"/>
      <c r="L737" s="250"/>
      <c r="M737" s="250"/>
      <c r="N737" s="250"/>
      <c r="O737" s="250"/>
      <c r="P737" s="250"/>
      <c r="Q737" s="250"/>
    </row>
    <row r="738" spans="1:17" ht="24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  <c r="K738" s="250"/>
      <c r="L738" s="250"/>
      <c r="M738" s="250"/>
      <c r="N738" s="250"/>
      <c r="O738" s="250"/>
      <c r="P738" s="250"/>
      <c r="Q738" s="250"/>
    </row>
    <row r="739" spans="1:17" ht="24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  <c r="K739" s="250"/>
      <c r="L739" s="250"/>
      <c r="M739" s="250"/>
      <c r="N739" s="250"/>
      <c r="O739" s="250"/>
      <c r="P739" s="250"/>
      <c r="Q739" s="250"/>
    </row>
    <row r="740" spans="1:17" ht="24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  <c r="K740" s="250"/>
      <c r="L740" s="250"/>
      <c r="M740" s="250"/>
      <c r="N740" s="250"/>
      <c r="O740" s="250"/>
      <c r="P740" s="250"/>
      <c r="Q740" s="250"/>
    </row>
    <row r="741" spans="1:17" ht="24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  <c r="K741" s="250"/>
      <c r="L741" s="250"/>
      <c r="M741" s="250"/>
      <c r="N741" s="250"/>
      <c r="O741" s="250"/>
      <c r="P741" s="250"/>
      <c r="Q741" s="250"/>
    </row>
    <row r="742" spans="1:17" ht="24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  <c r="K742" s="250"/>
      <c r="L742" s="250"/>
      <c r="M742" s="250"/>
      <c r="N742" s="250"/>
      <c r="O742" s="250"/>
      <c r="P742" s="250"/>
      <c r="Q742" s="250"/>
    </row>
    <row r="743" spans="1:17" ht="24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  <c r="K743" s="250"/>
      <c r="L743" s="250"/>
      <c r="M743" s="250"/>
      <c r="N743" s="250"/>
      <c r="O743" s="250"/>
      <c r="P743" s="250"/>
      <c r="Q743" s="250"/>
    </row>
    <row r="744" spans="1:17" ht="2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  <c r="K744" s="250"/>
      <c r="L744" s="250"/>
      <c r="M744" s="250"/>
      <c r="N744" s="250"/>
      <c r="O744" s="250"/>
      <c r="P744" s="250"/>
      <c r="Q744" s="250"/>
    </row>
    <row r="745" spans="1:17" ht="24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  <c r="K745" s="250"/>
      <c r="L745" s="250"/>
      <c r="M745" s="250"/>
      <c r="N745" s="250"/>
      <c r="O745" s="250"/>
      <c r="P745" s="250"/>
      <c r="Q745" s="250"/>
    </row>
    <row r="746" spans="1:17" ht="24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  <c r="K746" s="250"/>
      <c r="L746" s="250"/>
      <c r="M746" s="250"/>
      <c r="N746" s="250"/>
      <c r="O746" s="250"/>
      <c r="P746" s="250"/>
      <c r="Q746" s="250"/>
    </row>
    <row r="747" spans="1:17" ht="24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  <c r="K747" s="250"/>
      <c r="L747" s="250"/>
      <c r="M747" s="250"/>
      <c r="N747" s="250"/>
      <c r="O747" s="250"/>
      <c r="P747" s="250"/>
      <c r="Q747" s="250"/>
    </row>
    <row r="748" spans="1:17" ht="24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  <c r="K748" s="250"/>
      <c r="L748" s="250"/>
      <c r="M748" s="250"/>
      <c r="N748" s="250"/>
      <c r="O748" s="250"/>
      <c r="P748" s="250"/>
      <c r="Q748" s="250"/>
    </row>
    <row r="749" spans="1:17" ht="24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  <c r="K749" s="250"/>
      <c r="L749" s="250"/>
      <c r="M749" s="250"/>
      <c r="N749" s="250"/>
      <c r="O749" s="250"/>
      <c r="P749" s="250"/>
      <c r="Q749" s="250"/>
    </row>
    <row r="750" spans="1:17" ht="24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  <c r="K750" s="250"/>
      <c r="L750" s="250"/>
      <c r="M750" s="250"/>
      <c r="N750" s="250"/>
      <c r="O750" s="250"/>
      <c r="P750" s="250"/>
      <c r="Q750" s="250"/>
    </row>
    <row r="751" spans="1:17" ht="24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  <c r="K751" s="250"/>
      <c r="L751" s="250"/>
      <c r="M751" s="250"/>
      <c r="N751" s="250"/>
      <c r="O751" s="250"/>
      <c r="P751" s="250"/>
      <c r="Q751" s="250"/>
    </row>
    <row r="752" spans="1:17" ht="24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  <c r="K752" s="250"/>
      <c r="L752" s="250"/>
      <c r="M752" s="250"/>
      <c r="N752" s="250"/>
      <c r="O752" s="250"/>
      <c r="P752" s="250"/>
      <c r="Q752" s="250"/>
    </row>
    <row r="753" spans="1:17" ht="24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  <c r="K753" s="250"/>
      <c r="L753" s="250"/>
      <c r="M753" s="250"/>
      <c r="N753" s="250"/>
      <c r="O753" s="250"/>
      <c r="P753" s="250"/>
      <c r="Q753" s="250"/>
    </row>
    <row r="754" spans="1:17" ht="2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  <c r="K754" s="250"/>
      <c r="L754" s="250"/>
      <c r="M754" s="250"/>
      <c r="N754" s="250"/>
      <c r="O754" s="250"/>
      <c r="P754" s="250"/>
      <c r="Q754" s="250"/>
    </row>
    <row r="755" spans="1:17" ht="24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  <c r="K755" s="250"/>
      <c r="L755" s="250"/>
      <c r="M755" s="250"/>
      <c r="N755" s="250"/>
      <c r="O755" s="250"/>
      <c r="P755" s="250"/>
      <c r="Q755" s="250"/>
    </row>
    <row r="756" spans="1:17" ht="24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  <c r="K756" s="250"/>
      <c r="L756" s="250"/>
      <c r="M756" s="250"/>
      <c r="N756" s="250"/>
      <c r="O756" s="250"/>
      <c r="P756" s="250"/>
      <c r="Q756" s="250"/>
    </row>
    <row r="757" spans="1:17" ht="24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  <c r="K757" s="250"/>
      <c r="L757" s="250"/>
      <c r="M757" s="250"/>
      <c r="N757" s="250"/>
      <c r="O757" s="250"/>
      <c r="P757" s="250"/>
      <c r="Q757" s="250"/>
    </row>
    <row r="758" spans="1:17" ht="24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  <c r="K758" s="250"/>
      <c r="L758" s="250"/>
      <c r="M758" s="250"/>
      <c r="N758" s="250"/>
      <c r="O758" s="250"/>
      <c r="P758" s="250"/>
      <c r="Q758" s="250"/>
    </row>
    <row r="759" spans="1:17" ht="24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  <c r="K759" s="250"/>
      <c r="L759" s="250"/>
      <c r="M759" s="250"/>
      <c r="N759" s="250"/>
      <c r="O759" s="250"/>
      <c r="P759" s="250"/>
      <c r="Q759" s="250"/>
    </row>
    <row r="760" spans="1:17" ht="24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  <c r="K760" s="250"/>
      <c r="L760" s="250"/>
      <c r="M760" s="250"/>
      <c r="N760" s="250"/>
      <c r="O760" s="250"/>
      <c r="P760" s="250"/>
      <c r="Q760" s="250"/>
    </row>
    <row r="761" spans="1:17" ht="24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  <c r="K761" s="250"/>
      <c r="L761" s="250"/>
      <c r="M761" s="250"/>
      <c r="N761" s="250"/>
      <c r="O761" s="250"/>
      <c r="P761" s="250"/>
      <c r="Q761" s="250"/>
    </row>
    <row r="762" spans="1:17" ht="24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  <c r="K762" s="250"/>
      <c r="L762" s="250"/>
      <c r="M762" s="250"/>
      <c r="N762" s="250"/>
      <c r="O762" s="250"/>
      <c r="P762" s="250"/>
      <c r="Q762" s="250"/>
    </row>
    <row r="763" spans="1:17" ht="24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  <c r="K763" s="250"/>
      <c r="L763" s="250"/>
      <c r="M763" s="250"/>
      <c r="N763" s="250"/>
      <c r="O763" s="250"/>
      <c r="P763" s="250"/>
      <c r="Q763" s="250"/>
    </row>
    <row r="764" spans="1:17" ht="2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  <c r="K764" s="250"/>
      <c r="L764" s="250"/>
      <c r="M764" s="250"/>
      <c r="N764" s="250"/>
      <c r="O764" s="250"/>
      <c r="P764" s="250"/>
      <c r="Q764" s="250"/>
    </row>
    <row r="765" spans="1:17" ht="24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  <c r="K765" s="250"/>
      <c r="L765" s="250"/>
      <c r="M765" s="250"/>
      <c r="N765" s="250"/>
      <c r="O765" s="250"/>
      <c r="P765" s="250"/>
      <c r="Q765" s="250"/>
    </row>
    <row r="766" spans="1:17" ht="24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  <c r="K766" s="250"/>
      <c r="L766" s="250"/>
      <c r="M766" s="250"/>
      <c r="N766" s="250"/>
      <c r="O766" s="250"/>
      <c r="P766" s="250"/>
      <c r="Q766" s="250"/>
    </row>
    <row r="767" spans="1:17" ht="24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  <c r="K767" s="250"/>
      <c r="L767" s="250"/>
      <c r="M767" s="250"/>
      <c r="N767" s="250"/>
      <c r="O767" s="250"/>
      <c r="P767" s="250"/>
      <c r="Q767" s="250"/>
    </row>
    <row r="768" spans="1:17" ht="24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  <c r="K768" s="250"/>
      <c r="L768" s="250"/>
      <c r="M768" s="250"/>
      <c r="N768" s="250"/>
      <c r="O768" s="250"/>
      <c r="P768" s="250"/>
      <c r="Q768" s="250"/>
    </row>
    <row r="769" spans="1:17" ht="24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  <c r="K769" s="250"/>
      <c r="L769" s="250"/>
      <c r="M769" s="250"/>
      <c r="N769" s="250"/>
      <c r="O769" s="250"/>
      <c r="P769" s="250"/>
      <c r="Q769" s="250"/>
    </row>
    <row r="770" spans="1:17" ht="24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  <c r="K770" s="250"/>
      <c r="L770" s="250"/>
      <c r="M770" s="250"/>
      <c r="N770" s="250"/>
      <c r="O770" s="250"/>
      <c r="P770" s="250"/>
      <c r="Q770" s="250"/>
    </row>
    <row r="771" spans="1:17" ht="24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  <c r="K771" s="250"/>
      <c r="L771" s="250"/>
      <c r="M771" s="250"/>
      <c r="N771" s="250"/>
      <c r="O771" s="250"/>
      <c r="P771" s="250"/>
      <c r="Q771" s="250"/>
    </row>
    <row r="772" spans="1:17" ht="24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  <c r="K772" s="250"/>
      <c r="L772" s="250"/>
      <c r="M772" s="250"/>
      <c r="N772" s="250"/>
      <c r="O772" s="250"/>
      <c r="P772" s="250"/>
      <c r="Q772" s="250"/>
    </row>
    <row r="773" spans="1:17" ht="24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  <c r="K773" s="250"/>
      <c r="L773" s="250"/>
      <c r="M773" s="250"/>
      <c r="N773" s="250"/>
      <c r="O773" s="250"/>
      <c r="P773" s="250"/>
      <c r="Q773" s="250"/>
    </row>
    <row r="774" spans="1:17" ht="2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  <c r="K774" s="250"/>
      <c r="L774" s="250"/>
      <c r="M774" s="250"/>
      <c r="N774" s="250"/>
      <c r="O774" s="250"/>
      <c r="P774" s="250"/>
      <c r="Q774" s="250"/>
    </row>
    <row r="775" spans="1:17" ht="24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  <c r="K775" s="250"/>
      <c r="L775" s="250"/>
      <c r="M775" s="250"/>
      <c r="N775" s="250"/>
      <c r="O775" s="250"/>
      <c r="P775" s="250"/>
      <c r="Q775" s="250"/>
    </row>
    <row r="776" spans="1:17" ht="24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  <c r="K776" s="250"/>
      <c r="L776" s="250"/>
      <c r="M776" s="250"/>
      <c r="N776" s="250"/>
      <c r="O776" s="250"/>
      <c r="P776" s="250"/>
      <c r="Q776" s="250"/>
    </row>
    <row r="777" spans="1:17" ht="24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  <c r="K777" s="250"/>
      <c r="L777" s="250"/>
      <c r="M777" s="250"/>
      <c r="N777" s="250"/>
      <c r="O777" s="250"/>
      <c r="P777" s="250"/>
      <c r="Q777" s="250"/>
    </row>
    <row r="778" spans="1:17" ht="24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  <c r="K778" s="250"/>
      <c r="L778" s="250"/>
      <c r="M778" s="250"/>
      <c r="N778" s="250"/>
      <c r="O778" s="250"/>
      <c r="P778" s="250"/>
      <c r="Q778" s="250"/>
    </row>
    <row r="779" spans="1:17" ht="24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  <c r="K779" s="250"/>
      <c r="L779" s="250"/>
      <c r="M779" s="250"/>
      <c r="N779" s="250"/>
      <c r="O779" s="250"/>
      <c r="P779" s="250"/>
      <c r="Q779" s="250"/>
    </row>
    <row r="780" spans="1:17" ht="24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  <c r="K780" s="250"/>
      <c r="L780" s="250"/>
      <c r="M780" s="250"/>
      <c r="N780" s="250"/>
      <c r="O780" s="250"/>
      <c r="P780" s="250"/>
      <c r="Q780" s="250"/>
    </row>
    <row r="781" spans="1:17" ht="24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  <c r="K781" s="250"/>
      <c r="L781" s="250"/>
      <c r="M781" s="250"/>
      <c r="N781" s="250"/>
      <c r="O781" s="250"/>
      <c r="P781" s="250"/>
      <c r="Q781" s="250"/>
    </row>
    <row r="782" spans="1:17" ht="24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  <c r="K782" s="250"/>
      <c r="L782" s="250"/>
      <c r="M782" s="250"/>
      <c r="N782" s="250"/>
      <c r="O782" s="250"/>
      <c r="P782" s="250"/>
      <c r="Q782" s="250"/>
    </row>
    <row r="783" spans="1:17" ht="24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  <c r="K783" s="250"/>
      <c r="L783" s="250"/>
      <c r="M783" s="250"/>
      <c r="N783" s="250"/>
      <c r="O783" s="250"/>
      <c r="P783" s="250"/>
      <c r="Q783" s="250"/>
    </row>
    <row r="784" spans="1:17" ht="2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  <c r="K784" s="250"/>
      <c r="L784" s="250"/>
      <c r="M784" s="250"/>
      <c r="N784" s="250"/>
      <c r="O784" s="250"/>
      <c r="P784" s="250"/>
      <c r="Q784" s="250"/>
    </row>
    <row r="785" spans="1:17" ht="24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  <c r="K785" s="250"/>
      <c r="L785" s="250"/>
      <c r="M785" s="250"/>
      <c r="N785" s="250"/>
      <c r="O785" s="250"/>
      <c r="P785" s="250"/>
      <c r="Q785" s="250"/>
    </row>
    <row r="786" spans="1:17" ht="24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  <c r="K786" s="250"/>
      <c r="L786" s="250"/>
      <c r="M786" s="250"/>
      <c r="N786" s="250"/>
      <c r="O786" s="250"/>
      <c r="P786" s="250"/>
      <c r="Q786" s="250"/>
    </row>
    <row r="787" spans="1:17" ht="24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  <c r="K787" s="250"/>
      <c r="L787" s="250"/>
      <c r="M787" s="250"/>
      <c r="N787" s="250"/>
      <c r="O787" s="250"/>
      <c r="P787" s="250"/>
      <c r="Q787" s="250"/>
    </row>
    <row r="788" spans="1:17" ht="24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  <c r="K788" s="250"/>
      <c r="L788" s="250"/>
      <c r="M788" s="250"/>
      <c r="N788" s="250"/>
      <c r="O788" s="250"/>
      <c r="P788" s="250"/>
      <c r="Q788" s="250"/>
    </row>
    <row r="789" spans="1:17" ht="24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  <c r="K789" s="250"/>
      <c r="L789" s="250"/>
      <c r="M789" s="250"/>
      <c r="N789" s="250"/>
      <c r="O789" s="250"/>
      <c r="P789" s="250"/>
      <c r="Q789" s="250"/>
    </row>
    <row r="790" spans="1:17" ht="24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  <c r="K790" s="250"/>
      <c r="L790" s="250"/>
      <c r="M790" s="250"/>
      <c r="N790" s="250"/>
      <c r="O790" s="250"/>
      <c r="P790" s="250"/>
      <c r="Q790" s="250"/>
    </row>
    <row r="791" spans="1:17" ht="24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  <c r="K791" s="250"/>
      <c r="L791" s="250"/>
      <c r="M791" s="250"/>
      <c r="N791" s="250"/>
      <c r="O791" s="250"/>
      <c r="P791" s="250"/>
      <c r="Q791" s="250"/>
    </row>
    <row r="792" spans="1:17" ht="24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  <c r="K792" s="250"/>
      <c r="L792" s="250"/>
      <c r="M792" s="250"/>
      <c r="N792" s="250"/>
      <c r="O792" s="250"/>
      <c r="P792" s="250"/>
      <c r="Q792" s="250"/>
    </row>
    <row r="793" spans="1:17" ht="24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  <c r="K793" s="250"/>
      <c r="L793" s="250"/>
      <c r="M793" s="250"/>
      <c r="N793" s="250"/>
      <c r="O793" s="250"/>
      <c r="P793" s="250"/>
      <c r="Q793" s="250"/>
    </row>
    <row r="794" spans="1:17" ht="2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  <c r="K794" s="250"/>
      <c r="L794" s="250"/>
      <c r="M794" s="250"/>
      <c r="N794" s="250"/>
      <c r="O794" s="250"/>
      <c r="P794" s="250"/>
      <c r="Q794" s="250"/>
    </row>
    <row r="795" spans="1:17" ht="24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  <c r="K795" s="250"/>
      <c r="L795" s="250"/>
      <c r="M795" s="250"/>
      <c r="N795" s="250"/>
      <c r="O795" s="250"/>
      <c r="P795" s="250"/>
      <c r="Q795" s="250"/>
    </row>
    <row r="796" spans="1:17" ht="24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  <c r="K796" s="250"/>
      <c r="L796" s="250"/>
      <c r="M796" s="250"/>
      <c r="N796" s="250"/>
      <c r="O796" s="250"/>
      <c r="P796" s="250"/>
      <c r="Q796" s="250"/>
    </row>
    <row r="797" spans="1:17" ht="24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  <c r="K797" s="250"/>
      <c r="L797" s="250"/>
      <c r="M797" s="250"/>
      <c r="N797" s="250"/>
      <c r="O797" s="250"/>
      <c r="P797" s="250"/>
      <c r="Q797" s="250"/>
    </row>
    <row r="798" spans="1:17" ht="24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  <c r="K798" s="250"/>
      <c r="L798" s="250"/>
      <c r="M798" s="250"/>
      <c r="N798" s="250"/>
      <c r="O798" s="250"/>
      <c r="P798" s="250"/>
      <c r="Q798" s="250"/>
    </row>
    <row r="799" spans="1:17" ht="24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  <c r="K799" s="250"/>
      <c r="L799" s="250"/>
      <c r="M799" s="250"/>
      <c r="N799" s="250"/>
      <c r="O799" s="250"/>
      <c r="P799" s="250"/>
      <c r="Q799" s="250"/>
    </row>
    <row r="800" spans="1:17" ht="24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  <c r="K800" s="250"/>
      <c r="L800" s="250"/>
      <c r="M800" s="250"/>
      <c r="N800" s="250"/>
      <c r="O800" s="250"/>
      <c r="P800" s="250"/>
      <c r="Q800" s="250"/>
    </row>
    <row r="801" spans="1:17" ht="24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  <c r="K801" s="250"/>
      <c r="L801" s="250"/>
      <c r="M801" s="250"/>
      <c r="N801" s="250"/>
      <c r="O801" s="250"/>
      <c r="P801" s="250"/>
      <c r="Q801" s="250"/>
    </row>
    <row r="802" spans="1:17" ht="24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  <c r="K802" s="250"/>
      <c r="L802" s="250"/>
      <c r="M802" s="250"/>
      <c r="N802" s="250"/>
      <c r="O802" s="250"/>
      <c r="P802" s="250"/>
      <c r="Q802" s="250"/>
    </row>
    <row r="803" spans="1:17" ht="24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  <c r="K803" s="250"/>
      <c r="L803" s="250"/>
      <c r="M803" s="250"/>
      <c r="N803" s="250"/>
      <c r="O803" s="250"/>
      <c r="P803" s="250"/>
      <c r="Q803" s="250"/>
    </row>
    <row r="804" spans="1:17" ht="2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  <c r="K804" s="250"/>
      <c r="L804" s="250"/>
      <c r="M804" s="250"/>
      <c r="N804" s="250"/>
      <c r="O804" s="250"/>
      <c r="P804" s="250"/>
      <c r="Q804" s="250"/>
    </row>
    <row r="805" spans="1:17" ht="24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  <c r="K805" s="250"/>
      <c r="L805" s="250"/>
      <c r="M805" s="250"/>
      <c r="N805" s="250"/>
      <c r="O805" s="250"/>
      <c r="P805" s="250"/>
      <c r="Q805" s="250"/>
    </row>
    <row r="806" spans="1:17" ht="24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  <c r="K806" s="250"/>
      <c r="L806" s="250"/>
      <c r="M806" s="250"/>
      <c r="N806" s="250"/>
      <c r="O806" s="250"/>
      <c r="P806" s="250"/>
      <c r="Q806" s="250"/>
    </row>
    <row r="807" spans="1:17" ht="24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  <c r="K807" s="250"/>
      <c r="L807" s="250"/>
      <c r="M807" s="250"/>
      <c r="N807" s="250"/>
      <c r="O807" s="250"/>
      <c r="P807" s="250"/>
      <c r="Q807" s="250"/>
    </row>
    <row r="808" spans="1:17" ht="24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  <c r="K808" s="250"/>
      <c r="L808" s="250"/>
      <c r="M808" s="250"/>
      <c r="N808" s="250"/>
      <c r="O808" s="250"/>
      <c r="P808" s="250"/>
      <c r="Q808" s="250"/>
    </row>
    <row r="809" spans="1:17" ht="24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  <c r="K809" s="250"/>
      <c r="L809" s="250"/>
      <c r="M809" s="250"/>
      <c r="N809" s="250"/>
      <c r="O809" s="250"/>
      <c r="P809" s="250"/>
      <c r="Q809" s="250"/>
    </row>
    <row r="810" spans="1:17" ht="24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  <c r="K810" s="250"/>
      <c r="L810" s="250"/>
      <c r="M810" s="250"/>
      <c r="N810" s="250"/>
      <c r="O810" s="250"/>
      <c r="P810" s="250"/>
      <c r="Q810" s="250"/>
    </row>
    <row r="811" spans="1:17" ht="24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  <c r="K811" s="250"/>
      <c r="L811" s="250"/>
      <c r="M811" s="250"/>
      <c r="N811" s="250"/>
      <c r="O811" s="250"/>
      <c r="P811" s="250"/>
      <c r="Q811" s="250"/>
    </row>
    <row r="812" spans="1:17" ht="24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  <c r="K812" s="250"/>
      <c r="L812" s="250"/>
      <c r="M812" s="250"/>
      <c r="N812" s="250"/>
      <c r="O812" s="250"/>
      <c r="P812" s="250"/>
      <c r="Q812" s="250"/>
    </row>
    <row r="813" spans="1:17" ht="24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  <c r="K813" s="250"/>
      <c r="L813" s="250"/>
      <c r="M813" s="250"/>
      <c r="N813" s="250"/>
      <c r="O813" s="250"/>
      <c r="P813" s="250"/>
      <c r="Q813" s="250"/>
    </row>
    <row r="814" spans="1:17" ht="2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  <c r="K814" s="250"/>
      <c r="L814" s="250"/>
      <c r="M814" s="250"/>
      <c r="N814" s="250"/>
      <c r="O814" s="250"/>
      <c r="P814" s="250"/>
      <c r="Q814" s="250"/>
    </row>
    <row r="815" spans="1:17" ht="24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  <c r="K815" s="250"/>
      <c r="L815" s="250"/>
      <c r="M815" s="250"/>
      <c r="N815" s="250"/>
      <c r="O815" s="250"/>
      <c r="P815" s="250"/>
      <c r="Q815" s="250"/>
    </row>
    <row r="816" spans="1:17" ht="24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  <c r="K816" s="250"/>
      <c r="L816" s="250"/>
      <c r="M816" s="250"/>
      <c r="N816" s="250"/>
      <c r="O816" s="250"/>
      <c r="P816" s="250"/>
      <c r="Q816" s="250"/>
    </row>
    <row r="817" spans="1:17" ht="24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  <c r="K817" s="250"/>
      <c r="L817" s="250"/>
      <c r="M817" s="250"/>
      <c r="N817" s="250"/>
      <c r="O817" s="250"/>
      <c r="P817" s="250"/>
      <c r="Q817" s="250"/>
    </row>
    <row r="818" spans="1:17" ht="24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  <c r="K818" s="250"/>
      <c r="L818" s="250"/>
      <c r="M818" s="250"/>
      <c r="N818" s="250"/>
      <c r="O818" s="250"/>
      <c r="P818" s="250"/>
      <c r="Q818" s="250"/>
    </row>
    <row r="819" spans="1:17" ht="24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  <c r="K819" s="250"/>
      <c r="L819" s="250"/>
      <c r="M819" s="250"/>
      <c r="N819" s="250"/>
      <c r="O819" s="250"/>
      <c r="P819" s="250"/>
      <c r="Q819" s="250"/>
    </row>
    <row r="820" spans="1:17" ht="24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  <c r="K820" s="250"/>
      <c r="L820" s="250"/>
      <c r="M820" s="250"/>
      <c r="N820" s="250"/>
      <c r="O820" s="250"/>
      <c r="P820" s="250"/>
      <c r="Q820" s="250"/>
    </row>
    <row r="821" spans="1:17" ht="24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  <c r="K821" s="250"/>
      <c r="L821" s="250"/>
      <c r="M821" s="250"/>
      <c r="N821" s="250"/>
      <c r="O821" s="250"/>
      <c r="P821" s="250"/>
      <c r="Q821" s="250"/>
    </row>
    <row r="822" spans="1:17" ht="24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  <c r="K822" s="250"/>
      <c r="L822" s="250"/>
      <c r="M822" s="250"/>
      <c r="N822" s="250"/>
      <c r="O822" s="250"/>
      <c r="P822" s="250"/>
      <c r="Q822" s="250"/>
    </row>
    <row r="823" spans="1:17" ht="24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  <c r="K823" s="250"/>
      <c r="L823" s="250"/>
      <c r="M823" s="250"/>
      <c r="N823" s="250"/>
      <c r="O823" s="250"/>
      <c r="P823" s="250"/>
      <c r="Q823" s="250"/>
    </row>
    <row r="824" spans="1:17" ht="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  <c r="K824" s="250"/>
      <c r="L824" s="250"/>
      <c r="M824" s="250"/>
      <c r="N824" s="250"/>
      <c r="O824" s="250"/>
      <c r="P824" s="250"/>
      <c r="Q824" s="250"/>
    </row>
    <row r="825" spans="1:17" ht="24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  <c r="M825" s="250"/>
      <c r="N825" s="250"/>
      <c r="O825" s="250"/>
      <c r="P825" s="250"/>
      <c r="Q825" s="250"/>
    </row>
    <row r="826" spans="1:17" ht="24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  <c r="K826" s="250"/>
      <c r="L826" s="250"/>
      <c r="M826" s="250"/>
      <c r="N826" s="250"/>
      <c r="O826" s="250"/>
      <c r="P826" s="250"/>
      <c r="Q826" s="250"/>
    </row>
    <row r="827" spans="1:17" ht="24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  <c r="K827" s="250"/>
      <c r="L827" s="250"/>
      <c r="M827" s="250"/>
      <c r="N827" s="250"/>
      <c r="O827" s="250"/>
      <c r="P827" s="250"/>
      <c r="Q827" s="250"/>
    </row>
    <row r="828" spans="1:17" ht="24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  <c r="K828" s="250"/>
      <c r="L828" s="250"/>
      <c r="M828" s="250"/>
      <c r="N828" s="250"/>
      <c r="O828" s="250"/>
      <c r="P828" s="250"/>
      <c r="Q828" s="250"/>
    </row>
    <row r="829" spans="1:17" ht="24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  <c r="K829" s="250"/>
      <c r="L829" s="250"/>
      <c r="M829" s="250"/>
      <c r="N829" s="250"/>
      <c r="O829" s="250"/>
      <c r="P829" s="250"/>
      <c r="Q829" s="250"/>
    </row>
    <row r="830" spans="1:17" ht="24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  <c r="K830" s="250"/>
      <c r="L830" s="250"/>
      <c r="M830" s="250"/>
      <c r="N830" s="250"/>
      <c r="O830" s="250"/>
      <c r="P830" s="250"/>
      <c r="Q830" s="250"/>
    </row>
    <row r="831" spans="1:17" ht="24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  <c r="K831" s="250"/>
      <c r="L831" s="250"/>
      <c r="M831" s="250"/>
      <c r="N831" s="250"/>
      <c r="O831" s="250"/>
      <c r="P831" s="250"/>
      <c r="Q831" s="250"/>
    </row>
    <row r="832" spans="1:17" ht="24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  <c r="K832" s="250"/>
      <c r="L832" s="250"/>
      <c r="M832" s="250"/>
      <c r="N832" s="250"/>
      <c r="O832" s="250"/>
      <c r="P832" s="250"/>
      <c r="Q832" s="250"/>
    </row>
    <row r="833" spans="1:17" ht="24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  <c r="K833" s="250"/>
      <c r="L833" s="250"/>
      <c r="M833" s="250"/>
      <c r="N833" s="250"/>
      <c r="O833" s="250"/>
      <c r="P833" s="250"/>
      <c r="Q833" s="250"/>
    </row>
    <row r="834" spans="1:17" ht="2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  <c r="K834" s="250"/>
      <c r="L834" s="250"/>
      <c r="M834" s="250"/>
      <c r="N834" s="250"/>
      <c r="O834" s="250"/>
      <c r="P834" s="250"/>
      <c r="Q834" s="250"/>
    </row>
    <row r="835" spans="1:17" ht="24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  <c r="K835" s="250"/>
      <c r="L835" s="250"/>
      <c r="M835" s="250"/>
      <c r="N835" s="250"/>
      <c r="O835" s="250"/>
      <c r="P835" s="250"/>
      <c r="Q835" s="250"/>
    </row>
    <row r="836" spans="1:17" ht="24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  <c r="K836" s="250"/>
      <c r="L836" s="250"/>
      <c r="M836" s="250"/>
      <c r="N836" s="250"/>
      <c r="O836" s="250"/>
      <c r="P836" s="250"/>
      <c r="Q836" s="250"/>
    </row>
    <row r="837" spans="1:17" ht="24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  <c r="K837" s="250"/>
      <c r="L837" s="250"/>
      <c r="M837" s="250"/>
      <c r="N837" s="250"/>
      <c r="O837" s="250"/>
      <c r="P837" s="250"/>
      <c r="Q837" s="250"/>
    </row>
    <row r="838" spans="1:17" ht="24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  <c r="K838" s="250"/>
      <c r="L838" s="250"/>
      <c r="M838" s="250"/>
      <c r="N838" s="250"/>
      <c r="O838" s="250"/>
      <c r="P838" s="250"/>
      <c r="Q838" s="250"/>
    </row>
    <row r="839" spans="1:17" ht="24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  <c r="K839" s="250"/>
      <c r="L839" s="250"/>
      <c r="M839" s="250"/>
      <c r="N839" s="250"/>
      <c r="O839" s="250"/>
      <c r="P839" s="250"/>
      <c r="Q839" s="250"/>
    </row>
    <row r="840" spans="1:17" ht="24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  <c r="K840" s="250"/>
      <c r="L840" s="250"/>
      <c r="M840" s="250"/>
      <c r="N840" s="250"/>
      <c r="O840" s="250"/>
      <c r="P840" s="250"/>
      <c r="Q840" s="250"/>
    </row>
    <row r="841" spans="1:17" ht="24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  <c r="K841" s="250"/>
      <c r="L841" s="250"/>
      <c r="M841" s="250"/>
      <c r="N841" s="250"/>
      <c r="O841" s="250"/>
      <c r="P841" s="250"/>
      <c r="Q841" s="250"/>
    </row>
    <row r="842" spans="1:17" ht="24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  <c r="K842" s="250"/>
      <c r="L842" s="250"/>
      <c r="M842" s="250"/>
      <c r="N842" s="250"/>
      <c r="O842" s="250"/>
      <c r="P842" s="250"/>
      <c r="Q842" s="250"/>
    </row>
    <row r="843" spans="1:17" ht="24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  <c r="K843" s="250"/>
      <c r="L843" s="250"/>
      <c r="M843" s="250"/>
      <c r="N843" s="250"/>
      <c r="O843" s="250"/>
      <c r="P843" s="250"/>
      <c r="Q843" s="250"/>
    </row>
    <row r="844" spans="1:17" ht="2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  <c r="K844" s="250"/>
      <c r="L844" s="250"/>
      <c r="M844" s="250"/>
      <c r="N844" s="250"/>
      <c r="O844" s="250"/>
      <c r="P844" s="250"/>
      <c r="Q844" s="250"/>
    </row>
    <row r="845" spans="1:17" ht="24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  <c r="K845" s="250"/>
      <c r="L845" s="250"/>
      <c r="M845" s="250"/>
      <c r="N845" s="250"/>
      <c r="O845" s="250"/>
      <c r="P845" s="250"/>
      <c r="Q845" s="250"/>
    </row>
    <row r="846" spans="1:17" ht="24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  <c r="K846" s="250"/>
      <c r="L846" s="250"/>
      <c r="M846" s="250"/>
      <c r="N846" s="250"/>
      <c r="O846" s="250"/>
      <c r="P846" s="250"/>
      <c r="Q846" s="250"/>
    </row>
    <row r="847" spans="1:17" ht="24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  <c r="K847" s="250"/>
      <c r="L847" s="250"/>
      <c r="M847" s="250"/>
      <c r="N847" s="250"/>
      <c r="O847" s="250"/>
      <c r="P847" s="250"/>
      <c r="Q847" s="250"/>
    </row>
    <row r="848" spans="1:17" ht="24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  <c r="K848" s="250"/>
      <c r="L848" s="250"/>
      <c r="M848" s="250"/>
      <c r="N848" s="250"/>
      <c r="O848" s="250"/>
      <c r="P848" s="250"/>
      <c r="Q848" s="250"/>
    </row>
    <row r="849" spans="1:17" ht="24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  <c r="K849" s="250"/>
      <c r="L849" s="250"/>
      <c r="M849" s="250"/>
      <c r="N849" s="250"/>
      <c r="O849" s="250"/>
      <c r="P849" s="250"/>
      <c r="Q849" s="250"/>
    </row>
    <row r="850" spans="1:17" ht="24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  <c r="K850" s="250"/>
      <c r="L850" s="250"/>
      <c r="M850" s="250"/>
      <c r="N850" s="250"/>
      <c r="O850" s="250"/>
      <c r="P850" s="250"/>
      <c r="Q850" s="250"/>
    </row>
    <row r="851" spans="1:17" ht="24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  <c r="K851" s="250"/>
      <c r="L851" s="250"/>
      <c r="M851" s="250"/>
      <c r="N851" s="250"/>
      <c r="O851" s="250"/>
      <c r="P851" s="250"/>
      <c r="Q851" s="250"/>
    </row>
    <row r="852" spans="1:17" ht="24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  <c r="K852" s="250"/>
      <c r="L852" s="250"/>
      <c r="M852" s="250"/>
      <c r="N852" s="250"/>
      <c r="O852" s="250"/>
      <c r="P852" s="250"/>
      <c r="Q852" s="250"/>
    </row>
    <row r="853" spans="1:17" ht="24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  <c r="K853" s="250"/>
      <c r="L853" s="250"/>
      <c r="M853" s="250"/>
      <c r="N853" s="250"/>
      <c r="O853" s="250"/>
      <c r="P853" s="250"/>
      <c r="Q853" s="250"/>
    </row>
    <row r="854" spans="1:17" ht="2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  <c r="K854" s="250"/>
      <c r="L854" s="250"/>
      <c r="M854" s="250"/>
      <c r="N854" s="250"/>
      <c r="O854" s="250"/>
      <c r="P854" s="250"/>
      <c r="Q854" s="250"/>
    </row>
    <row r="855" spans="1:17" ht="24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  <c r="K855" s="250"/>
      <c r="L855" s="250"/>
      <c r="M855" s="250"/>
      <c r="N855" s="250"/>
      <c r="O855" s="250"/>
      <c r="P855" s="250"/>
      <c r="Q855" s="250"/>
    </row>
    <row r="856" spans="1:17" ht="24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  <c r="K856" s="250"/>
      <c r="L856" s="250"/>
      <c r="M856" s="250"/>
      <c r="N856" s="250"/>
      <c r="O856" s="250"/>
      <c r="P856" s="250"/>
      <c r="Q856" s="250"/>
    </row>
    <row r="857" spans="1:17" ht="24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  <c r="K857" s="250"/>
      <c r="L857" s="250"/>
      <c r="M857" s="250"/>
      <c r="N857" s="250"/>
      <c r="O857" s="250"/>
      <c r="P857" s="250"/>
      <c r="Q857" s="250"/>
    </row>
    <row r="858" spans="1:17" ht="24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  <c r="K858" s="250"/>
      <c r="L858" s="250"/>
      <c r="M858" s="250"/>
      <c r="N858" s="250"/>
      <c r="O858" s="250"/>
      <c r="P858" s="250"/>
      <c r="Q858" s="250"/>
    </row>
    <row r="859" spans="1:17" ht="24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  <c r="K859" s="250"/>
      <c r="L859" s="250"/>
      <c r="M859" s="250"/>
      <c r="N859" s="250"/>
      <c r="O859" s="250"/>
      <c r="P859" s="250"/>
      <c r="Q859" s="250"/>
    </row>
    <row r="860" spans="1:17" ht="24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  <c r="K860" s="250"/>
      <c r="L860" s="250"/>
      <c r="M860" s="250"/>
      <c r="N860" s="250"/>
      <c r="O860" s="250"/>
      <c r="P860" s="250"/>
      <c r="Q860" s="250"/>
    </row>
    <row r="861" spans="1:17" ht="24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  <c r="K861" s="250"/>
      <c r="L861" s="250"/>
      <c r="M861" s="250"/>
      <c r="N861" s="250"/>
      <c r="O861" s="250"/>
      <c r="P861" s="250"/>
      <c r="Q861" s="250"/>
    </row>
    <row r="862" spans="1:17" ht="24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  <c r="K862" s="250"/>
      <c r="L862" s="250"/>
      <c r="M862" s="250"/>
      <c r="N862" s="250"/>
      <c r="O862" s="250"/>
      <c r="P862" s="250"/>
      <c r="Q862" s="250"/>
    </row>
    <row r="863" spans="1:17" ht="24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  <c r="K863" s="250"/>
      <c r="L863" s="250"/>
      <c r="M863" s="250"/>
      <c r="N863" s="250"/>
      <c r="O863" s="250"/>
      <c r="P863" s="250"/>
      <c r="Q863" s="250"/>
    </row>
    <row r="864" spans="1:17" ht="2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  <c r="K864" s="250"/>
      <c r="L864" s="250"/>
      <c r="M864" s="250"/>
      <c r="N864" s="250"/>
      <c r="O864" s="250"/>
      <c r="P864" s="250"/>
      <c r="Q864" s="250"/>
    </row>
    <row r="865" spans="1:17" ht="24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  <c r="K865" s="250"/>
      <c r="L865" s="250"/>
      <c r="M865" s="250"/>
      <c r="N865" s="250"/>
      <c r="O865" s="250"/>
      <c r="P865" s="250"/>
      <c r="Q865" s="250"/>
    </row>
    <row r="866" spans="1:17" ht="24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  <c r="K866" s="250"/>
      <c r="L866" s="250"/>
      <c r="M866" s="250"/>
      <c r="N866" s="250"/>
      <c r="O866" s="250"/>
      <c r="P866" s="250"/>
      <c r="Q866" s="250"/>
    </row>
    <row r="867" spans="1:17" ht="24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  <c r="K867" s="250"/>
      <c r="L867" s="250"/>
      <c r="M867" s="250"/>
      <c r="N867" s="250"/>
      <c r="O867" s="250"/>
      <c r="P867" s="250"/>
      <c r="Q867" s="250"/>
    </row>
    <row r="868" spans="1:17" ht="24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  <c r="K868" s="250"/>
      <c r="L868" s="250"/>
      <c r="M868" s="250"/>
      <c r="N868" s="250"/>
      <c r="O868" s="250"/>
      <c r="P868" s="250"/>
      <c r="Q868" s="250"/>
    </row>
    <row r="869" spans="1:17" ht="24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  <c r="K869" s="250"/>
      <c r="L869" s="250"/>
      <c r="M869" s="250"/>
      <c r="N869" s="250"/>
      <c r="O869" s="250"/>
      <c r="P869" s="250"/>
      <c r="Q869" s="250"/>
    </row>
    <row r="870" spans="1:17" ht="24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  <c r="K870" s="250"/>
      <c r="L870" s="250"/>
      <c r="M870" s="250"/>
      <c r="N870" s="250"/>
      <c r="O870" s="250"/>
      <c r="P870" s="250"/>
      <c r="Q870" s="250"/>
    </row>
    <row r="871" spans="1:17" ht="24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  <c r="K871" s="250"/>
      <c r="L871" s="250"/>
      <c r="M871" s="250"/>
      <c r="N871" s="250"/>
      <c r="O871" s="250"/>
      <c r="P871" s="250"/>
      <c r="Q871" s="250"/>
    </row>
    <row r="872" spans="1:17" ht="24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  <c r="K872" s="250"/>
      <c r="L872" s="250"/>
      <c r="M872" s="250"/>
      <c r="N872" s="250"/>
      <c r="O872" s="250"/>
      <c r="P872" s="250"/>
      <c r="Q872" s="250"/>
    </row>
    <row r="873" spans="1:17" ht="24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  <c r="K873" s="250"/>
      <c r="L873" s="250"/>
      <c r="M873" s="250"/>
      <c r="N873" s="250"/>
      <c r="O873" s="250"/>
      <c r="P873" s="250"/>
      <c r="Q873" s="250"/>
    </row>
    <row r="874" spans="1:17" ht="2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  <c r="K874" s="250"/>
      <c r="L874" s="250"/>
      <c r="M874" s="250"/>
      <c r="N874" s="250"/>
      <c r="O874" s="250"/>
      <c r="P874" s="250"/>
      <c r="Q874" s="250"/>
    </row>
    <row r="875" spans="1:17" ht="24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  <c r="K875" s="250"/>
      <c r="L875" s="250"/>
      <c r="M875" s="250"/>
      <c r="N875" s="250"/>
      <c r="O875" s="250"/>
      <c r="P875" s="250"/>
      <c r="Q875" s="250"/>
    </row>
    <row r="876" spans="1:17" ht="24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  <c r="K876" s="250"/>
      <c r="L876" s="250"/>
      <c r="M876" s="250"/>
      <c r="N876" s="250"/>
      <c r="O876" s="250"/>
      <c r="P876" s="250"/>
      <c r="Q876" s="250"/>
    </row>
    <row r="877" spans="1:17" ht="24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  <c r="K877" s="250"/>
      <c r="L877" s="250"/>
      <c r="M877" s="250"/>
      <c r="N877" s="250"/>
      <c r="O877" s="250"/>
      <c r="P877" s="250"/>
      <c r="Q877" s="250"/>
    </row>
    <row r="878" spans="1:17" ht="24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  <c r="K878" s="250"/>
      <c r="L878" s="250"/>
      <c r="M878" s="250"/>
      <c r="N878" s="250"/>
      <c r="O878" s="250"/>
      <c r="P878" s="250"/>
      <c r="Q878" s="250"/>
    </row>
    <row r="879" spans="1:17" ht="24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  <c r="K879" s="250"/>
      <c r="L879" s="250"/>
      <c r="M879" s="250"/>
      <c r="N879" s="250"/>
      <c r="O879" s="250"/>
      <c r="P879" s="250"/>
      <c r="Q879" s="250"/>
    </row>
    <row r="880" spans="1:17" ht="24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  <c r="K880" s="250"/>
      <c r="L880" s="250"/>
      <c r="M880" s="250"/>
      <c r="N880" s="250"/>
      <c r="O880" s="250"/>
      <c r="P880" s="250"/>
      <c r="Q880" s="250"/>
    </row>
    <row r="881" spans="1:17" ht="24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  <c r="K881" s="250"/>
      <c r="L881" s="250"/>
      <c r="M881" s="250"/>
      <c r="N881" s="250"/>
      <c r="O881" s="250"/>
      <c r="P881" s="250"/>
      <c r="Q881" s="250"/>
    </row>
    <row r="882" spans="1:17" ht="24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  <c r="K882" s="250"/>
      <c r="L882" s="250"/>
      <c r="M882" s="250"/>
      <c r="N882" s="250"/>
      <c r="O882" s="250"/>
      <c r="P882" s="250"/>
      <c r="Q882" s="250"/>
    </row>
    <row r="883" spans="1:17" ht="24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  <c r="K883" s="250"/>
      <c r="L883" s="250"/>
      <c r="M883" s="250"/>
      <c r="N883" s="250"/>
      <c r="O883" s="250"/>
      <c r="P883" s="250"/>
      <c r="Q883" s="250"/>
    </row>
    <row r="884" spans="1:17" ht="2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  <c r="K884" s="250"/>
      <c r="L884" s="250"/>
      <c r="M884" s="250"/>
      <c r="N884" s="250"/>
      <c r="O884" s="250"/>
      <c r="P884" s="250"/>
      <c r="Q884" s="250"/>
    </row>
    <row r="885" spans="1:17" ht="24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  <c r="K885" s="250"/>
      <c r="L885" s="250"/>
      <c r="M885" s="250"/>
      <c r="N885" s="250"/>
      <c r="O885" s="250"/>
      <c r="P885" s="250"/>
      <c r="Q885" s="250"/>
    </row>
    <row r="886" spans="1:17" ht="24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  <c r="K886" s="250"/>
      <c r="L886" s="250"/>
      <c r="M886" s="250"/>
      <c r="N886" s="250"/>
      <c r="O886" s="250"/>
      <c r="P886" s="250"/>
      <c r="Q886" s="250"/>
    </row>
    <row r="887" spans="1:17" ht="24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  <c r="K887" s="250"/>
      <c r="L887" s="250"/>
      <c r="M887" s="250"/>
      <c r="N887" s="250"/>
      <c r="O887" s="250"/>
      <c r="P887" s="250"/>
      <c r="Q887" s="250"/>
    </row>
    <row r="888" spans="1:17" ht="24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  <c r="K888" s="250"/>
      <c r="L888" s="250"/>
      <c r="M888" s="250"/>
      <c r="N888" s="250"/>
      <c r="O888" s="250"/>
      <c r="P888" s="250"/>
      <c r="Q888" s="250"/>
    </row>
    <row r="889" spans="1:17" ht="24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  <c r="K889" s="250"/>
      <c r="L889" s="250"/>
      <c r="M889" s="250"/>
      <c r="N889" s="250"/>
      <c r="O889" s="250"/>
      <c r="P889" s="250"/>
      <c r="Q889" s="250"/>
    </row>
    <row r="890" spans="1:17" ht="24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  <c r="K890" s="250"/>
      <c r="L890" s="250"/>
      <c r="M890" s="250"/>
      <c r="N890" s="250"/>
      <c r="O890" s="250"/>
      <c r="P890" s="250"/>
      <c r="Q890" s="250"/>
    </row>
    <row r="891" spans="1:17" ht="24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  <c r="K891" s="250"/>
      <c r="L891" s="250"/>
      <c r="M891" s="250"/>
      <c r="N891" s="250"/>
      <c r="O891" s="250"/>
      <c r="P891" s="250"/>
      <c r="Q891" s="250"/>
    </row>
    <row r="892" spans="1:17" ht="24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  <c r="K892" s="250"/>
      <c r="L892" s="250"/>
      <c r="M892" s="250"/>
      <c r="N892" s="250"/>
      <c r="O892" s="250"/>
      <c r="P892" s="250"/>
      <c r="Q892" s="250"/>
    </row>
    <row r="893" spans="1:17" ht="24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  <c r="K893" s="250"/>
      <c r="L893" s="250"/>
      <c r="M893" s="250"/>
      <c r="N893" s="250"/>
      <c r="O893" s="250"/>
      <c r="P893" s="250"/>
      <c r="Q893" s="250"/>
    </row>
    <row r="894" spans="1:17" ht="2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  <c r="K894" s="250"/>
      <c r="L894" s="250"/>
      <c r="M894" s="250"/>
      <c r="N894" s="250"/>
      <c r="O894" s="250"/>
      <c r="P894" s="250"/>
      <c r="Q894" s="250"/>
    </row>
    <row r="895" spans="1:17" ht="24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  <c r="K895" s="250"/>
      <c r="L895" s="250"/>
      <c r="M895" s="250"/>
      <c r="N895" s="250"/>
      <c r="O895" s="250"/>
      <c r="P895" s="250"/>
      <c r="Q895" s="250"/>
    </row>
    <row r="896" spans="1:17" ht="24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  <c r="K896" s="250"/>
      <c r="L896" s="250"/>
      <c r="M896" s="250"/>
      <c r="N896" s="250"/>
      <c r="O896" s="250"/>
      <c r="P896" s="250"/>
      <c r="Q896" s="250"/>
    </row>
    <row r="897" spans="1:17" ht="24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  <c r="K897" s="250"/>
      <c r="L897" s="250"/>
      <c r="M897" s="250"/>
      <c r="N897" s="250"/>
      <c r="O897" s="250"/>
      <c r="P897" s="250"/>
      <c r="Q897" s="250"/>
    </row>
    <row r="898" spans="1:17" ht="24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  <c r="K898" s="250"/>
      <c r="L898" s="250"/>
      <c r="M898" s="250"/>
      <c r="N898" s="250"/>
      <c r="O898" s="250"/>
      <c r="P898" s="250"/>
      <c r="Q898" s="250"/>
    </row>
    <row r="899" spans="1:17" ht="24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  <c r="K899" s="250"/>
      <c r="L899" s="250"/>
      <c r="M899" s="250"/>
      <c r="N899" s="250"/>
      <c r="O899" s="250"/>
      <c r="P899" s="250"/>
      <c r="Q899" s="250"/>
    </row>
    <row r="900" spans="1:17" ht="24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  <c r="K900" s="250"/>
      <c r="L900" s="250"/>
      <c r="M900" s="250"/>
      <c r="N900" s="250"/>
      <c r="O900" s="250"/>
      <c r="P900" s="250"/>
      <c r="Q900" s="250"/>
    </row>
    <row r="901" spans="1:17" ht="24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  <c r="K901" s="250"/>
      <c r="L901" s="250"/>
      <c r="M901" s="250"/>
      <c r="N901" s="250"/>
      <c r="O901" s="250"/>
      <c r="P901" s="250"/>
      <c r="Q901" s="250"/>
    </row>
    <row r="902" spans="1:17" ht="24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  <c r="K902" s="250"/>
      <c r="L902" s="250"/>
      <c r="M902" s="250"/>
      <c r="N902" s="250"/>
      <c r="O902" s="250"/>
      <c r="P902" s="250"/>
      <c r="Q902" s="250"/>
    </row>
    <row r="903" spans="1:17" ht="24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  <c r="K903" s="250"/>
      <c r="L903" s="250"/>
      <c r="M903" s="250"/>
      <c r="N903" s="250"/>
      <c r="O903" s="250"/>
      <c r="P903" s="250"/>
      <c r="Q903" s="250"/>
    </row>
    <row r="904" spans="1:17" ht="2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  <c r="K904" s="250"/>
      <c r="L904" s="250"/>
      <c r="M904" s="250"/>
      <c r="N904" s="250"/>
      <c r="O904" s="250"/>
      <c r="P904" s="250"/>
      <c r="Q904" s="250"/>
    </row>
    <row r="905" spans="1:17" ht="24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  <c r="K905" s="250"/>
      <c r="L905" s="250"/>
      <c r="M905" s="250"/>
      <c r="N905" s="250"/>
      <c r="O905" s="250"/>
      <c r="P905" s="250"/>
      <c r="Q905" s="250"/>
    </row>
    <row r="906" spans="1:17" ht="24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  <c r="K906" s="250"/>
      <c r="L906" s="250"/>
      <c r="M906" s="250"/>
      <c r="N906" s="250"/>
      <c r="O906" s="250"/>
      <c r="P906" s="250"/>
      <c r="Q906" s="250"/>
    </row>
    <row r="907" spans="1:17" ht="24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  <c r="K907" s="250"/>
      <c r="L907" s="250"/>
      <c r="M907" s="250"/>
      <c r="N907" s="250"/>
      <c r="O907" s="250"/>
      <c r="P907" s="250"/>
      <c r="Q907" s="250"/>
    </row>
    <row r="908" spans="1:17" ht="24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  <c r="K908" s="250"/>
      <c r="L908" s="250"/>
      <c r="M908" s="250"/>
      <c r="N908" s="250"/>
      <c r="O908" s="250"/>
      <c r="P908" s="250"/>
      <c r="Q908" s="250"/>
    </row>
    <row r="909" spans="1:17" ht="24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  <c r="K909" s="250"/>
      <c r="L909" s="250"/>
      <c r="M909" s="250"/>
      <c r="N909" s="250"/>
      <c r="O909" s="250"/>
      <c r="P909" s="250"/>
      <c r="Q909" s="250"/>
    </row>
    <row r="910" spans="1:17" ht="24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  <c r="K910" s="250"/>
      <c r="L910" s="250"/>
      <c r="M910" s="250"/>
      <c r="N910" s="250"/>
      <c r="O910" s="250"/>
      <c r="P910" s="250"/>
      <c r="Q910" s="250"/>
    </row>
    <row r="911" spans="1:17" ht="24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  <c r="K911" s="250"/>
      <c r="L911" s="250"/>
      <c r="M911" s="250"/>
      <c r="N911" s="250"/>
      <c r="O911" s="250"/>
      <c r="P911" s="250"/>
      <c r="Q911" s="250"/>
    </row>
    <row r="912" spans="1:17" ht="24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  <c r="K912" s="250"/>
      <c r="L912" s="250"/>
      <c r="M912" s="250"/>
      <c r="N912" s="250"/>
      <c r="O912" s="250"/>
      <c r="P912" s="250"/>
      <c r="Q912" s="250"/>
    </row>
    <row r="913" spans="1:17" ht="24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  <c r="K913" s="250"/>
      <c r="L913" s="250"/>
      <c r="M913" s="250"/>
      <c r="N913" s="250"/>
      <c r="O913" s="250"/>
      <c r="P913" s="250"/>
      <c r="Q913" s="250"/>
    </row>
    <row r="914" spans="1:17" ht="2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  <c r="K914" s="250"/>
      <c r="L914" s="250"/>
      <c r="M914" s="250"/>
      <c r="N914" s="250"/>
      <c r="O914" s="250"/>
      <c r="P914" s="250"/>
      <c r="Q914" s="250"/>
    </row>
    <row r="915" spans="1:17" ht="24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  <c r="K915" s="250"/>
      <c r="L915" s="250"/>
      <c r="M915" s="250"/>
      <c r="N915" s="250"/>
      <c r="O915" s="250"/>
      <c r="P915" s="250"/>
      <c r="Q915" s="250"/>
    </row>
    <row r="916" spans="1:17" ht="24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  <c r="K916" s="250"/>
      <c r="L916" s="250"/>
      <c r="M916" s="250"/>
      <c r="N916" s="250"/>
      <c r="O916" s="250"/>
      <c r="P916" s="250"/>
      <c r="Q916" s="250"/>
    </row>
    <row r="917" spans="1:17" ht="24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  <c r="K917" s="250"/>
      <c r="L917" s="250"/>
      <c r="M917" s="250"/>
      <c r="N917" s="250"/>
      <c r="O917" s="250"/>
      <c r="P917" s="250"/>
      <c r="Q917" s="250"/>
    </row>
    <row r="918" spans="1:17" ht="24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  <c r="K918" s="250"/>
      <c r="L918" s="250"/>
      <c r="M918" s="250"/>
      <c r="N918" s="250"/>
      <c r="O918" s="250"/>
      <c r="P918" s="250"/>
      <c r="Q918" s="250"/>
    </row>
    <row r="919" spans="1:17" ht="24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  <c r="K919" s="250"/>
      <c r="L919" s="250"/>
      <c r="M919" s="250"/>
      <c r="N919" s="250"/>
      <c r="O919" s="250"/>
      <c r="P919" s="250"/>
      <c r="Q919" s="250"/>
    </row>
    <row r="920" spans="1:17" ht="24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  <c r="K920" s="250"/>
      <c r="L920" s="250"/>
      <c r="M920" s="250"/>
      <c r="N920" s="250"/>
      <c r="O920" s="250"/>
      <c r="P920" s="250"/>
      <c r="Q920" s="250"/>
    </row>
    <row r="921" spans="1:17" ht="24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  <c r="K921" s="250"/>
      <c r="L921" s="250"/>
      <c r="M921" s="250"/>
      <c r="N921" s="250"/>
      <c r="O921" s="250"/>
      <c r="P921" s="250"/>
      <c r="Q921" s="250"/>
    </row>
    <row r="922" spans="1:17" ht="24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  <c r="K922" s="250"/>
      <c r="L922" s="250"/>
      <c r="M922" s="250"/>
      <c r="N922" s="250"/>
      <c r="O922" s="250"/>
      <c r="P922" s="250"/>
      <c r="Q922" s="250"/>
    </row>
    <row r="923" spans="1:17" ht="24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  <c r="K923" s="250"/>
      <c r="L923" s="250"/>
      <c r="M923" s="250"/>
      <c r="N923" s="250"/>
      <c r="O923" s="250"/>
      <c r="P923" s="250"/>
      <c r="Q923" s="250"/>
    </row>
    <row r="924" spans="1:17" ht="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  <c r="K924" s="250"/>
      <c r="L924" s="250"/>
      <c r="M924" s="250"/>
      <c r="N924" s="250"/>
      <c r="O924" s="250"/>
      <c r="P924" s="250"/>
      <c r="Q924" s="250"/>
    </row>
    <row r="925" spans="1:17" ht="24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  <c r="K925" s="250"/>
      <c r="L925" s="250"/>
      <c r="M925" s="250"/>
      <c r="N925" s="250"/>
      <c r="O925" s="250"/>
      <c r="P925" s="250"/>
      <c r="Q925" s="250"/>
    </row>
    <row r="926" spans="1:17" ht="24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  <c r="K926" s="250"/>
      <c r="L926" s="250"/>
      <c r="M926" s="250"/>
      <c r="N926" s="250"/>
      <c r="O926" s="250"/>
      <c r="P926" s="250"/>
      <c r="Q926" s="250"/>
    </row>
    <row r="927" spans="1:17" ht="24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  <c r="K927" s="250"/>
      <c r="L927" s="250"/>
      <c r="M927" s="250"/>
      <c r="N927" s="250"/>
      <c r="O927" s="250"/>
      <c r="P927" s="250"/>
      <c r="Q927" s="250"/>
    </row>
    <row r="928" spans="1:17" ht="24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  <c r="K928" s="250"/>
      <c r="L928" s="250"/>
      <c r="M928" s="250"/>
      <c r="N928" s="250"/>
      <c r="O928" s="250"/>
      <c r="P928" s="250"/>
      <c r="Q928" s="250"/>
    </row>
    <row r="929" spans="1:17" ht="24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  <c r="K929" s="250"/>
      <c r="L929" s="250"/>
      <c r="M929" s="250"/>
      <c r="N929" s="250"/>
      <c r="O929" s="250"/>
      <c r="P929" s="250"/>
      <c r="Q929" s="250"/>
    </row>
    <row r="930" spans="1:17" ht="24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  <c r="K930" s="250"/>
      <c r="L930" s="250"/>
      <c r="M930" s="250"/>
      <c r="N930" s="250"/>
      <c r="O930" s="250"/>
      <c r="P930" s="250"/>
      <c r="Q930" s="250"/>
    </row>
    <row r="931" spans="1:17" ht="24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  <c r="K931" s="250"/>
      <c r="L931" s="250"/>
      <c r="M931" s="250"/>
      <c r="N931" s="250"/>
      <c r="O931" s="250"/>
      <c r="P931" s="250"/>
      <c r="Q931" s="250"/>
    </row>
    <row r="932" spans="1:17" ht="24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  <c r="K932" s="250"/>
      <c r="L932" s="250"/>
      <c r="M932" s="250"/>
      <c r="N932" s="250"/>
      <c r="O932" s="250"/>
      <c r="P932" s="250"/>
      <c r="Q932" s="250"/>
    </row>
    <row r="933" spans="1:17" ht="24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  <c r="K933" s="250"/>
      <c r="L933" s="250"/>
      <c r="M933" s="250"/>
      <c r="N933" s="250"/>
      <c r="O933" s="250"/>
      <c r="P933" s="250"/>
      <c r="Q933" s="250"/>
    </row>
    <row r="934" spans="1:17" ht="2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  <c r="K934" s="250"/>
      <c r="L934" s="250"/>
      <c r="M934" s="250"/>
      <c r="N934" s="250"/>
      <c r="O934" s="250"/>
      <c r="P934" s="250"/>
      <c r="Q934" s="250"/>
    </row>
    <row r="935" spans="1:17" ht="24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  <c r="K935" s="250"/>
      <c r="L935" s="250"/>
      <c r="M935" s="250"/>
      <c r="N935" s="250"/>
      <c r="O935" s="250"/>
      <c r="P935" s="250"/>
      <c r="Q935" s="250"/>
    </row>
    <row r="936" spans="1:17" ht="24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  <c r="K936" s="250"/>
      <c r="L936" s="250"/>
      <c r="M936" s="250"/>
      <c r="N936" s="250"/>
      <c r="O936" s="250"/>
      <c r="P936" s="250"/>
      <c r="Q936" s="250"/>
    </row>
    <row r="937" spans="1:17" ht="24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  <c r="K937" s="250"/>
      <c r="L937" s="250"/>
      <c r="M937" s="250"/>
      <c r="N937" s="250"/>
      <c r="O937" s="250"/>
      <c r="P937" s="250"/>
      <c r="Q937" s="250"/>
    </row>
    <row r="938" spans="1:17" ht="24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  <c r="K938" s="250"/>
      <c r="L938" s="250"/>
      <c r="M938" s="250"/>
      <c r="N938" s="250"/>
      <c r="O938" s="250"/>
      <c r="P938" s="250"/>
      <c r="Q938" s="250"/>
    </row>
    <row r="939" spans="1:17" ht="24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  <c r="K939" s="250"/>
      <c r="L939" s="250"/>
      <c r="M939" s="250"/>
      <c r="N939" s="250"/>
      <c r="O939" s="250"/>
      <c r="P939" s="250"/>
      <c r="Q939" s="250"/>
    </row>
    <row r="940" spans="1:17" ht="24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  <c r="K940" s="250"/>
      <c r="L940" s="250"/>
      <c r="M940" s="250"/>
      <c r="N940" s="250"/>
      <c r="O940" s="250"/>
      <c r="P940" s="250"/>
      <c r="Q940" s="250"/>
    </row>
    <row r="941" spans="1:17" ht="24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  <c r="K941" s="250"/>
      <c r="L941" s="250"/>
      <c r="M941" s="250"/>
      <c r="N941" s="250"/>
      <c r="O941" s="250"/>
      <c r="P941" s="250"/>
      <c r="Q941" s="250"/>
    </row>
    <row r="942" spans="1:17" ht="24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  <c r="K942" s="250"/>
      <c r="L942" s="250"/>
      <c r="M942" s="250"/>
      <c r="N942" s="250"/>
      <c r="O942" s="250"/>
      <c r="P942" s="250"/>
      <c r="Q942" s="250"/>
    </row>
    <row r="943" spans="1:17" ht="24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  <c r="K943" s="250"/>
      <c r="L943" s="250"/>
      <c r="M943" s="250"/>
      <c r="N943" s="250"/>
      <c r="O943" s="250"/>
      <c r="P943" s="250"/>
      <c r="Q943" s="250"/>
    </row>
    <row r="944" spans="1:17" ht="2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  <c r="K944" s="250"/>
      <c r="L944" s="250"/>
      <c r="M944" s="250"/>
      <c r="N944" s="250"/>
      <c r="O944" s="250"/>
      <c r="P944" s="250"/>
      <c r="Q944" s="250"/>
    </row>
    <row r="945" spans="1:17" ht="24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  <c r="K945" s="250"/>
      <c r="L945" s="250"/>
      <c r="M945" s="250"/>
      <c r="N945" s="250"/>
      <c r="O945" s="250"/>
      <c r="P945" s="250"/>
      <c r="Q945" s="250"/>
    </row>
    <row r="946" spans="1:17" ht="24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  <c r="K946" s="250"/>
      <c r="L946" s="250"/>
      <c r="M946" s="250"/>
      <c r="N946" s="250"/>
      <c r="O946" s="250"/>
      <c r="P946" s="250"/>
      <c r="Q946" s="250"/>
    </row>
    <row r="947" spans="1:17" ht="24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  <c r="K947" s="250"/>
      <c r="L947" s="250"/>
      <c r="M947" s="250"/>
      <c r="N947" s="250"/>
      <c r="O947" s="250"/>
      <c r="P947" s="250"/>
      <c r="Q947" s="250"/>
    </row>
    <row r="948" spans="1:17" ht="24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  <c r="K948" s="250"/>
      <c r="L948" s="250"/>
      <c r="M948" s="250"/>
      <c r="N948" s="250"/>
      <c r="O948" s="250"/>
      <c r="P948" s="250"/>
      <c r="Q948" s="250"/>
    </row>
    <row r="949" spans="1:17" ht="24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  <c r="K949" s="250"/>
      <c r="L949" s="250"/>
      <c r="M949" s="250"/>
      <c r="N949" s="250"/>
      <c r="O949" s="250"/>
      <c r="P949" s="250"/>
      <c r="Q949" s="250"/>
    </row>
    <row r="950" spans="1:17" ht="24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  <c r="K950" s="250"/>
      <c r="L950" s="250"/>
      <c r="M950" s="250"/>
      <c r="N950" s="250"/>
      <c r="O950" s="250"/>
      <c r="P950" s="250"/>
      <c r="Q950" s="250"/>
    </row>
    <row r="951" spans="1:17" ht="24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  <c r="K951" s="250"/>
      <c r="L951" s="250"/>
      <c r="M951" s="250"/>
      <c r="N951" s="250"/>
      <c r="O951" s="250"/>
      <c r="P951" s="250"/>
      <c r="Q951" s="250"/>
    </row>
    <row r="952" spans="1:17" ht="24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  <c r="K952" s="250"/>
      <c r="L952" s="250"/>
      <c r="M952" s="250"/>
      <c r="N952" s="250"/>
      <c r="O952" s="250"/>
      <c r="P952" s="250"/>
      <c r="Q952" s="250"/>
    </row>
    <row r="953" spans="1:17" ht="24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  <c r="K953" s="250"/>
      <c r="L953" s="250"/>
      <c r="M953" s="250"/>
      <c r="N953" s="250"/>
      <c r="O953" s="250"/>
      <c r="P953" s="250"/>
      <c r="Q953" s="250"/>
    </row>
    <row r="954" spans="1:17" ht="2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  <c r="K954" s="250"/>
      <c r="L954" s="250"/>
      <c r="M954" s="250"/>
      <c r="N954" s="250"/>
      <c r="O954" s="250"/>
      <c r="P954" s="250"/>
      <c r="Q954" s="250"/>
    </row>
    <row r="955" spans="1:17" ht="24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  <c r="K955" s="250"/>
      <c r="L955" s="250"/>
      <c r="M955" s="250"/>
      <c r="N955" s="250"/>
      <c r="O955" s="250"/>
      <c r="P955" s="250"/>
      <c r="Q955" s="250"/>
    </row>
    <row r="956" spans="1:17" ht="24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  <c r="K956" s="250"/>
      <c r="L956" s="250"/>
      <c r="M956" s="250"/>
      <c r="N956" s="250"/>
      <c r="O956" s="250"/>
      <c r="P956" s="250"/>
      <c r="Q956" s="250"/>
    </row>
    <row r="957" spans="1:17" ht="24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  <c r="K957" s="250"/>
      <c r="L957" s="250"/>
      <c r="M957" s="250"/>
      <c r="N957" s="250"/>
      <c r="O957" s="250"/>
      <c r="P957" s="250"/>
      <c r="Q957" s="250"/>
    </row>
    <row r="958" spans="1:17" ht="24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  <c r="K958" s="250"/>
      <c r="L958" s="250"/>
      <c r="M958" s="250"/>
      <c r="N958" s="250"/>
      <c r="O958" s="250"/>
      <c r="P958" s="250"/>
      <c r="Q958" s="250"/>
    </row>
    <row r="959" spans="1:17" ht="24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  <c r="K959" s="250"/>
      <c r="L959" s="250"/>
      <c r="M959" s="250"/>
      <c r="N959" s="250"/>
      <c r="O959" s="250"/>
      <c r="P959" s="250"/>
      <c r="Q959" s="250"/>
    </row>
    <row r="960" spans="1:17" ht="24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  <c r="K960" s="250"/>
      <c r="L960" s="250"/>
      <c r="M960" s="250"/>
      <c r="N960" s="250"/>
      <c r="O960" s="250"/>
      <c r="P960" s="250"/>
      <c r="Q960" s="250"/>
    </row>
    <row r="961" spans="1:17" ht="24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  <c r="K961" s="250"/>
      <c r="L961" s="250"/>
      <c r="M961" s="250"/>
      <c r="N961" s="250"/>
      <c r="O961" s="250"/>
      <c r="P961" s="250"/>
      <c r="Q961" s="250"/>
    </row>
    <row r="962" spans="1:17" ht="24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  <c r="K962" s="250"/>
      <c r="L962" s="250"/>
      <c r="M962" s="250"/>
      <c r="N962" s="250"/>
      <c r="O962" s="250"/>
      <c r="P962" s="250"/>
      <c r="Q962" s="250"/>
    </row>
    <row r="963" spans="1:17" ht="24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  <c r="K963" s="250"/>
      <c r="L963" s="250"/>
      <c r="M963" s="250"/>
      <c r="N963" s="250"/>
      <c r="O963" s="250"/>
      <c r="P963" s="250"/>
      <c r="Q963" s="250"/>
    </row>
    <row r="964" spans="1:17" ht="2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  <c r="K964" s="250"/>
      <c r="L964" s="250"/>
      <c r="M964" s="250"/>
      <c r="N964" s="250"/>
      <c r="O964" s="250"/>
      <c r="P964" s="250"/>
      <c r="Q964" s="250"/>
    </row>
    <row r="965" spans="1:17" ht="24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  <c r="K965" s="250"/>
      <c r="L965" s="250"/>
      <c r="M965" s="250"/>
      <c r="N965" s="250"/>
      <c r="O965" s="250"/>
      <c r="P965" s="250"/>
      <c r="Q965" s="250"/>
    </row>
    <row r="966" spans="1:17" ht="24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  <c r="K966" s="250"/>
      <c r="L966" s="250"/>
      <c r="M966" s="250"/>
      <c r="N966" s="250"/>
      <c r="O966" s="250"/>
      <c r="P966" s="250"/>
      <c r="Q966" s="250"/>
    </row>
    <row r="967" spans="1:17" ht="24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  <c r="K967" s="250"/>
      <c r="L967" s="250"/>
      <c r="M967" s="250"/>
      <c r="N967" s="250"/>
      <c r="O967" s="250"/>
      <c r="P967" s="250"/>
      <c r="Q967" s="250"/>
    </row>
    <row r="968" spans="1:17" ht="24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  <c r="K968" s="250"/>
      <c r="L968" s="250"/>
      <c r="M968" s="250"/>
      <c r="N968" s="250"/>
      <c r="O968" s="250"/>
      <c r="P968" s="250"/>
      <c r="Q968" s="250"/>
    </row>
    <row r="969" spans="1:17" ht="24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  <c r="K969" s="250"/>
      <c r="L969" s="250"/>
      <c r="M969" s="250"/>
      <c r="N969" s="250"/>
      <c r="O969" s="250"/>
      <c r="P969" s="250"/>
      <c r="Q969" s="250"/>
    </row>
    <row r="970" spans="1:17" ht="24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  <c r="K970" s="250"/>
      <c r="L970" s="250"/>
      <c r="M970" s="250"/>
      <c r="N970" s="250"/>
      <c r="O970" s="250"/>
      <c r="P970" s="250"/>
      <c r="Q970" s="250"/>
    </row>
    <row r="971" spans="1:17" ht="24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  <c r="K971" s="250"/>
      <c r="L971" s="250"/>
      <c r="M971" s="250"/>
      <c r="N971" s="250"/>
      <c r="O971" s="250"/>
      <c r="P971" s="250"/>
      <c r="Q971" s="250"/>
    </row>
    <row r="972" spans="1:17" ht="24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  <c r="K972" s="250"/>
      <c r="L972" s="250"/>
      <c r="M972" s="250"/>
      <c r="N972" s="250"/>
      <c r="O972" s="250"/>
      <c r="P972" s="250"/>
      <c r="Q972" s="250"/>
    </row>
    <row r="973" spans="1:17" ht="24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  <c r="K973" s="250"/>
      <c r="L973" s="250"/>
      <c r="M973" s="250"/>
      <c r="N973" s="250"/>
      <c r="O973" s="250"/>
      <c r="P973" s="250"/>
      <c r="Q973" s="250"/>
    </row>
    <row r="974" spans="1:17" ht="2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  <c r="K974" s="250"/>
      <c r="L974" s="250"/>
      <c r="M974" s="250"/>
      <c r="N974" s="250"/>
      <c r="O974" s="250"/>
      <c r="P974" s="250"/>
      <c r="Q974" s="250"/>
    </row>
    <row r="975" spans="1:17" ht="24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  <c r="K975" s="250"/>
      <c r="L975" s="250"/>
      <c r="M975" s="250"/>
      <c r="N975" s="250"/>
      <c r="O975" s="250"/>
      <c r="P975" s="250"/>
      <c r="Q975" s="250"/>
    </row>
    <row r="976" spans="1:17" ht="24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  <c r="K976" s="250"/>
      <c r="L976" s="250"/>
      <c r="M976" s="250"/>
      <c r="N976" s="250"/>
      <c r="O976" s="250"/>
      <c r="P976" s="250"/>
      <c r="Q976" s="250"/>
    </row>
    <row r="977" spans="1:17" ht="24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  <c r="K977" s="250"/>
      <c r="L977" s="250"/>
      <c r="M977" s="250"/>
      <c r="N977" s="250"/>
      <c r="O977" s="250"/>
      <c r="P977" s="250"/>
      <c r="Q977" s="250"/>
    </row>
    <row r="978" spans="1:17" ht="24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  <c r="K978" s="250"/>
      <c r="L978" s="250"/>
      <c r="M978" s="250"/>
      <c r="N978" s="250"/>
      <c r="O978" s="250"/>
      <c r="P978" s="250"/>
      <c r="Q978" s="250"/>
    </row>
    <row r="979" spans="1:17" ht="24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  <c r="K979" s="250"/>
      <c r="L979" s="250"/>
      <c r="M979" s="250"/>
      <c r="N979" s="250"/>
      <c r="O979" s="250"/>
      <c r="P979" s="250"/>
      <c r="Q979" s="250"/>
    </row>
    <row r="980" spans="1:17" ht="24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  <c r="K980" s="250"/>
      <c r="L980" s="250"/>
      <c r="M980" s="250"/>
      <c r="N980" s="250"/>
      <c r="O980" s="250"/>
      <c r="P980" s="250"/>
      <c r="Q980" s="250"/>
    </row>
    <row r="981" spans="1:17" ht="24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  <c r="K981" s="250"/>
      <c r="L981" s="250"/>
      <c r="M981" s="250"/>
      <c r="N981" s="250"/>
      <c r="O981" s="250"/>
      <c r="P981" s="250"/>
      <c r="Q981" s="250"/>
    </row>
    <row r="982" spans="1:17" ht="24">
      <c r="A982" s="250"/>
      <c r="B982" s="250"/>
      <c r="C982" s="250"/>
      <c r="D982" s="250"/>
      <c r="E982" s="250"/>
      <c r="F982" s="250"/>
      <c r="G982" s="250"/>
      <c r="H982" s="250"/>
      <c r="I982" s="250"/>
      <c r="J982" s="250"/>
      <c r="K982" s="250"/>
      <c r="L982" s="250"/>
      <c r="M982" s="250"/>
      <c r="N982" s="250"/>
      <c r="O982" s="250"/>
      <c r="P982" s="250"/>
      <c r="Q982" s="250"/>
    </row>
    <row r="983" spans="1:17" ht="24">
      <c r="A983" s="250"/>
      <c r="B983" s="250"/>
      <c r="C983" s="250"/>
      <c r="D983" s="250"/>
      <c r="E983" s="250"/>
      <c r="F983" s="250"/>
      <c r="G983" s="250"/>
      <c r="H983" s="250"/>
      <c r="I983" s="250"/>
      <c r="J983" s="250"/>
      <c r="K983" s="250"/>
      <c r="L983" s="250"/>
      <c r="M983" s="250"/>
      <c r="N983" s="250"/>
      <c r="O983" s="250"/>
      <c r="P983" s="250"/>
      <c r="Q983" s="250"/>
    </row>
    <row r="984" spans="1:17" ht="24">
      <c r="A984" s="250"/>
      <c r="B984" s="250"/>
      <c r="C984" s="250"/>
      <c r="D984" s="250"/>
      <c r="E984" s="250"/>
      <c r="F984" s="250"/>
      <c r="G984" s="250"/>
      <c r="H984" s="250"/>
      <c r="I984" s="250"/>
      <c r="J984" s="250"/>
      <c r="K984" s="250"/>
      <c r="L984" s="250"/>
      <c r="M984" s="250"/>
      <c r="N984" s="250"/>
      <c r="O984" s="250"/>
      <c r="P984" s="250"/>
      <c r="Q984" s="250"/>
    </row>
    <row r="985" spans="1:17" ht="24">
      <c r="A985" s="250"/>
      <c r="B985" s="250"/>
      <c r="C985" s="250"/>
      <c r="D985" s="250"/>
      <c r="E985" s="250"/>
      <c r="F985" s="250"/>
      <c r="G985" s="250"/>
      <c r="H985" s="250"/>
      <c r="I985" s="250"/>
      <c r="J985" s="250"/>
      <c r="K985" s="250"/>
      <c r="L985" s="250"/>
      <c r="M985" s="250"/>
      <c r="N985" s="250"/>
      <c r="O985" s="250"/>
      <c r="P985" s="250"/>
      <c r="Q985" s="250"/>
    </row>
    <row r="986" spans="1:17" ht="24">
      <c r="A986" s="250"/>
      <c r="B986" s="250"/>
      <c r="C986" s="250"/>
      <c r="D986" s="250"/>
      <c r="E986" s="250"/>
      <c r="F986" s="250"/>
      <c r="G986" s="250"/>
      <c r="H986" s="250"/>
      <c r="I986" s="250"/>
      <c r="J986" s="250"/>
      <c r="K986" s="250"/>
      <c r="L986" s="250"/>
      <c r="M986" s="250"/>
      <c r="N986" s="250"/>
      <c r="O986" s="250"/>
      <c r="P986" s="250"/>
      <c r="Q986" s="250"/>
    </row>
    <row r="987" spans="1:17" ht="24">
      <c r="A987" s="250"/>
      <c r="B987" s="250"/>
      <c r="C987" s="250"/>
      <c r="D987" s="250"/>
      <c r="E987" s="250"/>
      <c r="F987" s="250"/>
      <c r="G987" s="250"/>
      <c r="H987" s="250"/>
      <c r="I987" s="250"/>
      <c r="J987" s="250"/>
      <c r="K987" s="250"/>
      <c r="L987" s="250"/>
      <c r="M987" s="250"/>
      <c r="N987" s="250"/>
      <c r="O987" s="250"/>
      <c r="P987" s="250"/>
      <c r="Q987" s="250"/>
    </row>
    <row r="988" spans="1:17" ht="24">
      <c r="A988" s="250"/>
      <c r="B988" s="250"/>
      <c r="C988" s="250"/>
      <c r="D988" s="250"/>
      <c r="E988" s="250"/>
      <c r="F988" s="250"/>
      <c r="G988" s="250"/>
      <c r="H988" s="250"/>
      <c r="I988" s="250"/>
      <c r="J988" s="250"/>
      <c r="K988" s="250"/>
      <c r="L988" s="250"/>
      <c r="M988" s="250"/>
      <c r="N988" s="250"/>
      <c r="O988" s="250"/>
      <c r="P988" s="250"/>
      <c r="Q988" s="250"/>
    </row>
    <row r="989" spans="1:17" ht="24">
      <c r="A989" s="250"/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  <c r="M989" s="250"/>
      <c r="N989" s="250"/>
      <c r="O989" s="250"/>
      <c r="P989" s="250"/>
      <c r="Q989" s="250"/>
    </row>
    <row r="990" spans="1:17" ht="24">
      <c r="A990" s="250"/>
      <c r="B990" s="250"/>
      <c r="C990" s="250"/>
      <c r="D990" s="250"/>
      <c r="E990" s="250"/>
      <c r="F990" s="250"/>
      <c r="G990" s="250"/>
      <c r="H990" s="250"/>
      <c r="I990" s="250"/>
      <c r="J990" s="250"/>
      <c r="K990" s="250"/>
      <c r="L990" s="250"/>
      <c r="M990" s="250"/>
      <c r="N990" s="250"/>
      <c r="O990" s="250"/>
      <c r="P990" s="250"/>
      <c r="Q990" s="250"/>
    </row>
    <row r="991" spans="1:17" ht="24">
      <c r="A991" s="250"/>
      <c r="B991" s="250"/>
      <c r="C991" s="250"/>
      <c r="D991" s="250"/>
      <c r="E991" s="250"/>
      <c r="F991" s="250"/>
      <c r="G991" s="250"/>
      <c r="H991" s="250"/>
      <c r="I991" s="250"/>
      <c r="J991" s="250"/>
      <c r="K991" s="250"/>
      <c r="L991" s="250"/>
      <c r="M991" s="250"/>
      <c r="N991" s="250"/>
      <c r="O991" s="250"/>
      <c r="P991" s="250"/>
      <c r="Q991" s="250"/>
    </row>
    <row r="992" spans="1:17" ht="24">
      <c r="A992" s="250"/>
      <c r="B992" s="250"/>
      <c r="C992" s="250"/>
      <c r="D992" s="250"/>
      <c r="E992" s="250"/>
      <c r="F992" s="250"/>
      <c r="G992" s="250"/>
      <c r="H992" s="250"/>
      <c r="I992" s="250"/>
      <c r="J992" s="250"/>
      <c r="K992" s="250"/>
      <c r="L992" s="250"/>
      <c r="M992" s="250"/>
      <c r="N992" s="250"/>
      <c r="O992" s="250"/>
      <c r="P992" s="250"/>
      <c r="Q992" s="250"/>
    </row>
    <row r="993" spans="1:17" ht="24">
      <c r="A993" s="250"/>
      <c r="B993" s="250"/>
      <c r="C993" s="250"/>
      <c r="D993" s="250"/>
      <c r="E993" s="250"/>
      <c r="F993" s="250"/>
      <c r="G993" s="250"/>
      <c r="H993" s="250"/>
      <c r="I993" s="250"/>
      <c r="J993" s="250"/>
      <c r="K993" s="250"/>
      <c r="L993" s="250"/>
      <c r="M993" s="250"/>
      <c r="N993" s="250"/>
      <c r="O993" s="250"/>
      <c r="P993" s="250"/>
      <c r="Q993" s="250"/>
    </row>
    <row r="994" spans="1:17" ht="24">
      <c r="A994" s="250"/>
      <c r="B994" s="250"/>
      <c r="C994" s="250"/>
      <c r="D994" s="250"/>
      <c r="E994" s="250"/>
      <c r="F994" s="250"/>
      <c r="G994" s="250"/>
      <c r="H994" s="250"/>
      <c r="I994" s="250"/>
      <c r="J994" s="250"/>
      <c r="K994" s="250"/>
      <c r="L994" s="250"/>
      <c r="M994" s="250"/>
      <c r="N994" s="250"/>
      <c r="O994" s="250"/>
      <c r="P994" s="250"/>
      <c r="Q994" s="250"/>
    </row>
    <row r="995" spans="1:17" ht="24">
      <c r="A995" s="250"/>
      <c r="B995" s="250"/>
      <c r="C995" s="250"/>
      <c r="D995" s="250"/>
      <c r="E995" s="250"/>
      <c r="F995" s="250"/>
      <c r="G995" s="250"/>
      <c r="H995" s="250"/>
      <c r="I995" s="250"/>
      <c r="J995" s="250"/>
      <c r="K995" s="250"/>
      <c r="L995" s="250"/>
      <c r="M995" s="250"/>
      <c r="N995" s="250"/>
      <c r="O995" s="250"/>
      <c r="P995" s="250"/>
      <c r="Q995" s="250"/>
    </row>
    <row r="996" spans="1:17" ht="24">
      <c r="A996" s="250"/>
      <c r="B996" s="250"/>
      <c r="C996" s="250"/>
      <c r="D996" s="250"/>
      <c r="E996" s="250"/>
      <c r="F996" s="250"/>
      <c r="G996" s="250"/>
      <c r="H996" s="250"/>
      <c r="I996" s="250"/>
      <c r="J996" s="250"/>
      <c r="K996" s="250"/>
      <c r="L996" s="250"/>
      <c r="M996" s="250"/>
      <c r="N996" s="250"/>
      <c r="O996" s="250"/>
      <c r="P996" s="250"/>
      <c r="Q996" s="250"/>
    </row>
    <row r="997" spans="1:17" ht="24">
      <c r="A997" s="250"/>
      <c r="B997" s="250"/>
      <c r="C997" s="250"/>
      <c r="D997" s="250"/>
      <c r="E997" s="250"/>
      <c r="F997" s="250"/>
      <c r="G997" s="250"/>
      <c r="H997" s="250"/>
      <c r="I997" s="250"/>
      <c r="J997" s="250"/>
      <c r="K997" s="250"/>
      <c r="L997" s="250"/>
      <c r="M997" s="250"/>
      <c r="N997" s="250"/>
      <c r="O997" s="250"/>
      <c r="P997" s="250"/>
      <c r="Q997" s="250"/>
    </row>
    <row r="998" spans="1:17" ht="24">
      <c r="A998" s="250"/>
      <c r="B998" s="250"/>
      <c r="C998" s="250"/>
      <c r="D998" s="250"/>
      <c r="E998" s="250"/>
      <c r="F998" s="250"/>
      <c r="G998" s="250"/>
      <c r="H998" s="250"/>
      <c r="I998" s="250"/>
      <c r="J998" s="250"/>
      <c r="K998" s="250"/>
      <c r="L998" s="250"/>
      <c r="M998" s="250"/>
      <c r="N998" s="250"/>
      <c r="O998" s="250"/>
      <c r="P998" s="250"/>
      <c r="Q998" s="250"/>
    </row>
    <row r="999" spans="1:17" ht="24">
      <c r="A999" s="250"/>
      <c r="B999" s="250"/>
      <c r="C999" s="250"/>
      <c r="D999" s="250"/>
      <c r="E999" s="250"/>
      <c r="F999" s="250"/>
      <c r="G999" s="250"/>
      <c r="H999" s="250"/>
      <c r="I999" s="250"/>
      <c r="J999" s="250"/>
      <c r="K999" s="250"/>
      <c r="L999" s="250"/>
      <c r="M999" s="250"/>
      <c r="N999" s="250"/>
      <c r="O999" s="250"/>
      <c r="P999" s="250"/>
      <c r="Q999" s="250"/>
    </row>
    <row r="1000" spans="1:17" ht="24">
      <c r="A1000" s="250"/>
      <c r="B1000" s="250"/>
      <c r="C1000" s="250"/>
      <c r="D1000" s="250"/>
      <c r="E1000" s="250"/>
      <c r="F1000" s="250"/>
      <c r="G1000" s="250"/>
      <c r="H1000" s="250"/>
      <c r="I1000" s="250"/>
      <c r="J1000" s="250"/>
      <c r="K1000" s="250"/>
      <c r="L1000" s="250"/>
      <c r="M1000" s="250"/>
      <c r="N1000" s="250"/>
      <c r="O1000" s="250"/>
      <c r="P1000" s="250"/>
      <c r="Q1000" s="250"/>
    </row>
    <row r="1001" spans="1:17" ht="24">
      <c r="A1001" s="250"/>
      <c r="B1001" s="250"/>
      <c r="C1001" s="250"/>
      <c r="D1001" s="250"/>
      <c r="E1001" s="250"/>
      <c r="F1001" s="250"/>
      <c r="G1001" s="250"/>
      <c r="H1001" s="250"/>
      <c r="I1001" s="250"/>
      <c r="J1001" s="250"/>
      <c r="K1001" s="250"/>
      <c r="L1001" s="250"/>
      <c r="M1001" s="250"/>
      <c r="N1001" s="250"/>
      <c r="O1001" s="250"/>
      <c r="P1001" s="250"/>
      <c r="Q1001" s="250"/>
    </row>
    <row r="1002" spans="1:17" ht="24">
      <c r="A1002" s="250"/>
      <c r="B1002" s="250"/>
      <c r="C1002" s="250"/>
      <c r="D1002" s="250"/>
      <c r="E1002" s="250"/>
      <c r="F1002" s="250"/>
      <c r="G1002" s="250"/>
      <c r="H1002" s="250"/>
      <c r="I1002" s="250"/>
      <c r="J1002" s="250"/>
      <c r="K1002" s="250"/>
      <c r="L1002" s="250"/>
      <c r="M1002" s="250"/>
      <c r="N1002" s="250"/>
      <c r="O1002" s="250"/>
      <c r="P1002" s="250"/>
      <c r="Q1002" s="250"/>
    </row>
    <row r="1003" spans="1:17" ht="24">
      <c r="A1003" s="250"/>
      <c r="B1003" s="250"/>
      <c r="C1003" s="250"/>
      <c r="D1003" s="250"/>
      <c r="E1003" s="250"/>
      <c r="F1003" s="250"/>
      <c r="G1003" s="250"/>
      <c r="H1003" s="250"/>
      <c r="I1003" s="250"/>
      <c r="J1003" s="250"/>
      <c r="K1003" s="250"/>
      <c r="L1003" s="250"/>
      <c r="M1003" s="250"/>
      <c r="N1003" s="250"/>
      <c r="O1003" s="250"/>
      <c r="P1003" s="250"/>
      <c r="Q1003" s="250"/>
    </row>
    <row r="1004" spans="1:17" ht="24">
      <c r="A1004" s="250"/>
      <c r="B1004" s="250"/>
      <c r="C1004" s="250"/>
      <c r="D1004" s="250"/>
      <c r="E1004" s="250"/>
      <c r="F1004" s="250"/>
      <c r="G1004" s="250"/>
      <c r="H1004" s="250"/>
      <c r="I1004" s="250"/>
      <c r="J1004" s="250"/>
      <c r="K1004" s="250"/>
      <c r="L1004" s="250"/>
      <c r="M1004" s="250"/>
      <c r="N1004" s="250"/>
      <c r="O1004" s="250"/>
      <c r="P1004" s="250"/>
      <c r="Q1004" s="250"/>
    </row>
    <row r="1005" spans="1:17" ht="24">
      <c r="A1005" s="250"/>
      <c r="B1005" s="250"/>
      <c r="C1005" s="250"/>
      <c r="D1005" s="250"/>
      <c r="E1005" s="250"/>
      <c r="F1005" s="250"/>
      <c r="G1005" s="250"/>
      <c r="H1005" s="250"/>
      <c r="I1005" s="250"/>
      <c r="J1005" s="250"/>
      <c r="K1005" s="250"/>
      <c r="L1005" s="250"/>
      <c r="M1005" s="250"/>
      <c r="N1005" s="250"/>
      <c r="O1005" s="250"/>
      <c r="P1005" s="250"/>
      <c r="Q1005" s="250"/>
    </row>
    <row r="1006" spans="1:17" ht="24">
      <c r="A1006" s="250"/>
      <c r="B1006" s="250"/>
      <c r="C1006" s="250"/>
      <c r="D1006" s="250"/>
      <c r="E1006" s="250"/>
      <c r="F1006" s="250"/>
      <c r="G1006" s="250"/>
      <c r="H1006" s="250"/>
      <c r="I1006" s="250"/>
      <c r="J1006" s="250"/>
      <c r="K1006" s="250"/>
      <c r="L1006" s="250"/>
      <c r="M1006" s="250"/>
      <c r="N1006" s="250"/>
      <c r="O1006" s="250"/>
      <c r="P1006" s="250"/>
      <c r="Q1006" s="250"/>
    </row>
    <row r="1007" spans="1:17" ht="24">
      <c r="A1007" s="250"/>
      <c r="B1007" s="250"/>
      <c r="C1007" s="250"/>
      <c r="D1007" s="250"/>
      <c r="E1007" s="250"/>
      <c r="F1007" s="250"/>
      <c r="G1007" s="250"/>
      <c r="H1007" s="250"/>
      <c r="I1007" s="250"/>
      <c r="J1007" s="250"/>
      <c r="K1007" s="250"/>
      <c r="L1007" s="250"/>
      <c r="M1007" s="250"/>
      <c r="N1007" s="250"/>
      <c r="O1007" s="250"/>
      <c r="P1007" s="250"/>
      <c r="Q1007" s="250"/>
    </row>
    <row r="1008" spans="1:17" ht="24">
      <c r="A1008" s="250"/>
      <c r="B1008" s="250"/>
      <c r="C1008" s="250"/>
      <c r="D1008" s="250"/>
      <c r="E1008" s="250"/>
      <c r="F1008" s="250"/>
      <c r="G1008" s="250"/>
      <c r="H1008" s="250"/>
      <c r="I1008" s="250"/>
      <c r="J1008" s="250"/>
      <c r="K1008" s="250"/>
      <c r="L1008" s="250"/>
      <c r="M1008" s="250"/>
      <c r="N1008" s="250"/>
      <c r="O1008" s="250"/>
      <c r="P1008" s="250"/>
      <c r="Q1008" s="250"/>
    </row>
    <row r="1009" spans="1:17" ht="24">
      <c r="A1009" s="250"/>
      <c r="B1009" s="250"/>
      <c r="C1009" s="250"/>
      <c r="D1009" s="250"/>
      <c r="E1009" s="250"/>
      <c r="F1009" s="250"/>
      <c r="G1009" s="250"/>
      <c r="H1009" s="250"/>
      <c r="I1009" s="250"/>
      <c r="J1009" s="250"/>
      <c r="K1009" s="250"/>
      <c r="L1009" s="250"/>
      <c r="M1009" s="250"/>
      <c r="N1009" s="250"/>
      <c r="O1009" s="250"/>
      <c r="P1009" s="250"/>
      <c r="Q1009" s="250"/>
    </row>
  </sheetData>
  <mergeCells count="17">
    <mergeCell ref="A1:G1"/>
    <mergeCell ref="A4:A5"/>
    <mergeCell ref="B4:B5"/>
    <mergeCell ref="A6:A7"/>
    <mergeCell ref="B6:B7"/>
    <mergeCell ref="A8:A10"/>
    <mergeCell ref="B8:B10"/>
    <mergeCell ref="A18:A19"/>
    <mergeCell ref="A20:A22"/>
    <mergeCell ref="B20:B22"/>
    <mergeCell ref="A11:A12"/>
    <mergeCell ref="B11:B12"/>
    <mergeCell ref="A13:A14"/>
    <mergeCell ref="B13:B14"/>
    <mergeCell ref="A15:A17"/>
    <mergeCell ref="B15:B17"/>
    <mergeCell ref="B18:B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993"/>
  <sheetViews>
    <sheetView workbookViewId="0"/>
  </sheetViews>
  <sheetFormatPr baseColWidth="10" defaultColWidth="14.3984375" defaultRowHeight="15" customHeight="1"/>
  <cols>
    <col min="1" max="2" width="11.19921875" customWidth="1"/>
    <col min="3" max="3" width="15.59765625" customWidth="1"/>
    <col min="4" max="4" width="43.59765625" customWidth="1"/>
    <col min="5" max="5" width="14.59765625" customWidth="1"/>
    <col min="6" max="6" width="14.19921875" customWidth="1"/>
  </cols>
  <sheetData>
    <row r="1" spans="1:6">
      <c r="A1" s="262"/>
      <c r="B1" s="263" t="s">
        <v>224</v>
      </c>
      <c r="C1" s="263"/>
      <c r="D1" s="263"/>
      <c r="E1" s="263"/>
      <c r="F1" s="263"/>
    </row>
    <row r="2" spans="1:6">
      <c r="A2" s="262"/>
      <c r="B2" s="264" t="s">
        <v>225</v>
      </c>
      <c r="C2" s="265" t="s">
        <v>226</v>
      </c>
      <c r="D2" s="265" t="s">
        <v>227</v>
      </c>
      <c r="E2" s="265" t="s">
        <v>228</v>
      </c>
      <c r="F2" s="264" t="s">
        <v>229</v>
      </c>
    </row>
    <row r="3" spans="1:6">
      <c r="A3" s="262"/>
      <c r="B3" s="497" t="s">
        <v>230</v>
      </c>
      <c r="C3" s="421"/>
      <c r="D3" s="421"/>
      <c r="E3" s="421"/>
      <c r="F3" s="421"/>
    </row>
    <row r="4" spans="1:6">
      <c r="A4" s="262"/>
      <c r="B4" s="262" t="s">
        <v>74</v>
      </c>
      <c r="C4" s="99" t="s">
        <v>231</v>
      </c>
      <c r="D4" s="99" t="s">
        <v>232</v>
      </c>
      <c r="E4" s="99">
        <v>3</v>
      </c>
      <c r="F4" s="262" t="s">
        <v>233</v>
      </c>
    </row>
    <row r="5" spans="1:6">
      <c r="A5" s="262"/>
      <c r="B5" s="262" t="s">
        <v>234</v>
      </c>
      <c r="C5" s="99" t="s">
        <v>235</v>
      </c>
      <c r="D5" s="99" t="s">
        <v>236</v>
      </c>
      <c r="E5" s="99">
        <v>3</v>
      </c>
      <c r="F5" s="262" t="s">
        <v>233</v>
      </c>
    </row>
    <row r="6" spans="1:6">
      <c r="A6" s="262"/>
      <c r="B6" s="262" t="s">
        <v>93</v>
      </c>
      <c r="C6" s="99" t="s">
        <v>237</v>
      </c>
      <c r="D6" s="99" t="s">
        <v>238</v>
      </c>
      <c r="E6" s="99">
        <v>3</v>
      </c>
      <c r="F6" s="262" t="s">
        <v>233</v>
      </c>
    </row>
    <row r="7" spans="1:6">
      <c r="A7" s="262"/>
      <c r="B7" s="262" t="s">
        <v>239</v>
      </c>
      <c r="C7" s="99" t="s">
        <v>240</v>
      </c>
      <c r="D7" s="99" t="s">
        <v>241</v>
      </c>
      <c r="E7" s="99">
        <v>3</v>
      </c>
      <c r="F7" s="262" t="s">
        <v>233</v>
      </c>
    </row>
    <row r="8" spans="1:6">
      <c r="A8" s="262"/>
      <c r="B8" s="262" t="s">
        <v>242</v>
      </c>
      <c r="C8" s="99"/>
      <c r="D8" s="99" t="s">
        <v>243</v>
      </c>
      <c r="E8" s="99">
        <v>3</v>
      </c>
      <c r="F8" s="262"/>
    </row>
    <row r="9" spans="1:6">
      <c r="A9" s="262"/>
      <c r="B9" s="498" t="s">
        <v>244</v>
      </c>
      <c r="C9" s="421"/>
      <c r="D9" s="421"/>
      <c r="E9" s="421"/>
      <c r="F9" s="421"/>
    </row>
    <row r="10" spans="1:6">
      <c r="A10" s="262"/>
      <c r="B10" s="262" t="s">
        <v>71</v>
      </c>
      <c r="C10" s="99" t="s">
        <v>245</v>
      </c>
      <c r="D10" s="99" t="s">
        <v>246</v>
      </c>
      <c r="E10" s="99">
        <v>3</v>
      </c>
      <c r="F10" s="262" t="s">
        <v>233</v>
      </c>
    </row>
    <row r="11" spans="1:6">
      <c r="A11" s="262"/>
      <c r="B11" s="262" t="s">
        <v>247</v>
      </c>
      <c r="D11" s="99" t="s">
        <v>248</v>
      </c>
      <c r="E11" s="99">
        <v>3</v>
      </c>
      <c r="F11" s="262"/>
    </row>
    <row r="12" spans="1:6">
      <c r="A12" s="262"/>
      <c r="B12" s="262" t="s">
        <v>249</v>
      </c>
      <c r="D12" s="99" t="s">
        <v>250</v>
      </c>
      <c r="E12" s="99">
        <v>3</v>
      </c>
      <c r="F12" s="262"/>
    </row>
    <row r="13" spans="1:6">
      <c r="A13" s="262"/>
      <c r="B13" s="262" t="s">
        <v>251</v>
      </c>
      <c r="D13" s="99" t="s">
        <v>252</v>
      </c>
      <c r="E13" s="99">
        <v>3</v>
      </c>
      <c r="F13" s="262"/>
    </row>
    <row r="14" spans="1:6">
      <c r="A14" s="262"/>
      <c r="B14" s="262" t="s">
        <v>253</v>
      </c>
      <c r="D14" s="99" t="s">
        <v>254</v>
      </c>
      <c r="E14" s="99">
        <v>3</v>
      </c>
      <c r="F14" s="262"/>
    </row>
    <row r="15" spans="1:6">
      <c r="A15" s="262"/>
      <c r="B15" s="499" t="s">
        <v>255</v>
      </c>
      <c r="C15" s="421"/>
      <c r="D15" s="421"/>
      <c r="E15" s="421"/>
      <c r="F15" s="421"/>
    </row>
    <row r="16" spans="1:6">
      <c r="A16" s="262"/>
      <c r="B16" s="262" t="s">
        <v>72</v>
      </c>
      <c r="D16" s="99" t="s">
        <v>256</v>
      </c>
      <c r="E16" s="99">
        <v>3</v>
      </c>
      <c r="F16" s="262"/>
    </row>
    <row r="17" spans="1:6">
      <c r="A17" s="262"/>
      <c r="B17" s="500" t="s">
        <v>257</v>
      </c>
      <c r="C17" s="421"/>
      <c r="D17" s="421"/>
      <c r="E17" s="421"/>
      <c r="F17" s="421"/>
    </row>
    <row r="18" spans="1:6">
      <c r="A18" s="262"/>
      <c r="B18" s="262" t="s">
        <v>258</v>
      </c>
      <c r="D18" s="99" t="s">
        <v>259</v>
      </c>
      <c r="E18" s="99">
        <v>3</v>
      </c>
      <c r="F18" s="262"/>
    </row>
    <row r="19" spans="1:6">
      <c r="A19" s="262"/>
      <c r="B19" s="262" t="s">
        <v>260</v>
      </c>
      <c r="D19" s="99" t="s">
        <v>261</v>
      </c>
      <c r="E19" s="99">
        <v>3</v>
      </c>
      <c r="F19" s="262"/>
    </row>
    <row r="20" spans="1:6">
      <c r="A20" s="262"/>
      <c r="B20" s="262" t="s">
        <v>262</v>
      </c>
      <c r="D20" s="99" t="s">
        <v>263</v>
      </c>
      <c r="E20" s="99">
        <v>3</v>
      </c>
      <c r="F20" s="262"/>
    </row>
    <row r="21" spans="1:6">
      <c r="A21" s="262"/>
      <c r="B21" s="262" t="s">
        <v>264</v>
      </c>
      <c r="D21" s="99" t="s">
        <v>265</v>
      </c>
      <c r="E21" s="99">
        <v>3</v>
      </c>
      <c r="F21" s="262"/>
    </row>
    <row r="22" spans="1:6">
      <c r="A22" s="262"/>
      <c r="B22" s="262" t="s">
        <v>266</v>
      </c>
      <c r="D22" s="99" t="s">
        <v>267</v>
      </c>
      <c r="E22" s="99">
        <v>3</v>
      </c>
      <c r="F22" s="262"/>
    </row>
    <row r="23" spans="1:6">
      <c r="A23" s="262"/>
      <c r="B23" s="262" t="s">
        <v>268</v>
      </c>
      <c r="D23" s="99" t="s">
        <v>269</v>
      </c>
      <c r="E23" s="99">
        <v>3</v>
      </c>
      <c r="F23" s="262"/>
    </row>
    <row r="24" spans="1:6">
      <c r="A24" s="262"/>
      <c r="B24" s="262" t="s">
        <v>73</v>
      </c>
      <c r="D24" s="99" t="s">
        <v>270</v>
      </c>
      <c r="E24" s="99">
        <v>3</v>
      </c>
      <c r="F24" s="262"/>
    </row>
    <row r="25" spans="1:6">
      <c r="A25" s="262"/>
      <c r="B25" s="496" t="s">
        <v>271</v>
      </c>
      <c r="C25" s="421"/>
      <c r="D25" s="421"/>
      <c r="E25" s="421"/>
      <c r="F25" s="421"/>
    </row>
    <row r="26" spans="1:6">
      <c r="A26" s="262"/>
      <c r="B26" s="496" t="s">
        <v>272</v>
      </c>
      <c r="C26" s="421"/>
      <c r="D26" s="421"/>
      <c r="E26" s="421"/>
      <c r="F26" s="421"/>
    </row>
    <row r="27" spans="1:6">
      <c r="A27" s="262"/>
      <c r="B27" s="262" t="s">
        <v>273</v>
      </c>
      <c r="D27" s="99" t="s">
        <v>274</v>
      </c>
      <c r="E27" s="99">
        <v>2</v>
      </c>
      <c r="F27" s="262" t="s">
        <v>275</v>
      </c>
    </row>
    <row r="28" spans="1:6">
      <c r="A28" s="262"/>
      <c r="B28" s="262" t="s">
        <v>276</v>
      </c>
      <c r="D28" s="99" t="s">
        <v>277</v>
      </c>
      <c r="E28" s="99">
        <v>2</v>
      </c>
      <c r="F28" s="262" t="s">
        <v>275</v>
      </c>
    </row>
    <row r="29" spans="1:6">
      <c r="A29" s="262"/>
      <c r="B29" s="262" t="s">
        <v>94</v>
      </c>
      <c r="D29" s="99" t="s">
        <v>278</v>
      </c>
      <c r="E29" s="99">
        <v>2</v>
      </c>
      <c r="F29" s="262" t="s">
        <v>279</v>
      </c>
    </row>
    <row r="30" spans="1:6">
      <c r="A30" s="262"/>
      <c r="B30" s="262" t="s">
        <v>280</v>
      </c>
      <c r="D30" s="99" t="s">
        <v>281</v>
      </c>
      <c r="E30" s="99">
        <v>2</v>
      </c>
      <c r="F30" s="262" t="s">
        <v>275</v>
      </c>
    </row>
    <row r="31" spans="1:6">
      <c r="A31" s="262"/>
      <c r="B31" s="262" t="s">
        <v>68</v>
      </c>
      <c r="D31" s="99" t="s">
        <v>282</v>
      </c>
      <c r="E31" s="99">
        <v>3</v>
      </c>
      <c r="F31" s="262" t="s">
        <v>283</v>
      </c>
    </row>
    <row r="32" spans="1:6">
      <c r="A32" s="262"/>
      <c r="B32" s="262" t="s">
        <v>284</v>
      </c>
      <c r="D32" s="99" t="s">
        <v>285</v>
      </c>
      <c r="E32" s="99">
        <v>3</v>
      </c>
      <c r="F32" s="262" t="s">
        <v>283</v>
      </c>
    </row>
    <row r="33" spans="1:6">
      <c r="A33" s="262"/>
      <c r="B33" s="266" t="s">
        <v>286</v>
      </c>
      <c r="C33" s="266"/>
      <c r="D33" s="266"/>
      <c r="E33" s="266"/>
      <c r="F33" s="266"/>
    </row>
    <row r="34" spans="1:6">
      <c r="A34" s="262"/>
      <c r="B34" s="266" t="s">
        <v>287</v>
      </c>
      <c r="C34" s="266"/>
      <c r="D34" s="266"/>
      <c r="E34" s="266"/>
      <c r="F34" s="266"/>
    </row>
    <row r="35" spans="1:6">
      <c r="A35" s="262"/>
      <c r="B35" s="262" t="s">
        <v>64</v>
      </c>
      <c r="D35" s="99" t="s">
        <v>288</v>
      </c>
      <c r="E35" s="99">
        <v>3</v>
      </c>
      <c r="F35" s="262" t="s">
        <v>233</v>
      </c>
    </row>
    <row r="36" spans="1:6">
      <c r="A36" s="262"/>
      <c r="B36" s="262" t="s">
        <v>95</v>
      </c>
      <c r="D36" s="99" t="s">
        <v>289</v>
      </c>
      <c r="E36" s="99">
        <v>3</v>
      </c>
      <c r="F36" s="262"/>
    </row>
    <row r="37" spans="1:6">
      <c r="A37" s="262"/>
      <c r="B37" s="262" t="s">
        <v>290</v>
      </c>
      <c r="D37" s="99" t="s">
        <v>291</v>
      </c>
      <c r="E37" s="99">
        <v>3</v>
      </c>
      <c r="F37" s="262"/>
    </row>
    <row r="38" spans="1:6">
      <c r="A38" s="262"/>
      <c r="B38" s="262" t="s">
        <v>97</v>
      </c>
      <c r="D38" s="99" t="s">
        <v>292</v>
      </c>
      <c r="E38" s="99">
        <v>3</v>
      </c>
      <c r="F38" s="262"/>
    </row>
    <row r="39" spans="1:6">
      <c r="A39" s="262"/>
      <c r="B39" s="262" t="s">
        <v>293</v>
      </c>
      <c r="D39" s="99" t="s">
        <v>294</v>
      </c>
      <c r="E39" s="99">
        <v>3</v>
      </c>
      <c r="F39" s="262"/>
    </row>
    <row r="40" spans="1:6">
      <c r="A40" s="262"/>
      <c r="B40" s="262" t="s">
        <v>101</v>
      </c>
      <c r="D40" s="99" t="s">
        <v>295</v>
      </c>
      <c r="E40" s="99">
        <v>3</v>
      </c>
      <c r="F40" s="262"/>
    </row>
    <row r="41" spans="1:6">
      <c r="A41" s="262"/>
      <c r="B41" s="262" t="s">
        <v>104</v>
      </c>
      <c r="D41" s="99" t="s">
        <v>296</v>
      </c>
      <c r="E41" s="99">
        <v>3</v>
      </c>
      <c r="F41" s="262"/>
    </row>
    <row r="42" spans="1:6">
      <c r="A42" s="262"/>
      <c r="B42" s="262" t="s">
        <v>297</v>
      </c>
      <c r="D42" s="99" t="s">
        <v>129</v>
      </c>
      <c r="E42" s="99">
        <v>3</v>
      </c>
      <c r="F42" s="262"/>
    </row>
    <row r="43" spans="1:6">
      <c r="A43" s="262"/>
      <c r="B43" s="262" t="s">
        <v>298</v>
      </c>
      <c r="D43" s="99" t="s">
        <v>299</v>
      </c>
      <c r="E43" s="99">
        <v>3</v>
      </c>
      <c r="F43" s="262"/>
    </row>
    <row r="44" spans="1:6">
      <c r="A44" s="262"/>
      <c r="B44" s="262" t="s">
        <v>300</v>
      </c>
      <c r="D44" s="99" t="s">
        <v>134</v>
      </c>
      <c r="E44" s="99">
        <v>3</v>
      </c>
      <c r="F44" s="262"/>
    </row>
    <row r="45" spans="1:6">
      <c r="A45" s="262"/>
      <c r="B45" s="262" t="s">
        <v>301</v>
      </c>
      <c r="D45" s="99" t="s">
        <v>136</v>
      </c>
      <c r="E45" s="99">
        <v>3</v>
      </c>
      <c r="F45" s="262"/>
    </row>
    <row r="46" spans="1:6">
      <c r="A46" s="262"/>
      <c r="B46" s="262" t="s">
        <v>302</v>
      </c>
      <c r="D46" s="99" t="s">
        <v>303</v>
      </c>
      <c r="E46" s="99">
        <v>3</v>
      </c>
      <c r="F46" s="262"/>
    </row>
    <row r="47" spans="1:6">
      <c r="A47" s="262"/>
      <c r="B47" s="262" t="s">
        <v>304</v>
      </c>
      <c r="D47" s="99" t="s">
        <v>305</v>
      </c>
      <c r="E47" s="99">
        <v>3</v>
      </c>
      <c r="F47" s="262"/>
    </row>
    <row r="48" spans="1:6">
      <c r="A48" s="262"/>
      <c r="B48" s="262" t="s">
        <v>306</v>
      </c>
      <c r="D48" s="99" t="s">
        <v>307</v>
      </c>
      <c r="E48" s="99">
        <v>3</v>
      </c>
      <c r="F48" s="262"/>
    </row>
    <row r="49" spans="1:6">
      <c r="A49" s="262"/>
      <c r="B49" s="262" t="s">
        <v>308</v>
      </c>
      <c r="D49" s="99" t="s">
        <v>309</v>
      </c>
      <c r="E49" s="99">
        <v>3</v>
      </c>
      <c r="F49" s="262"/>
    </row>
    <row r="50" spans="1:6">
      <c r="A50" s="262"/>
      <c r="B50" s="496" t="s">
        <v>310</v>
      </c>
      <c r="C50" s="421"/>
      <c r="D50" s="421"/>
      <c r="E50" s="421"/>
      <c r="F50" s="421"/>
    </row>
    <row r="51" spans="1:6">
      <c r="A51" s="262"/>
      <c r="B51" s="262" t="s">
        <v>311</v>
      </c>
      <c r="D51" s="99" t="s">
        <v>312</v>
      </c>
      <c r="E51" s="99">
        <v>3</v>
      </c>
      <c r="F51" s="262"/>
    </row>
    <row r="52" spans="1:6">
      <c r="A52" s="262"/>
      <c r="B52" s="262" t="s">
        <v>313</v>
      </c>
      <c r="D52" s="99" t="s">
        <v>314</v>
      </c>
      <c r="E52" s="99">
        <v>3</v>
      </c>
      <c r="F52" s="262"/>
    </row>
    <row r="53" spans="1:6">
      <c r="A53" s="262"/>
      <c r="B53" s="262" t="s">
        <v>315</v>
      </c>
      <c r="D53" s="99" t="s">
        <v>316</v>
      </c>
      <c r="E53" s="99">
        <v>3</v>
      </c>
      <c r="F53" s="262"/>
    </row>
    <row r="54" spans="1:6">
      <c r="A54" s="262"/>
      <c r="B54" s="262" t="s">
        <v>317</v>
      </c>
      <c r="D54" s="99" t="s">
        <v>318</v>
      </c>
      <c r="E54" s="99">
        <v>3</v>
      </c>
      <c r="F54" s="262"/>
    </row>
    <row r="55" spans="1:6">
      <c r="A55" s="262"/>
      <c r="B55" s="262" t="s">
        <v>319</v>
      </c>
      <c r="D55" s="99" t="s">
        <v>320</v>
      </c>
      <c r="E55" s="99">
        <v>3</v>
      </c>
      <c r="F55" s="262"/>
    </row>
    <row r="56" spans="1:6">
      <c r="A56" s="262"/>
      <c r="B56" s="262" t="s">
        <v>321</v>
      </c>
      <c r="D56" s="99" t="s">
        <v>322</v>
      </c>
      <c r="E56" s="99">
        <v>3</v>
      </c>
      <c r="F56" s="262"/>
    </row>
    <row r="57" spans="1:6">
      <c r="A57" s="262"/>
      <c r="B57" s="262" t="s">
        <v>108</v>
      </c>
      <c r="D57" s="99" t="s">
        <v>323</v>
      </c>
      <c r="E57" s="99">
        <v>3</v>
      </c>
      <c r="F57" s="262"/>
    </row>
    <row r="58" spans="1:6">
      <c r="A58" s="262"/>
      <c r="B58" s="262" t="s">
        <v>324</v>
      </c>
      <c r="D58" s="99" t="s">
        <v>325</v>
      </c>
      <c r="E58" s="99">
        <v>3</v>
      </c>
      <c r="F58" s="262"/>
    </row>
    <row r="59" spans="1:6">
      <c r="A59" s="262"/>
      <c r="B59" s="262" t="s">
        <v>326</v>
      </c>
      <c r="D59" s="99" t="s">
        <v>327</v>
      </c>
      <c r="E59" s="99">
        <v>3</v>
      </c>
      <c r="F59" s="262" t="s">
        <v>283</v>
      </c>
    </row>
    <row r="60" spans="1:6">
      <c r="A60" s="262"/>
      <c r="B60" s="262" t="s">
        <v>328</v>
      </c>
      <c r="D60" s="99" t="s">
        <v>329</v>
      </c>
      <c r="E60" s="99">
        <v>3</v>
      </c>
      <c r="F60" s="262" t="s">
        <v>233</v>
      </c>
    </row>
    <row r="61" spans="1:6">
      <c r="A61" s="262"/>
      <c r="B61" s="262" t="s">
        <v>330</v>
      </c>
      <c r="D61" s="99" t="s">
        <v>331</v>
      </c>
      <c r="E61" s="99">
        <v>3</v>
      </c>
      <c r="F61" s="262" t="s">
        <v>283</v>
      </c>
    </row>
    <row r="62" spans="1:6">
      <c r="A62" s="262"/>
      <c r="B62" s="262" t="s">
        <v>332</v>
      </c>
      <c r="D62" s="99" t="s">
        <v>333</v>
      </c>
      <c r="E62" s="99">
        <v>3</v>
      </c>
      <c r="F62" s="262" t="s">
        <v>283</v>
      </c>
    </row>
    <row r="63" spans="1:6">
      <c r="A63" s="262"/>
      <c r="B63" s="262" t="s">
        <v>334</v>
      </c>
      <c r="D63" s="99" t="s">
        <v>335</v>
      </c>
      <c r="E63" s="99">
        <v>3</v>
      </c>
      <c r="F63" s="262"/>
    </row>
    <row r="64" spans="1:6">
      <c r="A64" s="262"/>
      <c r="B64" s="262" t="s">
        <v>336</v>
      </c>
      <c r="D64" s="99" t="s">
        <v>337</v>
      </c>
      <c r="E64" s="99">
        <v>3</v>
      </c>
      <c r="F64" s="262"/>
    </row>
    <row r="65" spans="1:6">
      <c r="A65" s="262"/>
      <c r="B65" s="262" t="s">
        <v>338</v>
      </c>
      <c r="D65" s="99" t="s">
        <v>339</v>
      </c>
      <c r="E65" s="99">
        <v>3</v>
      </c>
      <c r="F65" s="262"/>
    </row>
    <row r="66" spans="1:6">
      <c r="A66" s="262"/>
      <c r="B66" s="262" t="s">
        <v>340</v>
      </c>
      <c r="D66" s="99" t="s">
        <v>341</v>
      </c>
      <c r="E66" s="99">
        <v>3</v>
      </c>
      <c r="F66" s="262"/>
    </row>
    <row r="67" spans="1:6">
      <c r="A67" s="262"/>
      <c r="B67" s="262" t="s">
        <v>342</v>
      </c>
      <c r="D67" s="99" t="s">
        <v>343</v>
      </c>
      <c r="E67" s="99">
        <v>3</v>
      </c>
      <c r="F67" s="262"/>
    </row>
    <row r="68" spans="1:6">
      <c r="A68" s="262"/>
      <c r="B68" s="262" t="s">
        <v>344</v>
      </c>
      <c r="D68" s="99" t="s">
        <v>345</v>
      </c>
      <c r="E68" s="99">
        <v>3</v>
      </c>
      <c r="F68" s="262"/>
    </row>
    <row r="69" spans="1:6">
      <c r="A69" s="262"/>
      <c r="B69" s="262" t="s">
        <v>346</v>
      </c>
      <c r="D69" s="99" t="s">
        <v>347</v>
      </c>
      <c r="E69" s="99">
        <v>3</v>
      </c>
      <c r="F69" s="262"/>
    </row>
    <row r="70" spans="1:6">
      <c r="A70" s="262"/>
      <c r="B70" s="262" t="s">
        <v>348</v>
      </c>
      <c r="D70" s="99" t="s">
        <v>349</v>
      </c>
      <c r="E70" s="99">
        <v>3</v>
      </c>
      <c r="F70" s="262"/>
    </row>
    <row r="71" spans="1:6">
      <c r="A71" s="262"/>
      <c r="B71" s="262" t="s">
        <v>350</v>
      </c>
      <c r="D71" s="99" t="s">
        <v>351</v>
      </c>
      <c r="E71" s="99">
        <v>3</v>
      </c>
      <c r="F71" s="262"/>
    </row>
    <row r="72" spans="1:6">
      <c r="A72" s="262"/>
      <c r="B72" s="262"/>
      <c r="F72" s="262"/>
    </row>
    <row r="73" spans="1:6">
      <c r="A73" s="262"/>
      <c r="B73" s="262"/>
      <c r="F73" s="262"/>
    </row>
    <row r="74" spans="1:6">
      <c r="A74" s="262"/>
      <c r="B74" s="262"/>
      <c r="F74" s="262"/>
    </row>
    <row r="75" spans="1:6">
      <c r="A75" s="262"/>
      <c r="B75" s="262"/>
      <c r="F75" s="262"/>
    </row>
    <row r="76" spans="1:6">
      <c r="A76" s="262"/>
      <c r="B76" s="262"/>
      <c r="F76" s="262"/>
    </row>
    <row r="77" spans="1:6">
      <c r="A77" s="262"/>
      <c r="B77" s="262"/>
      <c r="F77" s="262"/>
    </row>
    <row r="78" spans="1:6">
      <c r="A78" s="262"/>
      <c r="B78" s="262"/>
      <c r="F78" s="262"/>
    </row>
    <row r="79" spans="1:6">
      <c r="A79" s="262"/>
      <c r="B79" s="262"/>
      <c r="F79" s="262"/>
    </row>
    <row r="80" spans="1:6">
      <c r="A80" s="262"/>
      <c r="B80" s="262"/>
      <c r="F80" s="262"/>
    </row>
    <row r="81" spans="1:6">
      <c r="A81" s="262"/>
      <c r="B81" s="262"/>
      <c r="F81" s="262"/>
    </row>
    <row r="82" spans="1:6">
      <c r="A82" s="262"/>
      <c r="B82" s="262"/>
      <c r="F82" s="262"/>
    </row>
    <row r="83" spans="1:6">
      <c r="A83" s="262"/>
      <c r="B83" s="262"/>
      <c r="F83" s="262"/>
    </row>
    <row r="84" spans="1:6">
      <c r="A84" s="262"/>
      <c r="B84" s="262"/>
      <c r="F84" s="262"/>
    </row>
    <row r="85" spans="1:6">
      <c r="A85" s="262"/>
      <c r="B85" s="262"/>
      <c r="F85" s="262"/>
    </row>
    <row r="86" spans="1:6">
      <c r="A86" s="262"/>
      <c r="B86" s="262"/>
      <c r="F86" s="262"/>
    </row>
    <row r="87" spans="1:6">
      <c r="A87" s="262"/>
      <c r="B87" s="262"/>
      <c r="F87" s="262"/>
    </row>
    <row r="88" spans="1:6">
      <c r="A88" s="262"/>
      <c r="B88" s="262"/>
      <c r="F88" s="262"/>
    </row>
    <row r="89" spans="1:6">
      <c r="A89" s="262"/>
      <c r="B89" s="262"/>
      <c r="F89" s="262"/>
    </row>
    <row r="90" spans="1:6">
      <c r="A90" s="262"/>
      <c r="B90" s="262"/>
      <c r="F90" s="262"/>
    </row>
    <row r="91" spans="1:6">
      <c r="A91" s="262"/>
      <c r="B91" s="262"/>
      <c r="F91" s="262"/>
    </row>
    <row r="92" spans="1:6">
      <c r="A92" s="262"/>
      <c r="B92" s="262"/>
      <c r="F92" s="262"/>
    </row>
    <row r="93" spans="1:6">
      <c r="A93" s="262"/>
      <c r="B93" s="262"/>
      <c r="F93" s="262"/>
    </row>
    <row r="94" spans="1:6">
      <c r="A94" s="262"/>
      <c r="B94" s="262"/>
      <c r="F94" s="262"/>
    </row>
    <row r="95" spans="1:6">
      <c r="A95" s="262"/>
      <c r="B95" s="262"/>
      <c r="F95" s="262"/>
    </row>
    <row r="96" spans="1:6">
      <c r="A96" s="262"/>
      <c r="B96" s="262"/>
      <c r="F96" s="262"/>
    </row>
    <row r="97" spans="1:6">
      <c r="A97" s="262"/>
      <c r="B97" s="262"/>
      <c r="F97" s="262"/>
    </row>
    <row r="98" spans="1:6">
      <c r="A98" s="262"/>
      <c r="B98" s="262"/>
      <c r="F98" s="262"/>
    </row>
    <row r="99" spans="1:6">
      <c r="A99" s="262"/>
      <c r="B99" s="262"/>
      <c r="F99" s="262"/>
    </row>
    <row r="100" spans="1:6">
      <c r="A100" s="262"/>
      <c r="B100" s="262"/>
      <c r="F100" s="262"/>
    </row>
    <row r="101" spans="1:6">
      <c r="A101" s="262"/>
      <c r="B101" s="262"/>
      <c r="F101" s="262"/>
    </row>
    <row r="102" spans="1:6">
      <c r="A102" s="262"/>
      <c r="B102" s="262"/>
      <c r="F102" s="262"/>
    </row>
    <row r="103" spans="1:6">
      <c r="A103" s="262"/>
      <c r="B103" s="262"/>
      <c r="F103" s="262"/>
    </row>
    <row r="104" spans="1:6">
      <c r="A104" s="262"/>
      <c r="B104" s="262"/>
      <c r="F104" s="262"/>
    </row>
    <row r="105" spans="1:6">
      <c r="A105" s="262"/>
      <c r="B105" s="262"/>
      <c r="F105" s="262"/>
    </row>
    <row r="106" spans="1:6">
      <c r="A106" s="262"/>
      <c r="B106" s="262"/>
      <c r="F106" s="262"/>
    </row>
    <row r="107" spans="1:6">
      <c r="A107" s="262"/>
      <c r="B107" s="262"/>
      <c r="F107" s="262"/>
    </row>
    <row r="108" spans="1:6">
      <c r="A108" s="262"/>
      <c r="B108" s="262"/>
      <c r="F108" s="262"/>
    </row>
    <row r="109" spans="1:6">
      <c r="A109" s="262"/>
      <c r="B109" s="262"/>
      <c r="F109" s="262"/>
    </row>
    <row r="110" spans="1:6">
      <c r="A110" s="262"/>
      <c r="B110" s="262"/>
      <c r="F110" s="262"/>
    </row>
    <row r="111" spans="1:6">
      <c r="A111" s="262"/>
      <c r="B111" s="262"/>
      <c r="F111" s="262"/>
    </row>
    <row r="112" spans="1:6">
      <c r="A112" s="262"/>
      <c r="B112" s="262"/>
      <c r="F112" s="262"/>
    </row>
    <row r="113" spans="1:6">
      <c r="A113" s="262"/>
      <c r="B113" s="262"/>
      <c r="F113" s="262"/>
    </row>
    <row r="114" spans="1:6">
      <c r="A114" s="262"/>
      <c r="B114" s="262"/>
      <c r="F114" s="262"/>
    </row>
    <row r="115" spans="1:6">
      <c r="A115" s="262"/>
      <c r="B115" s="262"/>
      <c r="F115" s="262"/>
    </row>
    <row r="116" spans="1:6">
      <c r="A116" s="262"/>
      <c r="B116" s="262"/>
      <c r="F116" s="262"/>
    </row>
    <row r="117" spans="1:6">
      <c r="A117" s="262"/>
      <c r="B117" s="262"/>
      <c r="F117" s="262"/>
    </row>
    <row r="118" spans="1:6">
      <c r="A118" s="262"/>
      <c r="B118" s="262"/>
      <c r="F118" s="262"/>
    </row>
    <row r="119" spans="1:6">
      <c r="A119" s="262"/>
      <c r="B119" s="262"/>
      <c r="F119" s="262"/>
    </row>
    <row r="120" spans="1:6">
      <c r="A120" s="262"/>
      <c r="B120" s="262"/>
      <c r="F120" s="262"/>
    </row>
    <row r="121" spans="1:6">
      <c r="A121" s="262"/>
      <c r="B121" s="262"/>
      <c r="F121" s="262"/>
    </row>
    <row r="122" spans="1:6">
      <c r="A122" s="262"/>
      <c r="B122" s="262"/>
      <c r="F122" s="262"/>
    </row>
    <row r="123" spans="1:6">
      <c r="A123" s="262"/>
      <c r="B123" s="262"/>
      <c r="F123" s="262"/>
    </row>
    <row r="124" spans="1:6">
      <c r="A124" s="262"/>
      <c r="B124" s="262"/>
      <c r="F124" s="262"/>
    </row>
    <row r="125" spans="1:6">
      <c r="A125" s="262"/>
      <c r="B125" s="262"/>
      <c r="F125" s="262"/>
    </row>
    <row r="126" spans="1:6">
      <c r="A126" s="262"/>
      <c r="B126" s="262"/>
      <c r="F126" s="262"/>
    </row>
    <row r="127" spans="1:6">
      <c r="A127" s="262"/>
      <c r="B127" s="262"/>
      <c r="F127" s="262"/>
    </row>
    <row r="128" spans="1:6">
      <c r="A128" s="262"/>
      <c r="B128" s="262"/>
      <c r="F128" s="262"/>
    </row>
    <row r="129" spans="1:6">
      <c r="A129" s="262"/>
      <c r="B129" s="262"/>
      <c r="F129" s="262"/>
    </row>
    <row r="130" spans="1:6">
      <c r="A130" s="262"/>
      <c r="B130" s="262"/>
      <c r="F130" s="262"/>
    </row>
    <row r="131" spans="1:6">
      <c r="A131" s="262"/>
      <c r="B131" s="262"/>
      <c r="F131" s="262"/>
    </row>
    <row r="132" spans="1:6">
      <c r="A132" s="262"/>
      <c r="B132" s="262"/>
      <c r="F132" s="262"/>
    </row>
    <row r="133" spans="1:6">
      <c r="A133" s="262"/>
      <c r="B133" s="262"/>
      <c r="F133" s="262"/>
    </row>
    <row r="134" spans="1:6">
      <c r="A134" s="262"/>
      <c r="B134" s="262"/>
      <c r="F134" s="262"/>
    </row>
    <row r="135" spans="1:6">
      <c r="A135" s="262"/>
      <c r="B135" s="262"/>
      <c r="F135" s="262"/>
    </row>
    <row r="136" spans="1:6">
      <c r="A136" s="262"/>
      <c r="B136" s="262"/>
      <c r="F136" s="262"/>
    </row>
    <row r="137" spans="1:6">
      <c r="A137" s="262"/>
      <c r="B137" s="262"/>
      <c r="F137" s="262"/>
    </row>
    <row r="138" spans="1:6">
      <c r="A138" s="262"/>
      <c r="B138" s="262"/>
      <c r="F138" s="262"/>
    </row>
    <row r="139" spans="1:6">
      <c r="A139" s="262"/>
      <c r="B139" s="262"/>
      <c r="F139" s="262"/>
    </row>
    <row r="140" spans="1:6">
      <c r="A140" s="262"/>
      <c r="B140" s="262"/>
      <c r="F140" s="262"/>
    </row>
    <row r="141" spans="1:6">
      <c r="A141" s="262"/>
      <c r="B141" s="262"/>
      <c r="F141" s="262"/>
    </row>
    <row r="142" spans="1:6">
      <c r="A142" s="262"/>
      <c r="B142" s="262"/>
      <c r="F142" s="262"/>
    </row>
    <row r="143" spans="1:6">
      <c r="A143" s="262"/>
      <c r="B143" s="262"/>
      <c r="F143" s="262"/>
    </row>
    <row r="144" spans="1:6">
      <c r="A144" s="262"/>
      <c r="B144" s="262"/>
      <c r="F144" s="262"/>
    </row>
    <row r="145" spans="1:6">
      <c r="A145" s="262"/>
      <c r="B145" s="262"/>
      <c r="F145" s="262"/>
    </row>
    <row r="146" spans="1:6">
      <c r="A146" s="262"/>
      <c r="B146" s="262"/>
      <c r="F146" s="262"/>
    </row>
    <row r="147" spans="1:6">
      <c r="A147" s="262"/>
      <c r="B147" s="262"/>
      <c r="F147" s="262"/>
    </row>
    <row r="148" spans="1:6">
      <c r="A148" s="262"/>
      <c r="B148" s="262"/>
      <c r="F148" s="262"/>
    </row>
    <row r="149" spans="1:6">
      <c r="A149" s="262"/>
      <c r="B149" s="262"/>
      <c r="F149" s="262"/>
    </row>
    <row r="150" spans="1:6">
      <c r="A150" s="262"/>
      <c r="B150" s="262"/>
      <c r="F150" s="262"/>
    </row>
    <row r="151" spans="1:6">
      <c r="A151" s="262"/>
      <c r="B151" s="262"/>
      <c r="F151" s="262"/>
    </row>
    <row r="152" spans="1:6">
      <c r="A152" s="262"/>
      <c r="B152" s="262"/>
      <c r="F152" s="262"/>
    </row>
    <row r="153" spans="1:6">
      <c r="A153" s="262"/>
      <c r="B153" s="262"/>
      <c r="F153" s="262"/>
    </row>
    <row r="154" spans="1:6">
      <c r="A154" s="262"/>
      <c r="B154" s="262"/>
      <c r="F154" s="262"/>
    </row>
    <row r="155" spans="1:6">
      <c r="A155" s="262"/>
      <c r="B155" s="262"/>
      <c r="F155" s="262"/>
    </row>
    <row r="156" spans="1:6">
      <c r="A156" s="262"/>
      <c r="B156" s="262"/>
      <c r="F156" s="262"/>
    </row>
    <row r="157" spans="1:6">
      <c r="A157" s="262"/>
      <c r="B157" s="262"/>
      <c r="F157" s="262"/>
    </row>
    <row r="158" spans="1:6">
      <c r="A158" s="262"/>
      <c r="B158" s="262"/>
      <c r="F158" s="262"/>
    </row>
    <row r="159" spans="1:6">
      <c r="A159" s="262"/>
      <c r="B159" s="262"/>
      <c r="F159" s="262"/>
    </row>
    <row r="160" spans="1:6">
      <c r="A160" s="262"/>
      <c r="B160" s="262"/>
      <c r="F160" s="262"/>
    </row>
    <row r="161" spans="1:6">
      <c r="A161" s="262"/>
      <c r="B161" s="262"/>
      <c r="F161" s="262"/>
    </row>
    <row r="162" spans="1:6">
      <c r="A162" s="262"/>
      <c r="B162" s="262"/>
      <c r="F162" s="262"/>
    </row>
    <row r="163" spans="1:6">
      <c r="A163" s="262"/>
      <c r="B163" s="262"/>
      <c r="F163" s="262"/>
    </row>
    <row r="164" spans="1:6">
      <c r="A164" s="262"/>
      <c r="B164" s="262"/>
      <c r="F164" s="262"/>
    </row>
    <row r="165" spans="1:6">
      <c r="A165" s="262"/>
      <c r="B165" s="262"/>
      <c r="F165" s="262"/>
    </row>
    <row r="166" spans="1:6">
      <c r="A166" s="262"/>
      <c r="B166" s="262"/>
      <c r="F166" s="262"/>
    </row>
    <row r="167" spans="1:6">
      <c r="A167" s="262"/>
      <c r="B167" s="262"/>
      <c r="F167" s="262"/>
    </row>
    <row r="168" spans="1:6">
      <c r="A168" s="262"/>
      <c r="B168" s="262"/>
      <c r="F168" s="262"/>
    </row>
    <row r="169" spans="1:6">
      <c r="A169" s="262"/>
      <c r="B169" s="262"/>
      <c r="F169" s="262"/>
    </row>
    <row r="170" spans="1:6">
      <c r="A170" s="262"/>
      <c r="B170" s="262"/>
      <c r="F170" s="262"/>
    </row>
    <row r="171" spans="1:6">
      <c r="A171" s="262"/>
      <c r="B171" s="262"/>
      <c r="F171" s="262"/>
    </row>
    <row r="172" spans="1:6">
      <c r="A172" s="262"/>
      <c r="B172" s="262"/>
      <c r="F172" s="262"/>
    </row>
    <row r="173" spans="1:6">
      <c r="A173" s="262"/>
      <c r="B173" s="262"/>
      <c r="F173" s="262"/>
    </row>
    <row r="174" spans="1:6">
      <c r="A174" s="262"/>
      <c r="B174" s="262"/>
      <c r="F174" s="262"/>
    </row>
    <row r="175" spans="1:6">
      <c r="A175" s="262"/>
      <c r="B175" s="262"/>
      <c r="F175" s="262"/>
    </row>
    <row r="176" spans="1:6">
      <c r="A176" s="262"/>
      <c r="B176" s="262"/>
      <c r="F176" s="262"/>
    </row>
    <row r="177" spans="1:6">
      <c r="A177" s="262"/>
      <c r="B177" s="262"/>
      <c r="F177" s="262"/>
    </row>
    <row r="178" spans="1:6">
      <c r="A178" s="262"/>
      <c r="B178" s="262"/>
      <c r="F178" s="262"/>
    </row>
    <row r="179" spans="1:6">
      <c r="A179" s="262"/>
      <c r="B179" s="262"/>
      <c r="F179" s="262"/>
    </row>
    <row r="180" spans="1:6">
      <c r="A180" s="262"/>
      <c r="B180" s="262"/>
      <c r="F180" s="262"/>
    </row>
    <row r="181" spans="1:6">
      <c r="A181" s="262"/>
      <c r="B181" s="262"/>
      <c r="F181" s="262"/>
    </row>
    <row r="182" spans="1:6">
      <c r="A182" s="262"/>
      <c r="B182" s="262"/>
      <c r="F182" s="262"/>
    </row>
    <row r="183" spans="1:6">
      <c r="A183" s="262"/>
      <c r="B183" s="262"/>
      <c r="F183" s="262"/>
    </row>
    <row r="184" spans="1:6">
      <c r="A184" s="262"/>
      <c r="B184" s="262"/>
      <c r="F184" s="262"/>
    </row>
    <row r="185" spans="1:6">
      <c r="A185" s="262"/>
      <c r="B185" s="262"/>
      <c r="F185" s="262"/>
    </row>
    <row r="186" spans="1:6">
      <c r="A186" s="262"/>
      <c r="B186" s="262"/>
      <c r="F186" s="262"/>
    </row>
    <row r="187" spans="1:6">
      <c r="A187" s="262"/>
      <c r="B187" s="262"/>
      <c r="F187" s="262"/>
    </row>
    <row r="188" spans="1:6">
      <c r="A188" s="262"/>
      <c r="B188" s="262"/>
      <c r="F188" s="262"/>
    </row>
    <row r="189" spans="1:6">
      <c r="A189" s="262"/>
      <c r="B189" s="262"/>
      <c r="F189" s="262"/>
    </row>
    <row r="190" spans="1:6">
      <c r="A190" s="262"/>
      <c r="B190" s="262"/>
      <c r="F190" s="262"/>
    </row>
    <row r="191" spans="1:6">
      <c r="A191" s="262"/>
      <c r="B191" s="262"/>
      <c r="F191" s="262"/>
    </row>
    <row r="192" spans="1:6">
      <c r="A192" s="262"/>
      <c r="B192" s="262"/>
      <c r="F192" s="262"/>
    </row>
    <row r="193" spans="1:6">
      <c r="A193" s="262"/>
      <c r="B193" s="262"/>
      <c r="F193" s="262"/>
    </row>
    <row r="194" spans="1:6">
      <c r="A194" s="262"/>
      <c r="B194" s="262"/>
      <c r="F194" s="262"/>
    </row>
    <row r="195" spans="1:6">
      <c r="A195" s="262"/>
      <c r="B195" s="262"/>
      <c r="F195" s="262"/>
    </row>
    <row r="196" spans="1:6">
      <c r="A196" s="262"/>
      <c r="B196" s="262"/>
      <c r="F196" s="262"/>
    </row>
    <row r="197" spans="1:6">
      <c r="A197" s="262"/>
      <c r="B197" s="262"/>
      <c r="F197" s="262"/>
    </row>
    <row r="198" spans="1:6">
      <c r="A198" s="262"/>
      <c r="B198" s="262"/>
      <c r="F198" s="262"/>
    </row>
    <row r="199" spans="1:6">
      <c r="A199" s="262"/>
      <c r="B199" s="262"/>
      <c r="F199" s="262"/>
    </row>
    <row r="200" spans="1:6">
      <c r="A200" s="262"/>
      <c r="B200" s="262"/>
      <c r="F200" s="262"/>
    </row>
    <row r="201" spans="1:6">
      <c r="A201" s="262"/>
      <c r="B201" s="262"/>
      <c r="F201" s="262"/>
    </row>
    <row r="202" spans="1:6">
      <c r="A202" s="262"/>
      <c r="B202" s="262"/>
      <c r="F202" s="262"/>
    </row>
    <row r="203" spans="1:6">
      <c r="A203" s="262"/>
      <c r="B203" s="262"/>
      <c r="F203" s="262"/>
    </row>
    <row r="204" spans="1:6">
      <c r="A204" s="262"/>
      <c r="B204" s="262"/>
      <c r="F204" s="262"/>
    </row>
    <row r="205" spans="1:6">
      <c r="A205" s="262"/>
      <c r="B205" s="262"/>
      <c r="F205" s="262"/>
    </row>
    <row r="206" spans="1:6">
      <c r="A206" s="262"/>
      <c r="B206" s="262"/>
      <c r="F206" s="262"/>
    </row>
    <row r="207" spans="1:6">
      <c r="A207" s="262"/>
      <c r="B207" s="262"/>
      <c r="F207" s="262"/>
    </row>
    <row r="208" spans="1:6">
      <c r="A208" s="262"/>
      <c r="B208" s="262"/>
      <c r="F208" s="262"/>
    </row>
    <row r="209" spans="1:6">
      <c r="A209" s="262"/>
      <c r="B209" s="262"/>
      <c r="F209" s="262"/>
    </row>
    <row r="210" spans="1:6">
      <c r="A210" s="262"/>
      <c r="B210" s="262"/>
      <c r="F210" s="262"/>
    </row>
    <row r="211" spans="1:6">
      <c r="A211" s="262"/>
      <c r="B211" s="262"/>
      <c r="F211" s="262"/>
    </row>
    <row r="212" spans="1:6">
      <c r="A212" s="262"/>
      <c r="B212" s="262"/>
      <c r="F212" s="262"/>
    </row>
    <row r="213" spans="1:6">
      <c r="A213" s="262"/>
      <c r="B213" s="262"/>
      <c r="F213" s="262"/>
    </row>
    <row r="214" spans="1:6">
      <c r="A214" s="262"/>
      <c r="B214" s="262"/>
      <c r="F214" s="262"/>
    </row>
    <row r="215" spans="1:6">
      <c r="A215" s="262"/>
      <c r="B215" s="262"/>
      <c r="F215" s="262"/>
    </row>
    <row r="216" spans="1:6">
      <c r="A216" s="262"/>
      <c r="B216" s="262"/>
      <c r="F216" s="262"/>
    </row>
    <row r="217" spans="1:6">
      <c r="A217" s="262"/>
      <c r="B217" s="262"/>
      <c r="F217" s="262"/>
    </row>
    <row r="218" spans="1:6">
      <c r="A218" s="262"/>
      <c r="B218" s="262"/>
      <c r="F218" s="262"/>
    </row>
    <row r="219" spans="1:6">
      <c r="A219" s="262"/>
      <c r="B219" s="262"/>
      <c r="F219" s="262"/>
    </row>
    <row r="220" spans="1:6">
      <c r="A220" s="262"/>
      <c r="B220" s="262"/>
      <c r="F220" s="262"/>
    </row>
    <row r="221" spans="1:6">
      <c r="A221" s="262"/>
      <c r="B221" s="262"/>
      <c r="F221" s="262"/>
    </row>
    <row r="222" spans="1:6">
      <c r="A222" s="262"/>
      <c r="B222" s="262"/>
      <c r="F222" s="262"/>
    </row>
    <row r="223" spans="1:6">
      <c r="A223" s="262"/>
      <c r="B223" s="262"/>
      <c r="F223" s="262"/>
    </row>
    <row r="224" spans="1:6">
      <c r="A224" s="262"/>
      <c r="B224" s="262"/>
      <c r="F224" s="262"/>
    </row>
    <row r="225" spans="1:6">
      <c r="A225" s="262"/>
      <c r="B225" s="262"/>
      <c r="F225" s="262"/>
    </row>
    <row r="226" spans="1:6">
      <c r="A226" s="262"/>
      <c r="B226" s="262"/>
      <c r="F226" s="262"/>
    </row>
    <row r="227" spans="1:6">
      <c r="A227" s="262"/>
      <c r="B227" s="262"/>
      <c r="F227" s="262"/>
    </row>
    <row r="228" spans="1:6">
      <c r="A228" s="262"/>
      <c r="B228" s="262"/>
      <c r="F228" s="262"/>
    </row>
    <row r="229" spans="1:6">
      <c r="A229" s="262"/>
      <c r="B229" s="262"/>
      <c r="F229" s="262"/>
    </row>
    <row r="230" spans="1:6">
      <c r="A230" s="262"/>
      <c r="B230" s="262"/>
      <c r="F230" s="262"/>
    </row>
    <row r="231" spans="1:6">
      <c r="A231" s="262"/>
      <c r="B231" s="262"/>
      <c r="F231" s="262"/>
    </row>
    <row r="232" spans="1:6">
      <c r="A232" s="262"/>
      <c r="B232" s="262"/>
      <c r="F232" s="262"/>
    </row>
    <row r="233" spans="1:6">
      <c r="A233" s="262"/>
      <c r="B233" s="262"/>
      <c r="F233" s="262"/>
    </row>
    <row r="234" spans="1:6">
      <c r="A234" s="262"/>
      <c r="B234" s="262"/>
      <c r="F234" s="262"/>
    </row>
    <row r="235" spans="1:6">
      <c r="A235" s="262"/>
      <c r="B235" s="262"/>
      <c r="F235" s="262"/>
    </row>
    <row r="236" spans="1:6">
      <c r="A236" s="262"/>
      <c r="B236" s="262"/>
      <c r="F236" s="262"/>
    </row>
    <row r="237" spans="1:6">
      <c r="A237" s="262"/>
      <c r="B237" s="262"/>
      <c r="F237" s="262"/>
    </row>
    <row r="238" spans="1:6">
      <c r="A238" s="262"/>
      <c r="B238" s="262"/>
      <c r="F238" s="262"/>
    </row>
    <row r="239" spans="1:6">
      <c r="A239" s="262"/>
      <c r="B239" s="262"/>
      <c r="F239" s="262"/>
    </row>
    <row r="240" spans="1:6">
      <c r="A240" s="262"/>
      <c r="B240" s="262"/>
      <c r="F240" s="262"/>
    </row>
    <row r="241" spans="1:6">
      <c r="A241" s="262"/>
      <c r="B241" s="262"/>
      <c r="F241" s="262"/>
    </row>
    <row r="242" spans="1:6">
      <c r="A242" s="262"/>
      <c r="B242" s="262"/>
      <c r="F242" s="262"/>
    </row>
    <row r="243" spans="1:6">
      <c r="A243" s="262"/>
      <c r="B243" s="262"/>
      <c r="F243" s="262"/>
    </row>
    <row r="244" spans="1:6">
      <c r="A244" s="262"/>
      <c r="B244" s="262"/>
      <c r="F244" s="262"/>
    </row>
    <row r="245" spans="1:6">
      <c r="A245" s="262"/>
      <c r="B245" s="262"/>
      <c r="F245" s="262"/>
    </row>
    <row r="246" spans="1:6">
      <c r="A246" s="262"/>
      <c r="B246" s="262"/>
      <c r="F246" s="262"/>
    </row>
    <row r="247" spans="1:6">
      <c r="A247" s="262"/>
      <c r="B247" s="262"/>
      <c r="F247" s="262"/>
    </row>
    <row r="248" spans="1:6">
      <c r="A248" s="262"/>
      <c r="B248" s="262"/>
      <c r="F248" s="262"/>
    </row>
    <row r="249" spans="1:6">
      <c r="A249" s="262"/>
      <c r="B249" s="262"/>
      <c r="F249" s="262"/>
    </row>
    <row r="250" spans="1:6">
      <c r="A250" s="262"/>
      <c r="B250" s="262"/>
      <c r="F250" s="262"/>
    </row>
    <row r="251" spans="1:6">
      <c r="A251" s="262"/>
      <c r="B251" s="262"/>
      <c r="F251" s="262"/>
    </row>
    <row r="252" spans="1:6">
      <c r="A252" s="262"/>
      <c r="B252" s="262"/>
      <c r="F252" s="262"/>
    </row>
    <row r="253" spans="1:6">
      <c r="A253" s="262"/>
      <c r="B253" s="262"/>
      <c r="F253" s="262"/>
    </row>
    <row r="254" spans="1:6">
      <c r="A254" s="262"/>
      <c r="B254" s="262"/>
      <c r="F254" s="262"/>
    </row>
    <row r="255" spans="1:6">
      <c r="A255" s="262"/>
      <c r="B255" s="262"/>
      <c r="F255" s="262"/>
    </row>
    <row r="256" spans="1:6">
      <c r="A256" s="262"/>
      <c r="B256" s="262"/>
      <c r="F256" s="262"/>
    </row>
    <row r="257" spans="1:6">
      <c r="A257" s="262"/>
      <c r="B257" s="262"/>
      <c r="F257" s="262"/>
    </row>
    <row r="258" spans="1:6">
      <c r="A258" s="262"/>
      <c r="B258" s="262"/>
      <c r="F258" s="262"/>
    </row>
    <row r="259" spans="1:6">
      <c r="A259" s="262"/>
      <c r="B259" s="262"/>
      <c r="F259" s="262"/>
    </row>
    <row r="260" spans="1:6">
      <c r="A260" s="262"/>
      <c r="B260" s="262"/>
      <c r="F260" s="262"/>
    </row>
    <row r="261" spans="1:6">
      <c r="A261" s="262"/>
      <c r="B261" s="262"/>
      <c r="F261" s="262"/>
    </row>
    <row r="262" spans="1:6">
      <c r="A262" s="262"/>
      <c r="B262" s="262"/>
      <c r="F262" s="262"/>
    </row>
    <row r="263" spans="1:6">
      <c r="A263" s="262"/>
      <c r="B263" s="262"/>
      <c r="F263" s="262"/>
    </row>
    <row r="264" spans="1:6">
      <c r="A264" s="262"/>
      <c r="B264" s="262"/>
      <c r="F264" s="262"/>
    </row>
    <row r="265" spans="1:6">
      <c r="A265" s="262"/>
      <c r="B265" s="262"/>
      <c r="F265" s="262"/>
    </row>
    <row r="266" spans="1:6">
      <c r="A266" s="262"/>
      <c r="B266" s="262"/>
      <c r="F266" s="262"/>
    </row>
    <row r="267" spans="1:6">
      <c r="A267" s="262"/>
      <c r="B267" s="262"/>
      <c r="F267" s="262"/>
    </row>
    <row r="268" spans="1:6">
      <c r="A268" s="262"/>
      <c r="B268" s="262"/>
      <c r="F268" s="262"/>
    </row>
    <row r="269" spans="1:6">
      <c r="A269" s="262"/>
      <c r="B269" s="262"/>
      <c r="F269" s="262"/>
    </row>
    <row r="270" spans="1:6">
      <c r="A270" s="262"/>
      <c r="B270" s="262"/>
      <c r="F270" s="262"/>
    </row>
    <row r="271" spans="1:6">
      <c r="A271" s="262"/>
      <c r="B271" s="262"/>
      <c r="F271" s="262"/>
    </row>
    <row r="272" spans="1:6">
      <c r="A272" s="262"/>
      <c r="B272" s="262"/>
      <c r="F272" s="262"/>
    </row>
    <row r="273" spans="1:6">
      <c r="A273" s="262"/>
      <c r="B273" s="262"/>
      <c r="F273" s="262"/>
    </row>
    <row r="274" spans="1:6">
      <c r="A274" s="262"/>
      <c r="B274" s="262"/>
      <c r="F274" s="262"/>
    </row>
    <row r="275" spans="1:6">
      <c r="A275" s="262"/>
      <c r="B275" s="262"/>
      <c r="F275" s="262"/>
    </row>
    <row r="276" spans="1:6">
      <c r="A276" s="262"/>
      <c r="B276" s="262"/>
      <c r="F276" s="262"/>
    </row>
    <row r="277" spans="1:6">
      <c r="A277" s="262"/>
      <c r="B277" s="262"/>
      <c r="F277" s="262"/>
    </row>
    <row r="278" spans="1:6">
      <c r="A278" s="262"/>
      <c r="B278" s="262"/>
      <c r="F278" s="262"/>
    </row>
    <row r="279" spans="1:6">
      <c r="A279" s="262"/>
      <c r="B279" s="262"/>
      <c r="F279" s="262"/>
    </row>
    <row r="280" spans="1:6">
      <c r="A280" s="262"/>
      <c r="B280" s="262"/>
      <c r="F280" s="262"/>
    </row>
    <row r="281" spans="1:6">
      <c r="A281" s="262"/>
      <c r="B281" s="262"/>
      <c r="F281" s="262"/>
    </row>
    <row r="282" spans="1:6">
      <c r="A282" s="262"/>
      <c r="B282" s="262"/>
      <c r="F282" s="262"/>
    </row>
    <row r="283" spans="1:6">
      <c r="A283" s="262"/>
      <c r="B283" s="262"/>
      <c r="F283" s="262"/>
    </row>
    <row r="284" spans="1:6">
      <c r="A284" s="262"/>
      <c r="B284" s="262"/>
      <c r="F284" s="262"/>
    </row>
    <row r="285" spans="1:6">
      <c r="A285" s="262"/>
      <c r="B285" s="262"/>
      <c r="F285" s="262"/>
    </row>
    <row r="286" spans="1:6">
      <c r="A286" s="262"/>
      <c r="B286" s="262"/>
      <c r="F286" s="262"/>
    </row>
    <row r="287" spans="1:6">
      <c r="A287" s="262"/>
      <c r="B287" s="262"/>
      <c r="F287" s="262"/>
    </row>
    <row r="288" spans="1:6">
      <c r="A288" s="262"/>
      <c r="B288" s="262"/>
      <c r="F288" s="262"/>
    </row>
    <row r="289" spans="1:6">
      <c r="A289" s="262"/>
      <c r="B289" s="262"/>
      <c r="F289" s="262"/>
    </row>
    <row r="290" spans="1:6">
      <c r="A290" s="262"/>
      <c r="B290" s="262"/>
      <c r="F290" s="262"/>
    </row>
    <row r="291" spans="1:6">
      <c r="A291" s="262"/>
      <c r="B291" s="262"/>
      <c r="F291" s="262"/>
    </row>
    <row r="292" spans="1:6">
      <c r="A292" s="262"/>
      <c r="B292" s="262"/>
      <c r="F292" s="262"/>
    </row>
    <row r="293" spans="1:6">
      <c r="A293" s="262"/>
      <c r="B293" s="262"/>
      <c r="F293" s="262"/>
    </row>
    <row r="294" spans="1:6">
      <c r="A294" s="262"/>
      <c r="B294" s="262"/>
      <c r="F294" s="262"/>
    </row>
    <row r="295" spans="1:6">
      <c r="A295" s="262"/>
      <c r="B295" s="262"/>
      <c r="F295" s="262"/>
    </row>
    <row r="296" spans="1:6">
      <c r="A296" s="262"/>
      <c r="B296" s="262"/>
      <c r="F296" s="262"/>
    </row>
    <row r="297" spans="1:6">
      <c r="A297" s="262"/>
      <c r="B297" s="262"/>
      <c r="F297" s="262"/>
    </row>
    <row r="298" spans="1:6">
      <c r="A298" s="262"/>
      <c r="B298" s="262"/>
      <c r="F298" s="262"/>
    </row>
    <row r="299" spans="1:6">
      <c r="A299" s="262"/>
      <c r="B299" s="262"/>
      <c r="F299" s="262"/>
    </row>
    <row r="300" spans="1:6">
      <c r="A300" s="262"/>
      <c r="B300" s="262"/>
      <c r="F300" s="262"/>
    </row>
    <row r="301" spans="1:6">
      <c r="A301" s="262"/>
      <c r="B301" s="262"/>
      <c r="F301" s="262"/>
    </row>
    <row r="302" spans="1:6">
      <c r="A302" s="262"/>
      <c r="B302" s="262"/>
      <c r="F302" s="262"/>
    </row>
    <row r="303" spans="1:6">
      <c r="A303" s="262"/>
      <c r="B303" s="262"/>
      <c r="F303" s="262"/>
    </row>
    <row r="304" spans="1:6">
      <c r="A304" s="262"/>
      <c r="B304" s="262"/>
      <c r="F304" s="262"/>
    </row>
    <row r="305" spans="1:6">
      <c r="A305" s="262"/>
      <c r="B305" s="262"/>
      <c r="F305" s="262"/>
    </row>
    <row r="306" spans="1:6">
      <c r="A306" s="262"/>
      <c r="B306" s="262"/>
      <c r="F306" s="262"/>
    </row>
    <row r="307" spans="1:6">
      <c r="A307" s="262"/>
      <c r="B307" s="262"/>
      <c r="F307" s="262"/>
    </row>
    <row r="308" spans="1:6">
      <c r="A308" s="262"/>
      <c r="B308" s="262"/>
      <c r="F308" s="262"/>
    </row>
    <row r="309" spans="1:6">
      <c r="A309" s="262"/>
      <c r="B309" s="262"/>
      <c r="F309" s="262"/>
    </row>
    <row r="310" spans="1:6">
      <c r="A310" s="262"/>
      <c r="B310" s="262"/>
      <c r="F310" s="262"/>
    </row>
    <row r="311" spans="1:6">
      <c r="A311" s="262"/>
      <c r="B311" s="262"/>
      <c r="F311" s="262"/>
    </row>
    <row r="312" spans="1:6">
      <c r="A312" s="262"/>
      <c r="B312" s="262"/>
      <c r="F312" s="262"/>
    </row>
    <row r="313" spans="1:6">
      <c r="A313" s="262"/>
      <c r="B313" s="262"/>
      <c r="F313" s="262"/>
    </row>
    <row r="314" spans="1:6">
      <c r="A314" s="262"/>
      <c r="B314" s="262"/>
      <c r="F314" s="262"/>
    </row>
    <row r="315" spans="1:6">
      <c r="A315" s="262"/>
      <c r="B315" s="262"/>
      <c r="F315" s="262"/>
    </row>
    <row r="316" spans="1:6">
      <c r="A316" s="262"/>
      <c r="B316" s="262"/>
      <c r="F316" s="262"/>
    </row>
    <row r="317" spans="1:6">
      <c r="A317" s="262"/>
      <c r="B317" s="262"/>
      <c r="F317" s="262"/>
    </row>
    <row r="318" spans="1:6">
      <c r="A318" s="262"/>
      <c r="B318" s="262"/>
      <c r="F318" s="262"/>
    </row>
    <row r="319" spans="1:6">
      <c r="A319" s="262"/>
      <c r="B319" s="262"/>
      <c r="F319" s="262"/>
    </row>
    <row r="320" spans="1:6">
      <c r="A320" s="262"/>
      <c r="B320" s="262"/>
      <c r="F320" s="262"/>
    </row>
    <row r="321" spans="1:6">
      <c r="A321" s="262"/>
      <c r="B321" s="262"/>
      <c r="F321" s="262"/>
    </row>
    <row r="322" spans="1:6">
      <c r="A322" s="262"/>
      <c r="B322" s="262"/>
      <c r="F322" s="262"/>
    </row>
    <row r="323" spans="1:6">
      <c r="A323" s="262"/>
      <c r="B323" s="262"/>
      <c r="F323" s="262"/>
    </row>
    <row r="324" spans="1:6">
      <c r="A324" s="262"/>
      <c r="B324" s="262"/>
      <c r="F324" s="262"/>
    </row>
    <row r="325" spans="1:6">
      <c r="A325" s="262"/>
      <c r="B325" s="262"/>
      <c r="F325" s="262"/>
    </row>
    <row r="326" spans="1:6">
      <c r="A326" s="262"/>
      <c r="B326" s="262"/>
      <c r="F326" s="262"/>
    </row>
    <row r="327" spans="1:6">
      <c r="A327" s="262"/>
      <c r="B327" s="262"/>
      <c r="F327" s="262"/>
    </row>
    <row r="328" spans="1:6">
      <c r="A328" s="262"/>
      <c r="B328" s="262"/>
      <c r="F328" s="262"/>
    </row>
    <row r="329" spans="1:6">
      <c r="A329" s="262"/>
      <c r="B329" s="262"/>
      <c r="F329" s="262"/>
    </row>
    <row r="330" spans="1:6">
      <c r="A330" s="262"/>
      <c r="B330" s="262"/>
      <c r="F330" s="262"/>
    </row>
    <row r="331" spans="1:6">
      <c r="A331" s="262"/>
      <c r="B331" s="262"/>
      <c r="F331" s="262"/>
    </row>
    <row r="332" spans="1:6">
      <c r="A332" s="262"/>
      <c r="B332" s="262"/>
      <c r="F332" s="262"/>
    </row>
    <row r="333" spans="1:6">
      <c r="A333" s="262"/>
      <c r="B333" s="262"/>
      <c r="F333" s="262"/>
    </row>
    <row r="334" spans="1:6">
      <c r="A334" s="262"/>
      <c r="B334" s="262"/>
      <c r="F334" s="262"/>
    </row>
    <row r="335" spans="1:6">
      <c r="A335" s="262"/>
      <c r="B335" s="262"/>
      <c r="F335" s="262"/>
    </row>
    <row r="336" spans="1:6">
      <c r="A336" s="262"/>
      <c r="B336" s="262"/>
      <c r="F336" s="262"/>
    </row>
    <row r="337" spans="1:6">
      <c r="A337" s="262"/>
      <c r="B337" s="262"/>
      <c r="F337" s="262"/>
    </row>
    <row r="338" spans="1:6">
      <c r="A338" s="262"/>
      <c r="B338" s="262"/>
      <c r="F338" s="262"/>
    </row>
    <row r="339" spans="1:6">
      <c r="A339" s="262"/>
      <c r="B339" s="262"/>
      <c r="F339" s="262"/>
    </row>
    <row r="340" spans="1:6">
      <c r="A340" s="262"/>
      <c r="B340" s="262"/>
      <c r="F340" s="262"/>
    </row>
    <row r="341" spans="1:6">
      <c r="A341" s="262"/>
      <c r="B341" s="262"/>
      <c r="F341" s="262"/>
    </row>
    <row r="342" spans="1:6">
      <c r="A342" s="262"/>
      <c r="B342" s="262"/>
      <c r="F342" s="262"/>
    </row>
    <row r="343" spans="1:6">
      <c r="A343" s="262"/>
      <c r="B343" s="262"/>
      <c r="F343" s="262"/>
    </row>
    <row r="344" spans="1:6">
      <c r="A344" s="262"/>
      <c r="B344" s="262"/>
      <c r="F344" s="262"/>
    </row>
    <row r="345" spans="1:6">
      <c r="A345" s="262"/>
      <c r="B345" s="262"/>
      <c r="F345" s="262"/>
    </row>
    <row r="346" spans="1:6">
      <c r="A346" s="262"/>
      <c r="B346" s="262"/>
      <c r="F346" s="262"/>
    </row>
    <row r="347" spans="1:6">
      <c r="A347" s="262"/>
      <c r="B347" s="262"/>
      <c r="F347" s="262"/>
    </row>
    <row r="348" spans="1:6">
      <c r="A348" s="262"/>
      <c r="B348" s="262"/>
      <c r="F348" s="262"/>
    </row>
    <row r="349" spans="1:6">
      <c r="A349" s="262"/>
      <c r="B349" s="262"/>
      <c r="F349" s="262"/>
    </row>
    <row r="350" spans="1:6">
      <c r="A350" s="262"/>
      <c r="B350" s="262"/>
      <c r="F350" s="262"/>
    </row>
    <row r="351" spans="1:6">
      <c r="A351" s="262"/>
      <c r="B351" s="262"/>
      <c r="F351" s="262"/>
    </row>
    <row r="352" spans="1:6">
      <c r="A352" s="262"/>
      <c r="B352" s="262"/>
      <c r="F352" s="262"/>
    </row>
    <row r="353" spans="1:6">
      <c r="A353" s="262"/>
      <c r="B353" s="262"/>
      <c r="F353" s="262"/>
    </row>
    <row r="354" spans="1:6">
      <c r="A354" s="262"/>
      <c r="B354" s="262"/>
      <c r="F354" s="262"/>
    </row>
    <row r="355" spans="1:6">
      <c r="A355" s="262"/>
      <c r="B355" s="262"/>
      <c r="F355" s="262"/>
    </row>
    <row r="356" spans="1:6">
      <c r="A356" s="262"/>
      <c r="B356" s="262"/>
      <c r="F356" s="262"/>
    </row>
    <row r="357" spans="1:6">
      <c r="A357" s="262"/>
      <c r="B357" s="262"/>
      <c r="F357" s="262"/>
    </row>
    <row r="358" spans="1:6">
      <c r="A358" s="262"/>
      <c r="B358" s="262"/>
      <c r="F358" s="262"/>
    </row>
    <row r="359" spans="1:6">
      <c r="A359" s="262"/>
      <c r="B359" s="262"/>
      <c r="F359" s="262"/>
    </row>
    <row r="360" spans="1:6">
      <c r="A360" s="262"/>
      <c r="B360" s="262"/>
      <c r="F360" s="262"/>
    </row>
    <row r="361" spans="1:6">
      <c r="A361" s="262"/>
      <c r="B361" s="262"/>
      <c r="F361" s="262"/>
    </row>
    <row r="362" spans="1:6">
      <c r="A362" s="262"/>
      <c r="B362" s="262"/>
      <c r="F362" s="262"/>
    </row>
    <row r="363" spans="1:6">
      <c r="A363" s="262"/>
      <c r="B363" s="262"/>
      <c r="F363" s="262"/>
    </row>
    <row r="364" spans="1:6">
      <c r="A364" s="262"/>
      <c r="B364" s="262"/>
      <c r="F364" s="262"/>
    </row>
    <row r="365" spans="1:6">
      <c r="A365" s="262"/>
      <c r="B365" s="262"/>
      <c r="F365" s="262"/>
    </row>
    <row r="366" spans="1:6">
      <c r="A366" s="262"/>
      <c r="B366" s="262"/>
      <c r="F366" s="262"/>
    </row>
    <row r="367" spans="1:6">
      <c r="A367" s="262"/>
      <c r="B367" s="262"/>
      <c r="F367" s="262"/>
    </row>
    <row r="368" spans="1:6">
      <c r="A368" s="262"/>
      <c r="B368" s="262"/>
      <c r="F368" s="262"/>
    </row>
    <row r="369" spans="1:6">
      <c r="A369" s="262"/>
      <c r="B369" s="262"/>
      <c r="F369" s="262"/>
    </row>
    <row r="370" spans="1:6">
      <c r="A370" s="262"/>
      <c r="B370" s="262"/>
      <c r="F370" s="262"/>
    </row>
    <row r="371" spans="1:6">
      <c r="A371" s="262"/>
      <c r="B371" s="262"/>
      <c r="F371" s="262"/>
    </row>
    <row r="372" spans="1:6">
      <c r="A372" s="262"/>
      <c r="B372" s="262"/>
      <c r="F372" s="262"/>
    </row>
    <row r="373" spans="1:6">
      <c r="A373" s="262"/>
      <c r="B373" s="262"/>
      <c r="F373" s="262"/>
    </row>
    <row r="374" spans="1:6">
      <c r="A374" s="262"/>
      <c r="B374" s="262"/>
      <c r="F374" s="262"/>
    </row>
    <row r="375" spans="1:6">
      <c r="A375" s="262"/>
      <c r="B375" s="262"/>
      <c r="F375" s="262"/>
    </row>
    <row r="376" spans="1:6">
      <c r="A376" s="262"/>
      <c r="B376" s="262"/>
      <c r="F376" s="262"/>
    </row>
    <row r="377" spans="1:6">
      <c r="A377" s="262"/>
      <c r="B377" s="262"/>
      <c r="F377" s="262"/>
    </row>
    <row r="378" spans="1:6">
      <c r="A378" s="262"/>
      <c r="B378" s="262"/>
      <c r="F378" s="262"/>
    </row>
    <row r="379" spans="1:6">
      <c r="A379" s="262"/>
      <c r="B379" s="262"/>
      <c r="F379" s="262"/>
    </row>
    <row r="380" spans="1:6">
      <c r="A380" s="262"/>
      <c r="B380" s="262"/>
      <c r="F380" s="262"/>
    </row>
    <row r="381" spans="1:6">
      <c r="A381" s="262"/>
      <c r="B381" s="262"/>
      <c r="F381" s="262"/>
    </row>
    <row r="382" spans="1:6">
      <c r="A382" s="262"/>
      <c r="B382" s="262"/>
      <c r="F382" s="262"/>
    </row>
    <row r="383" spans="1:6">
      <c r="A383" s="262"/>
      <c r="B383" s="262"/>
      <c r="F383" s="262"/>
    </row>
    <row r="384" spans="1:6">
      <c r="A384" s="262"/>
      <c r="B384" s="262"/>
      <c r="F384" s="262"/>
    </row>
    <row r="385" spans="1:6">
      <c r="A385" s="262"/>
      <c r="B385" s="262"/>
      <c r="F385" s="262"/>
    </row>
    <row r="386" spans="1:6">
      <c r="A386" s="262"/>
      <c r="B386" s="262"/>
      <c r="F386" s="262"/>
    </row>
    <row r="387" spans="1:6">
      <c r="A387" s="262"/>
      <c r="B387" s="262"/>
      <c r="F387" s="262"/>
    </row>
    <row r="388" spans="1:6">
      <c r="A388" s="262"/>
      <c r="B388" s="262"/>
      <c r="F388" s="262"/>
    </row>
    <row r="389" spans="1:6">
      <c r="A389" s="262"/>
      <c r="B389" s="262"/>
      <c r="F389" s="262"/>
    </row>
    <row r="390" spans="1:6">
      <c r="A390" s="262"/>
      <c r="B390" s="262"/>
      <c r="F390" s="262"/>
    </row>
    <row r="391" spans="1:6">
      <c r="A391" s="262"/>
      <c r="B391" s="262"/>
      <c r="F391" s="262"/>
    </row>
    <row r="392" spans="1:6">
      <c r="A392" s="262"/>
      <c r="B392" s="262"/>
      <c r="F392" s="262"/>
    </row>
    <row r="393" spans="1:6">
      <c r="A393" s="262"/>
      <c r="B393" s="262"/>
      <c r="F393" s="262"/>
    </row>
    <row r="394" spans="1:6">
      <c r="A394" s="262"/>
      <c r="B394" s="262"/>
      <c r="F394" s="262"/>
    </row>
    <row r="395" spans="1:6">
      <c r="A395" s="262"/>
      <c r="B395" s="262"/>
      <c r="F395" s="262"/>
    </row>
    <row r="396" spans="1:6">
      <c r="A396" s="262"/>
      <c r="B396" s="262"/>
      <c r="F396" s="262"/>
    </row>
    <row r="397" spans="1:6">
      <c r="A397" s="262"/>
      <c r="B397" s="262"/>
      <c r="F397" s="262"/>
    </row>
    <row r="398" spans="1:6">
      <c r="A398" s="262"/>
      <c r="B398" s="262"/>
      <c r="F398" s="262"/>
    </row>
    <row r="399" spans="1:6">
      <c r="A399" s="262"/>
      <c r="B399" s="262"/>
      <c r="F399" s="262"/>
    </row>
    <row r="400" spans="1:6">
      <c r="A400" s="262"/>
      <c r="B400" s="262"/>
      <c r="F400" s="262"/>
    </row>
    <row r="401" spans="1:6">
      <c r="A401" s="262"/>
      <c r="B401" s="262"/>
      <c r="F401" s="262"/>
    </row>
    <row r="402" spans="1:6">
      <c r="A402" s="262"/>
      <c r="B402" s="262"/>
      <c r="F402" s="262"/>
    </row>
    <row r="403" spans="1:6">
      <c r="A403" s="262"/>
      <c r="B403" s="262"/>
      <c r="F403" s="262"/>
    </row>
    <row r="404" spans="1:6">
      <c r="A404" s="262"/>
      <c r="B404" s="262"/>
      <c r="F404" s="262"/>
    </row>
    <row r="405" spans="1:6">
      <c r="A405" s="262"/>
      <c r="B405" s="262"/>
      <c r="F405" s="262"/>
    </row>
    <row r="406" spans="1:6">
      <c r="A406" s="262"/>
      <c r="B406" s="262"/>
      <c r="F406" s="262"/>
    </row>
    <row r="407" spans="1:6">
      <c r="A407" s="262"/>
      <c r="B407" s="262"/>
      <c r="F407" s="262"/>
    </row>
    <row r="408" spans="1:6">
      <c r="A408" s="262"/>
      <c r="B408" s="262"/>
      <c r="F408" s="262"/>
    </row>
    <row r="409" spans="1:6">
      <c r="A409" s="262"/>
      <c r="B409" s="262"/>
      <c r="F409" s="262"/>
    </row>
    <row r="410" spans="1:6">
      <c r="A410" s="262"/>
      <c r="B410" s="262"/>
      <c r="F410" s="262"/>
    </row>
    <row r="411" spans="1:6">
      <c r="A411" s="262"/>
      <c r="B411" s="262"/>
      <c r="F411" s="262"/>
    </row>
    <row r="412" spans="1:6">
      <c r="A412" s="262"/>
      <c r="B412" s="262"/>
      <c r="F412" s="262"/>
    </row>
    <row r="413" spans="1:6">
      <c r="A413" s="262"/>
      <c r="B413" s="262"/>
      <c r="F413" s="262"/>
    </row>
    <row r="414" spans="1:6">
      <c r="A414" s="262"/>
      <c r="B414" s="262"/>
      <c r="F414" s="262"/>
    </row>
    <row r="415" spans="1:6">
      <c r="A415" s="262"/>
      <c r="B415" s="262"/>
      <c r="F415" s="262"/>
    </row>
    <row r="416" spans="1:6">
      <c r="A416" s="262"/>
      <c r="B416" s="262"/>
      <c r="F416" s="262"/>
    </row>
    <row r="417" spans="1:6">
      <c r="A417" s="262"/>
      <c r="B417" s="262"/>
      <c r="F417" s="262"/>
    </row>
    <row r="418" spans="1:6">
      <c r="A418" s="262"/>
      <c r="B418" s="262"/>
      <c r="F418" s="262"/>
    </row>
    <row r="419" spans="1:6">
      <c r="A419" s="262"/>
      <c r="B419" s="262"/>
      <c r="F419" s="262"/>
    </row>
    <row r="420" spans="1:6">
      <c r="A420" s="262"/>
      <c r="B420" s="262"/>
      <c r="F420" s="262"/>
    </row>
    <row r="421" spans="1:6">
      <c r="A421" s="262"/>
      <c r="B421" s="262"/>
      <c r="F421" s="262"/>
    </row>
    <row r="422" spans="1:6">
      <c r="A422" s="262"/>
      <c r="B422" s="262"/>
      <c r="F422" s="262"/>
    </row>
    <row r="423" spans="1:6">
      <c r="A423" s="262"/>
      <c r="B423" s="262"/>
      <c r="F423" s="262"/>
    </row>
    <row r="424" spans="1:6">
      <c r="A424" s="262"/>
      <c r="B424" s="262"/>
      <c r="F424" s="262"/>
    </row>
    <row r="425" spans="1:6">
      <c r="A425" s="262"/>
      <c r="B425" s="262"/>
      <c r="F425" s="262"/>
    </row>
    <row r="426" spans="1:6">
      <c r="A426" s="262"/>
      <c r="B426" s="262"/>
      <c r="F426" s="262"/>
    </row>
    <row r="427" spans="1:6">
      <c r="A427" s="262"/>
      <c r="B427" s="262"/>
      <c r="F427" s="262"/>
    </row>
    <row r="428" spans="1:6">
      <c r="A428" s="262"/>
      <c r="B428" s="262"/>
      <c r="F428" s="262"/>
    </row>
    <row r="429" spans="1:6">
      <c r="A429" s="262"/>
      <c r="B429" s="262"/>
      <c r="F429" s="262"/>
    </row>
    <row r="430" spans="1:6">
      <c r="A430" s="262"/>
      <c r="B430" s="262"/>
      <c r="F430" s="262"/>
    </row>
    <row r="431" spans="1:6">
      <c r="A431" s="262"/>
      <c r="B431" s="262"/>
      <c r="F431" s="262"/>
    </row>
    <row r="432" spans="1:6">
      <c r="A432" s="262"/>
      <c r="B432" s="262"/>
      <c r="F432" s="262"/>
    </row>
    <row r="433" spans="1:6">
      <c r="A433" s="262"/>
      <c r="B433" s="262"/>
      <c r="F433" s="262"/>
    </row>
    <row r="434" spans="1:6">
      <c r="A434" s="262"/>
      <c r="B434" s="262"/>
      <c r="F434" s="262"/>
    </row>
    <row r="435" spans="1:6">
      <c r="A435" s="262"/>
      <c r="B435" s="262"/>
      <c r="F435" s="262"/>
    </row>
    <row r="436" spans="1:6">
      <c r="A436" s="262"/>
      <c r="B436" s="262"/>
      <c r="F436" s="262"/>
    </row>
    <row r="437" spans="1:6">
      <c r="A437" s="262"/>
      <c r="B437" s="262"/>
      <c r="F437" s="262"/>
    </row>
    <row r="438" spans="1:6">
      <c r="A438" s="262"/>
      <c r="B438" s="262"/>
      <c r="F438" s="262"/>
    </row>
    <row r="439" spans="1:6">
      <c r="A439" s="262"/>
      <c r="B439" s="262"/>
      <c r="F439" s="262"/>
    </row>
    <row r="440" spans="1:6">
      <c r="A440" s="262"/>
      <c r="B440" s="262"/>
      <c r="F440" s="262"/>
    </row>
    <row r="441" spans="1:6">
      <c r="A441" s="262"/>
      <c r="B441" s="262"/>
      <c r="F441" s="262"/>
    </row>
    <row r="442" spans="1:6">
      <c r="A442" s="262"/>
      <c r="B442" s="262"/>
      <c r="F442" s="262"/>
    </row>
    <row r="443" spans="1:6">
      <c r="A443" s="262"/>
      <c r="B443" s="262"/>
      <c r="F443" s="262"/>
    </row>
    <row r="444" spans="1:6">
      <c r="A444" s="262"/>
      <c r="B444" s="262"/>
      <c r="F444" s="262"/>
    </row>
    <row r="445" spans="1:6">
      <c r="A445" s="262"/>
      <c r="B445" s="262"/>
      <c r="F445" s="262"/>
    </row>
    <row r="446" spans="1:6">
      <c r="A446" s="262"/>
      <c r="B446" s="262"/>
      <c r="F446" s="262"/>
    </row>
    <row r="447" spans="1:6">
      <c r="A447" s="262"/>
      <c r="B447" s="262"/>
      <c r="F447" s="262"/>
    </row>
    <row r="448" spans="1:6">
      <c r="A448" s="262"/>
      <c r="B448" s="262"/>
      <c r="F448" s="262"/>
    </row>
    <row r="449" spans="1:6">
      <c r="A449" s="262"/>
      <c r="B449" s="262"/>
      <c r="F449" s="262"/>
    </row>
    <row r="450" spans="1:6">
      <c r="A450" s="262"/>
      <c r="B450" s="262"/>
      <c r="F450" s="262"/>
    </row>
    <row r="451" spans="1:6">
      <c r="A451" s="262"/>
      <c r="B451" s="262"/>
      <c r="F451" s="262"/>
    </row>
    <row r="452" spans="1:6">
      <c r="A452" s="262"/>
      <c r="B452" s="262"/>
      <c r="F452" s="262"/>
    </row>
    <row r="453" spans="1:6">
      <c r="A453" s="262"/>
      <c r="B453" s="262"/>
      <c r="F453" s="262"/>
    </row>
    <row r="454" spans="1:6">
      <c r="A454" s="262"/>
      <c r="B454" s="262"/>
      <c r="F454" s="262"/>
    </row>
    <row r="455" spans="1:6">
      <c r="A455" s="262"/>
      <c r="B455" s="262"/>
      <c r="F455" s="262"/>
    </row>
    <row r="456" spans="1:6">
      <c r="A456" s="262"/>
      <c r="B456" s="262"/>
      <c r="F456" s="262"/>
    </row>
    <row r="457" spans="1:6">
      <c r="A457" s="262"/>
      <c r="B457" s="262"/>
      <c r="F457" s="262"/>
    </row>
    <row r="458" spans="1:6">
      <c r="A458" s="262"/>
      <c r="B458" s="262"/>
      <c r="F458" s="262"/>
    </row>
    <row r="459" spans="1:6">
      <c r="A459" s="262"/>
      <c r="B459" s="262"/>
      <c r="F459" s="262"/>
    </row>
    <row r="460" spans="1:6">
      <c r="A460" s="262"/>
      <c r="B460" s="262"/>
      <c r="F460" s="262"/>
    </row>
    <row r="461" spans="1:6">
      <c r="A461" s="262"/>
      <c r="B461" s="262"/>
      <c r="F461" s="262"/>
    </row>
    <row r="462" spans="1:6">
      <c r="A462" s="262"/>
      <c r="B462" s="262"/>
      <c r="F462" s="262"/>
    </row>
    <row r="463" spans="1:6">
      <c r="A463" s="262"/>
      <c r="B463" s="262"/>
      <c r="F463" s="262"/>
    </row>
    <row r="464" spans="1:6">
      <c r="A464" s="262"/>
      <c r="B464" s="262"/>
      <c r="F464" s="262"/>
    </row>
    <row r="465" spans="1:6">
      <c r="A465" s="262"/>
      <c r="B465" s="262"/>
      <c r="F465" s="262"/>
    </row>
    <row r="466" spans="1:6">
      <c r="A466" s="262"/>
      <c r="B466" s="262"/>
      <c r="F466" s="262"/>
    </row>
    <row r="467" spans="1:6">
      <c r="A467" s="262"/>
      <c r="B467" s="262"/>
      <c r="F467" s="262"/>
    </row>
    <row r="468" spans="1:6">
      <c r="A468" s="262"/>
      <c r="B468" s="262"/>
      <c r="F468" s="262"/>
    </row>
    <row r="469" spans="1:6">
      <c r="A469" s="262"/>
      <c r="B469" s="262"/>
      <c r="F469" s="262"/>
    </row>
    <row r="470" spans="1:6">
      <c r="A470" s="262"/>
      <c r="B470" s="262"/>
      <c r="F470" s="262"/>
    </row>
    <row r="471" spans="1:6">
      <c r="A471" s="262"/>
      <c r="B471" s="262"/>
      <c r="F471" s="262"/>
    </row>
    <row r="472" spans="1:6">
      <c r="A472" s="262"/>
      <c r="B472" s="262"/>
      <c r="F472" s="262"/>
    </row>
    <row r="473" spans="1:6">
      <c r="A473" s="262"/>
      <c r="B473" s="262"/>
      <c r="F473" s="262"/>
    </row>
    <row r="474" spans="1:6">
      <c r="A474" s="262"/>
      <c r="B474" s="262"/>
      <c r="F474" s="262"/>
    </row>
    <row r="475" spans="1:6">
      <c r="A475" s="262"/>
      <c r="B475" s="262"/>
      <c r="F475" s="262"/>
    </row>
    <row r="476" spans="1:6">
      <c r="A476" s="262"/>
      <c r="B476" s="262"/>
      <c r="F476" s="262"/>
    </row>
    <row r="477" spans="1:6">
      <c r="A477" s="262"/>
      <c r="B477" s="262"/>
      <c r="F477" s="262"/>
    </row>
    <row r="478" spans="1:6">
      <c r="A478" s="262"/>
      <c r="B478" s="262"/>
      <c r="F478" s="262"/>
    </row>
    <row r="479" spans="1:6">
      <c r="A479" s="262"/>
      <c r="B479" s="262"/>
      <c r="F479" s="262"/>
    </row>
    <row r="480" spans="1:6">
      <c r="A480" s="262"/>
      <c r="B480" s="262"/>
      <c r="F480" s="262"/>
    </row>
    <row r="481" spans="1:6">
      <c r="A481" s="262"/>
      <c r="B481" s="262"/>
      <c r="F481" s="262"/>
    </row>
    <row r="482" spans="1:6">
      <c r="A482" s="262"/>
      <c r="B482" s="262"/>
      <c r="F482" s="262"/>
    </row>
    <row r="483" spans="1:6">
      <c r="A483" s="262"/>
      <c r="B483" s="262"/>
      <c r="F483" s="262"/>
    </row>
    <row r="484" spans="1:6">
      <c r="A484" s="262"/>
      <c r="B484" s="262"/>
      <c r="F484" s="262"/>
    </row>
    <row r="485" spans="1:6">
      <c r="A485" s="262"/>
      <c r="B485" s="262"/>
      <c r="F485" s="262"/>
    </row>
    <row r="486" spans="1:6">
      <c r="A486" s="262"/>
      <c r="B486" s="262"/>
      <c r="F486" s="262"/>
    </row>
    <row r="487" spans="1:6">
      <c r="A487" s="262"/>
      <c r="B487" s="262"/>
      <c r="F487" s="262"/>
    </row>
    <row r="488" spans="1:6">
      <c r="A488" s="262"/>
      <c r="B488" s="262"/>
      <c r="F488" s="262"/>
    </row>
    <row r="489" spans="1:6">
      <c r="A489" s="262"/>
      <c r="B489" s="262"/>
      <c r="F489" s="262"/>
    </row>
    <row r="490" spans="1:6">
      <c r="A490" s="262"/>
      <c r="B490" s="262"/>
      <c r="F490" s="262"/>
    </row>
    <row r="491" spans="1:6">
      <c r="A491" s="262"/>
      <c r="B491" s="262"/>
      <c r="F491" s="262"/>
    </row>
    <row r="492" spans="1:6">
      <c r="A492" s="262"/>
      <c r="B492" s="262"/>
      <c r="F492" s="262"/>
    </row>
    <row r="493" spans="1:6">
      <c r="A493" s="262"/>
      <c r="B493" s="262"/>
      <c r="F493" s="262"/>
    </row>
    <row r="494" spans="1:6">
      <c r="A494" s="262"/>
      <c r="B494" s="262"/>
      <c r="F494" s="262"/>
    </row>
    <row r="495" spans="1:6">
      <c r="A495" s="262"/>
      <c r="B495" s="262"/>
      <c r="F495" s="262"/>
    </row>
    <row r="496" spans="1:6">
      <c r="A496" s="262"/>
      <c r="B496" s="262"/>
      <c r="F496" s="262"/>
    </row>
    <row r="497" spans="1:6">
      <c r="A497" s="262"/>
      <c r="B497" s="262"/>
      <c r="F497" s="262"/>
    </row>
    <row r="498" spans="1:6">
      <c r="A498" s="262"/>
      <c r="B498" s="262"/>
      <c r="F498" s="262"/>
    </row>
    <row r="499" spans="1:6">
      <c r="A499" s="262"/>
      <c r="B499" s="262"/>
      <c r="F499" s="262"/>
    </row>
    <row r="500" spans="1:6">
      <c r="A500" s="262"/>
      <c r="B500" s="262"/>
      <c r="F500" s="262"/>
    </row>
    <row r="501" spans="1:6">
      <c r="A501" s="262"/>
      <c r="B501" s="262"/>
      <c r="F501" s="262"/>
    </row>
    <row r="502" spans="1:6">
      <c r="A502" s="262"/>
      <c r="B502" s="262"/>
      <c r="F502" s="262"/>
    </row>
    <row r="503" spans="1:6">
      <c r="A503" s="262"/>
      <c r="B503" s="262"/>
      <c r="F503" s="262"/>
    </row>
    <row r="504" spans="1:6">
      <c r="A504" s="262"/>
      <c r="B504" s="262"/>
      <c r="F504" s="262"/>
    </row>
    <row r="505" spans="1:6">
      <c r="A505" s="262"/>
      <c r="B505" s="262"/>
      <c r="F505" s="262"/>
    </row>
    <row r="506" spans="1:6">
      <c r="A506" s="262"/>
      <c r="B506" s="262"/>
      <c r="F506" s="262"/>
    </row>
    <row r="507" spans="1:6">
      <c r="A507" s="262"/>
      <c r="B507" s="262"/>
      <c r="F507" s="262"/>
    </row>
    <row r="508" spans="1:6">
      <c r="A508" s="262"/>
      <c r="B508" s="262"/>
      <c r="F508" s="262"/>
    </row>
    <row r="509" spans="1:6">
      <c r="A509" s="262"/>
      <c r="B509" s="262"/>
      <c r="F509" s="262"/>
    </row>
    <row r="510" spans="1:6">
      <c r="A510" s="262"/>
      <c r="B510" s="262"/>
      <c r="F510" s="262"/>
    </row>
    <row r="511" spans="1:6">
      <c r="A511" s="262"/>
      <c r="B511" s="262"/>
      <c r="F511" s="262"/>
    </row>
    <row r="512" spans="1:6">
      <c r="A512" s="262"/>
      <c r="B512" s="262"/>
      <c r="F512" s="262"/>
    </row>
    <row r="513" spans="1:6">
      <c r="A513" s="262"/>
      <c r="B513" s="262"/>
      <c r="F513" s="262"/>
    </row>
    <row r="514" spans="1:6">
      <c r="A514" s="262"/>
      <c r="B514" s="262"/>
      <c r="F514" s="262"/>
    </row>
    <row r="515" spans="1:6">
      <c r="A515" s="262"/>
      <c r="B515" s="262"/>
      <c r="F515" s="262"/>
    </row>
    <row r="516" spans="1:6">
      <c r="A516" s="262"/>
      <c r="B516" s="262"/>
      <c r="F516" s="262"/>
    </row>
    <row r="517" spans="1:6">
      <c r="A517" s="262"/>
      <c r="B517" s="262"/>
      <c r="F517" s="262"/>
    </row>
    <row r="518" spans="1:6">
      <c r="A518" s="262"/>
      <c r="B518" s="262"/>
      <c r="F518" s="262"/>
    </row>
    <row r="519" spans="1:6">
      <c r="A519" s="262"/>
      <c r="B519" s="262"/>
      <c r="F519" s="262"/>
    </row>
    <row r="520" spans="1:6">
      <c r="A520" s="262"/>
      <c r="B520" s="262"/>
      <c r="F520" s="262"/>
    </row>
    <row r="521" spans="1:6">
      <c r="A521" s="262"/>
      <c r="B521" s="262"/>
      <c r="F521" s="262"/>
    </row>
    <row r="522" spans="1:6">
      <c r="A522" s="262"/>
      <c r="B522" s="262"/>
      <c r="F522" s="262"/>
    </row>
    <row r="523" spans="1:6">
      <c r="A523" s="262"/>
      <c r="B523" s="262"/>
      <c r="F523" s="262"/>
    </row>
    <row r="524" spans="1:6">
      <c r="A524" s="262"/>
      <c r="B524" s="262"/>
      <c r="F524" s="262"/>
    </row>
    <row r="525" spans="1:6">
      <c r="A525" s="262"/>
      <c r="B525" s="262"/>
      <c r="F525" s="262"/>
    </row>
    <row r="526" spans="1:6">
      <c r="A526" s="262"/>
      <c r="B526" s="262"/>
      <c r="F526" s="262"/>
    </row>
    <row r="527" spans="1:6">
      <c r="A527" s="262"/>
      <c r="B527" s="262"/>
      <c r="F527" s="262"/>
    </row>
    <row r="528" spans="1:6">
      <c r="A528" s="262"/>
      <c r="B528" s="262"/>
      <c r="F528" s="262"/>
    </row>
    <row r="529" spans="1:6">
      <c r="A529" s="262"/>
      <c r="B529" s="262"/>
      <c r="F529" s="262"/>
    </row>
    <row r="530" spans="1:6">
      <c r="A530" s="262"/>
      <c r="B530" s="262"/>
      <c r="F530" s="262"/>
    </row>
    <row r="531" spans="1:6">
      <c r="A531" s="262"/>
      <c r="B531" s="262"/>
      <c r="F531" s="262"/>
    </row>
    <row r="532" spans="1:6">
      <c r="A532" s="262"/>
      <c r="B532" s="262"/>
      <c r="F532" s="262"/>
    </row>
    <row r="533" spans="1:6">
      <c r="A533" s="262"/>
      <c r="B533" s="262"/>
      <c r="F533" s="262"/>
    </row>
    <row r="534" spans="1:6">
      <c r="A534" s="262"/>
      <c r="B534" s="262"/>
      <c r="F534" s="262"/>
    </row>
    <row r="535" spans="1:6">
      <c r="A535" s="262"/>
      <c r="B535" s="262"/>
      <c r="F535" s="262"/>
    </row>
    <row r="536" spans="1:6">
      <c r="A536" s="262"/>
      <c r="B536" s="262"/>
      <c r="F536" s="262"/>
    </row>
    <row r="537" spans="1:6">
      <c r="A537" s="262"/>
      <c r="B537" s="262"/>
      <c r="F537" s="262"/>
    </row>
    <row r="538" spans="1:6">
      <c r="A538" s="262"/>
      <c r="B538" s="262"/>
      <c r="F538" s="262"/>
    </row>
    <row r="539" spans="1:6">
      <c r="A539" s="262"/>
      <c r="B539" s="262"/>
      <c r="F539" s="262"/>
    </row>
    <row r="540" spans="1:6">
      <c r="A540" s="262"/>
      <c r="B540" s="262"/>
      <c r="F540" s="262"/>
    </row>
    <row r="541" spans="1:6">
      <c r="A541" s="262"/>
      <c r="B541" s="262"/>
      <c r="F541" s="262"/>
    </row>
    <row r="542" spans="1:6">
      <c r="A542" s="262"/>
      <c r="B542" s="262"/>
      <c r="F542" s="262"/>
    </row>
    <row r="543" spans="1:6">
      <c r="A543" s="262"/>
      <c r="B543" s="262"/>
      <c r="F543" s="262"/>
    </row>
    <row r="544" spans="1:6">
      <c r="A544" s="262"/>
      <c r="B544" s="262"/>
      <c r="F544" s="262"/>
    </row>
    <row r="545" spans="1:6">
      <c r="A545" s="262"/>
      <c r="B545" s="262"/>
      <c r="F545" s="262"/>
    </row>
    <row r="546" spans="1:6">
      <c r="A546" s="262"/>
      <c r="B546" s="262"/>
      <c r="F546" s="262"/>
    </row>
    <row r="547" spans="1:6">
      <c r="A547" s="262"/>
      <c r="B547" s="262"/>
      <c r="F547" s="262"/>
    </row>
    <row r="548" spans="1:6">
      <c r="A548" s="262"/>
      <c r="B548" s="262"/>
      <c r="F548" s="262"/>
    </row>
    <row r="549" spans="1:6">
      <c r="A549" s="262"/>
      <c r="B549" s="262"/>
      <c r="F549" s="262"/>
    </row>
    <row r="550" spans="1:6">
      <c r="A550" s="262"/>
      <c r="B550" s="262"/>
      <c r="F550" s="262"/>
    </row>
    <row r="551" spans="1:6">
      <c r="A551" s="262"/>
      <c r="B551" s="262"/>
      <c r="F551" s="262"/>
    </row>
    <row r="552" spans="1:6">
      <c r="A552" s="262"/>
      <c r="B552" s="262"/>
      <c r="F552" s="262"/>
    </row>
    <row r="553" spans="1:6">
      <c r="A553" s="262"/>
      <c r="B553" s="262"/>
      <c r="F553" s="262"/>
    </row>
    <row r="554" spans="1:6">
      <c r="A554" s="262"/>
      <c r="B554" s="262"/>
      <c r="F554" s="262"/>
    </row>
    <row r="555" spans="1:6">
      <c r="A555" s="262"/>
      <c r="B555" s="262"/>
      <c r="F555" s="262"/>
    </row>
    <row r="556" spans="1:6">
      <c r="A556" s="262"/>
      <c r="B556" s="262"/>
      <c r="F556" s="262"/>
    </row>
    <row r="557" spans="1:6">
      <c r="A557" s="262"/>
      <c r="B557" s="262"/>
      <c r="F557" s="262"/>
    </row>
    <row r="558" spans="1:6">
      <c r="A558" s="262"/>
      <c r="B558" s="262"/>
      <c r="F558" s="262"/>
    </row>
    <row r="559" spans="1:6">
      <c r="A559" s="262"/>
      <c r="B559" s="262"/>
      <c r="F559" s="262"/>
    </row>
    <row r="560" spans="1:6">
      <c r="A560" s="262"/>
      <c r="B560" s="262"/>
      <c r="F560" s="262"/>
    </row>
    <row r="561" spans="1:6">
      <c r="A561" s="262"/>
      <c r="B561" s="262"/>
      <c r="F561" s="262"/>
    </row>
    <row r="562" spans="1:6">
      <c r="A562" s="262"/>
      <c r="B562" s="262"/>
      <c r="F562" s="262"/>
    </row>
    <row r="563" spans="1:6">
      <c r="A563" s="262"/>
      <c r="B563" s="262"/>
      <c r="F563" s="262"/>
    </row>
    <row r="564" spans="1:6">
      <c r="A564" s="262"/>
      <c r="B564" s="262"/>
      <c r="F564" s="262"/>
    </row>
    <row r="565" spans="1:6">
      <c r="A565" s="262"/>
      <c r="B565" s="262"/>
      <c r="F565" s="262"/>
    </row>
    <row r="566" spans="1:6">
      <c r="A566" s="262"/>
      <c r="B566" s="262"/>
      <c r="F566" s="262"/>
    </row>
    <row r="567" spans="1:6">
      <c r="A567" s="262"/>
      <c r="B567" s="262"/>
      <c r="F567" s="262"/>
    </row>
    <row r="568" spans="1:6">
      <c r="A568" s="262"/>
      <c r="B568" s="262"/>
      <c r="F568" s="262"/>
    </row>
    <row r="569" spans="1:6">
      <c r="A569" s="262"/>
      <c r="B569" s="262"/>
      <c r="F569" s="262"/>
    </row>
    <row r="570" spans="1:6">
      <c r="A570" s="262"/>
      <c r="B570" s="262"/>
      <c r="F570" s="262"/>
    </row>
    <row r="571" spans="1:6">
      <c r="A571" s="262"/>
      <c r="B571" s="262"/>
      <c r="F571" s="262"/>
    </row>
    <row r="572" spans="1:6">
      <c r="A572" s="262"/>
      <c r="B572" s="262"/>
      <c r="F572" s="262"/>
    </row>
    <row r="573" spans="1:6">
      <c r="A573" s="262"/>
      <c r="B573" s="262"/>
      <c r="F573" s="262"/>
    </row>
    <row r="574" spans="1:6">
      <c r="A574" s="262"/>
      <c r="B574" s="262"/>
      <c r="F574" s="262"/>
    </row>
    <row r="575" spans="1:6">
      <c r="A575" s="262"/>
      <c r="B575" s="262"/>
      <c r="F575" s="262"/>
    </row>
    <row r="576" spans="1:6">
      <c r="A576" s="262"/>
      <c r="B576" s="262"/>
      <c r="F576" s="262"/>
    </row>
    <row r="577" spans="1:6">
      <c r="A577" s="262"/>
      <c r="B577" s="262"/>
      <c r="F577" s="262"/>
    </row>
    <row r="578" spans="1:6">
      <c r="A578" s="262"/>
      <c r="B578" s="262"/>
      <c r="F578" s="262"/>
    </row>
    <row r="579" spans="1:6">
      <c r="A579" s="262"/>
      <c r="B579" s="262"/>
      <c r="F579" s="262"/>
    </row>
    <row r="580" spans="1:6">
      <c r="A580" s="262"/>
      <c r="B580" s="262"/>
      <c r="F580" s="262"/>
    </row>
    <row r="581" spans="1:6">
      <c r="A581" s="262"/>
      <c r="B581" s="262"/>
      <c r="F581" s="262"/>
    </row>
    <row r="582" spans="1:6">
      <c r="A582" s="262"/>
      <c r="B582" s="262"/>
      <c r="F582" s="262"/>
    </row>
    <row r="583" spans="1:6">
      <c r="A583" s="262"/>
      <c r="B583" s="262"/>
      <c r="F583" s="262"/>
    </row>
    <row r="584" spans="1:6">
      <c r="A584" s="262"/>
      <c r="B584" s="262"/>
      <c r="F584" s="262"/>
    </row>
    <row r="585" spans="1:6">
      <c r="A585" s="262"/>
      <c r="B585" s="262"/>
      <c r="F585" s="262"/>
    </row>
    <row r="586" spans="1:6">
      <c r="A586" s="262"/>
      <c r="B586" s="262"/>
      <c r="F586" s="262"/>
    </row>
    <row r="587" spans="1:6">
      <c r="A587" s="262"/>
      <c r="B587" s="262"/>
      <c r="F587" s="262"/>
    </row>
    <row r="588" spans="1:6">
      <c r="A588" s="262"/>
      <c r="B588" s="262"/>
      <c r="F588" s="262"/>
    </row>
    <row r="589" spans="1:6">
      <c r="A589" s="262"/>
      <c r="B589" s="262"/>
      <c r="F589" s="262"/>
    </row>
    <row r="590" spans="1:6">
      <c r="A590" s="262"/>
      <c r="B590" s="262"/>
      <c r="F590" s="262"/>
    </row>
    <row r="591" spans="1:6">
      <c r="A591" s="262"/>
      <c r="B591" s="262"/>
      <c r="F591" s="262"/>
    </row>
    <row r="592" spans="1:6">
      <c r="A592" s="262"/>
      <c r="B592" s="262"/>
      <c r="F592" s="262"/>
    </row>
    <row r="593" spans="1:6">
      <c r="A593" s="262"/>
      <c r="B593" s="262"/>
      <c r="F593" s="262"/>
    </row>
    <row r="594" spans="1:6">
      <c r="A594" s="262"/>
      <c r="B594" s="262"/>
      <c r="F594" s="262"/>
    </row>
    <row r="595" spans="1:6">
      <c r="A595" s="262"/>
      <c r="B595" s="262"/>
      <c r="F595" s="262"/>
    </row>
    <row r="596" spans="1:6">
      <c r="A596" s="262"/>
      <c r="B596" s="262"/>
      <c r="F596" s="262"/>
    </row>
    <row r="597" spans="1:6">
      <c r="A597" s="262"/>
      <c r="B597" s="262"/>
      <c r="F597" s="262"/>
    </row>
    <row r="598" spans="1:6">
      <c r="A598" s="262"/>
      <c r="B598" s="262"/>
      <c r="F598" s="262"/>
    </row>
    <row r="599" spans="1:6">
      <c r="A599" s="262"/>
      <c r="B599" s="262"/>
      <c r="F599" s="262"/>
    </row>
    <row r="600" spans="1:6">
      <c r="A600" s="262"/>
      <c r="B600" s="262"/>
      <c r="F600" s="262"/>
    </row>
    <row r="601" spans="1:6">
      <c r="A601" s="262"/>
      <c r="B601" s="262"/>
      <c r="F601" s="262"/>
    </row>
    <row r="602" spans="1:6">
      <c r="A602" s="262"/>
      <c r="B602" s="262"/>
      <c r="F602" s="262"/>
    </row>
    <row r="603" spans="1:6">
      <c r="A603" s="262"/>
      <c r="B603" s="262"/>
      <c r="F603" s="262"/>
    </row>
    <row r="604" spans="1:6">
      <c r="A604" s="262"/>
      <c r="B604" s="262"/>
      <c r="F604" s="262"/>
    </row>
    <row r="605" spans="1:6">
      <c r="A605" s="262"/>
      <c r="B605" s="262"/>
      <c r="F605" s="262"/>
    </row>
    <row r="606" spans="1:6">
      <c r="A606" s="262"/>
      <c r="B606" s="262"/>
      <c r="F606" s="262"/>
    </row>
    <row r="607" spans="1:6">
      <c r="A607" s="262"/>
      <c r="B607" s="262"/>
      <c r="F607" s="262"/>
    </row>
    <row r="608" spans="1:6">
      <c r="A608" s="262"/>
      <c r="B608" s="262"/>
      <c r="F608" s="262"/>
    </row>
    <row r="609" spans="1:6">
      <c r="A609" s="262"/>
      <c r="B609" s="262"/>
      <c r="F609" s="262"/>
    </row>
    <row r="610" spans="1:6">
      <c r="A610" s="262"/>
      <c r="B610" s="262"/>
      <c r="F610" s="262"/>
    </row>
    <row r="611" spans="1:6">
      <c r="A611" s="262"/>
      <c r="B611" s="262"/>
      <c r="F611" s="262"/>
    </row>
    <row r="612" spans="1:6">
      <c r="A612" s="262"/>
      <c r="B612" s="262"/>
      <c r="F612" s="262"/>
    </row>
    <row r="613" spans="1:6">
      <c r="A613" s="262"/>
      <c r="B613" s="262"/>
      <c r="F613" s="262"/>
    </row>
    <row r="614" spans="1:6">
      <c r="A614" s="262"/>
      <c r="B614" s="262"/>
      <c r="F614" s="262"/>
    </row>
    <row r="615" spans="1:6">
      <c r="A615" s="262"/>
      <c r="B615" s="262"/>
      <c r="F615" s="262"/>
    </row>
    <row r="616" spans="1:6">
      <c r="A616" s="262"/>
      <c r="B616" s="262"/>
      <c r="F616" s="262"/>
    </row>
    <row r="617" spans="1:6">
      <c r="A617" s="262"/>
      <c r="B617" s="262"/>
      <c r="F617" s="262"/>
    </row>
    <row r="618" spans="1:6">
      <c r="A618" s="262"/>
      <c r="B618" s="262"/>
      <c r="F618" s="262"/>
    </row>
    <row r="619" spans="1:6">
      <c r="A619" s="262"/>
      <c r="B619" s="262"/>
      <c r="F619" s="262"/>
    </row>
    <row r="620" spans="1:6">
      <c r="A620" s="262"/>
      <c r="B620" s="262"/>
      <c r="F620" s="262"/>
    </row>
    <row r="621" spans="1:6">
      <c r="A621" s="262"/>
      <c r="B621" s="262"/>
      <c r="F621" s="262"/>
    </row>
    <row r="622" spans="1:6">
      <c r="A622" s="262"/>
      <c r="B622" s="262"/>
      <c r="F622" s="262"/>
    </row>
    <row r="623" spans="1:6">
      <c r="A623" s="262"/>
      <c r="B623" s="262"/>
      <c r="F623" s="262"/>
    </row>
    <row r="624" spans="1:6">
      <c r="A624" s="262"/>
      <c r="B624" s="262"/>
      <c r="F624" s="262"/>
    </row>
    <row r="625" spans="1:6">
      <c r="A625" s="262"/>
      <c r="B625" s="262"/>
      <c r="F625" s="262"/>
    </row>
    <row r="626" spans="1:6">
      <c r="A626" s="262"/>
      <c r="B626" s="262"/>
      <c r="F626" s="262"/>
    </row>
    <row r="627" spans="1:6">
      <c r="A627" s="262"/>
      <c r="B627" s="262"/>
      <c r="F627" s="262"/>
    </row>
    <row r="628" spans="1:6">
      <c r="A628" s="262"/>
      <c r="B628" s="262"/>
      <c r="F628" s="262"/>
    </row>
    <row r="629" spans="1:6">
      <c r="A629" s="262"/>
      <c r="B629" s="262"/>
      <c r="F629" s="262"/>
    </row>
    <row r="630" spans="1:6">
      <c r="A630" s="262"/>
      <c r="B630" s="262"/>
      <c r="F630" s="262"/>
    </row>
    <row r="631" spans="1:6">
      <c r="A631" s="262"/>
      <c r="B631" s="262"/>
      <c r="F631" s="262"/>
    </row>
    <row r="632" spans="1:6">
      <c r="A632" s="262"/>
      <c r="B632" s="262"/>
      <c r="F632" s="262"/>
    </row>
    <row r="633" spans="1:6">
      <c r="A633" s="262"/>
      <c r="B633" s="262"/>
      <c r="F633" s="262"/>
    </row>
    <row r="634" spans="1:6">
      <c r="A634" s="262"/>
      <c r="B634" s="262"/>
      <c r="F634" s="262"/>
    </row>
    <row r="635" spans="1:6">
      <c r="A635" s="262"/>
      <c r="B635" s="262"/>
      <c r="F635" s="262"/>
    </row>
    <row r="636" spans="1:6">
      <c r="A636" s="262"/>
      <c r="B636" s="262"/>
      <c r="F636" s="262"/>
    </row>
    <row r="637" spans="1:6">
      <c r="A637" s="262"/>
      <c r="B637" s="262"/>
      <c r="F637" s="262"/>
    </row>
    <row r="638" spans="1:6">
      <c r="A638" s="262"/>
      <c r="B638" s="262"/>
      <c r="F638" s="262"/>
    </row>
    <row r="639" spans="1:6">
      <c r="A639" s="262"/>
      <c r="B639" s="262"/>
      <c r="F639" s="262"/>
    </row>
    <row r="640" spans="1:6">
      <c r="A640" s="262"/>
      <c r="B640" s="262"/>
      <c r="F640" s="262"/>
    </row>
    <row r="641" spans="1:6">
      <c r="A641" s="262"/>
      <c r="B641" s="262"/>
      <c r="F641" s="262"/>
    </row>
    <row r="642" spans="1:6">
      <c r="A642" s="262"/>
      <c r="B642" s="262"/>
      <c r="F642" s="262"/>
    </row>
    <row r="643" spans="1:6">
      <c r="A643" s="262"/>
      <c r="B643" s="262"/>
      <c r="F643" s="262"/>
    </row>
    <row r="644" spans="1:6">
      <c r="A644" s="262"/>
      <c r="B644" s="262"/>
      <c r="F644" s="262"/>
    </row>
    <row r="645" spans="1:6">
      <c r="A645" s="262"/>
      <c r="B645" s="262"/>
      <c r="F645" s="262"/>
    </row>
    <row r="646" spans="1:6">
      <c r="A646" s="262"/>
      <c r="B646" s="262"/>
      <c r="F646" s="262"/>
    </row>
    <row r="647" spans="1:6">
      <c r="A647" s="262"/>
      <c r="B647" s="262"/>
      <c r="F647" s="262"/>
    </row>
    <row r="648" spans="1:6">
      <c r="A648" s="262"/>
      <c r="B648" s="262"/>
      <c r="F648" s="262"/>
    </row>
    <row r="649" spans="1:6">
      <c r="A649" s="262"/>
      <c r="B649" s="262"/>
      <c r="F649" s="262"/>
    </row>
    <row r="650" spans="1:6">
      <c r="A650" s="262"/>
      <c r="B650" s="262"/>
      <c r="F650" s="262"/>
    </row>
    <row r="651" spans="1:6">
      <c r="A651" s="262"/>
      <c r="B651" s="262"/>
      <c r="F651" s="262"/>
    </row>
    <row r="652" spans="1:6">
      <c r="A652" s="262"/>
      <c r="B652" s="262"/>
      <c r="F652" s="262"/>
    </row>
    <row r="653" spans="1:6">
      <c r="A653" s="262"/>
      <c r="B653" s="262"/>
      <c r="F653" s="262"/>
    </row>
    <row r="654" spans="1:6">
      <c r="A654" s="262"/>
      <c r="B654" s="262"/>
      <c r="F654" s="262"/>
    </row>
    <row r="655" spans="1:6">
      <c r="A655" s="262"/>
      <c r="B655" s="262"/>
      <c r="F655" s="262"/>
    </row>
    <row r="656" spans="1:6">
      <c r="A656" s="262"/>
      <c r="B656" s="262"/>
      <c r="F656" s="262"/>
    </row>
    <row r="657" spans="1:6">
      <c r="A657" s="262"/>
      <c r="B657" s="262"/>
      <c r="F657" s="262"/>
    </row>
    <row r="658" spans="1:6">
      <c r="A658" s="262"/>
      <c r="B658" s="262"/>
      <c r="F658" s="262"/>
    </row>
    <row r="659" spans="1:6">
      <c r="A659" s="262"/>
      <c r="B659" s="262"/>
      <c r="F659" s="262"/>
    </row>
    <row r="660" spans="1:6">
      <c r="A660" s="262"/>
      <c r="B660" s="262"/>
      <c r="F660" s="262"/>
    </row>
    <row r="661" spans="1:6">
      <c r="A661" s="262"/>
      <c r="B661" s="262"/>
      <c r="F661" s="262"/>
    </row>
    <row r="662" spans="1:6">
      <c r="A662" s="262"/>
      <c r="B662" s="262"/>
      <c r="F662" s="262"/>
    </row>
    <row r="663" spans="1:6">
      <c r="A663" s="262"/>
      <c r="B663" s="262"/>
      <c r="F663" s="262"/>
    </row>
    <row r="664" spans="1:6">
      <c r="A664" s="262"/>
      <c r="B664" s="262"/>
      <c r="F664" s="262"/>
    </row>
    <row r="665" spans="1:6">
      <c r="A665" s="262"/>
      <c r="B665" s="262"/>
      <c r="F665" s="262"/>
    </row>
    <row r="666" spans="1:6">
      <c r="A666" s="262"/>
      <c r="B666" s="262"/>
      <c r="F666" s="262"/>
    </row>
    <row r="667" spans="1:6">
      <c r="A667" s="262"/>
      <c r="B667" s="262"/>
      <c r="F667" s="262"/>
    </row>
    <row r="668" spans="1:6">
      <c r="A668" s="262"/>
      <c r="B668" s="262"/>
      <c r="F668" s="262"/>
    </row>
    <row r="669" spans="1:6">
      <c r="A669" s="262"/>
      <c r="B669" s="262"/>
      <c r="F669" s="262"/>
    </row>
    <row r="670" spans="1:6">
      <c r="A670" s="262"/>
      <c r="B670" s="262"/>
      <c r="F670" s="262"/>
    </row>
    <row r="671" spans="1:6">
      <c r="A671" s="262"/>
      <c r="B671" s="262"/>
      <c r="F671" s="262"/>
    </row>
    <row r="672" spans="1:6">
      <c r="A672" s="262"/>
      <c r="B672" s="262"/>
      <c r="F672" s="262"/>
    </row>
    <row r="673" spans="1:6">
      <c r="A673" s="262"/>
      <c r="B673" s="262"/>
      <c r="F673" s="262"/>
    </row>
    <row r="674" spans="1:6">
      <c r="A674" s="262"/>
      <c r="B674" s="262"/>
      <c r="F674" s="262"/>
    </row>
    <row r="675" spans="1:6">
      <c r="A675" s="262"/>
      <c r="B675" s="262"/>
      <c r="F675" s="262"/>
    </row>
    <row r="676" spans="1:6">
      <c r="A676" s="262"/>
      <c r="B676" s="262"/>
      <c r="F676" s="262"/>
    </row>
    <row r="677" spans="1:6">
      <c r="A677" s="262"/>
      <c r="B677" s="262"/>
      <c r="F677" s="262"/>
    </row>
    <row r="678" spans="1:6">
      <c r="A678" s="262"/>
      <c r="B678" s="262"/>
      <c r="F678" s="262"/>
    </row>
    <row r="679" spans="1:6">
      <c r="A679" s="262"/>
      <c r="B679" s="262"/>
      <c r="F679" s="262"/>
    </row>
    <row r="680" spans="1:6">
      <c r="A680" s="262"/>
      <c r="B680" s="262"/>
      <c r="F680" s="262"/>
    </row>
    <row r="681" spans="1:6">
      <c r="A681" s="262"/>
      <c r="B681" s="262"/>
      <c r="F681" s="262"/>
    </row>
    <row r="682" spans="1:6">
      <c r="A682" s="262"/>
      <c r="B682" s="262"/>
      <c r="F682" s="262"/>
    </row>
    <row r="683" spans="1:6">
      <c r="A683" s="262"/>
      <c r="B683" s="262"/>
      <c r="F683" s="262"/>
    </row>
    <row r="684" spans="1:6">
      <c r="A684" s="262"/>
      <c r="B684" s="262"/>
      <c r="F684" s="262"/>
    </row>
    <row r="685" spans="1:6">
      <c r="A685" s="262"/>
      <c r="B685" s="262"/>
      <c r="F685" s="262"/>
    </row>
    <row r="686" spans="1:6">
      <c r="A686" s="262"/>
      <c r="B686" s="262"/>
      <c r="F686" s="262"/>
    </row>
    <row r="687" spans="1:6">
      <c r="A687" s="262"/>
      <c r="B687" s="262"/>
      <c r="F687" s="262"/>
    </row>
    <row r="688" spans="1:6">
      <c r="A688" s="262"/>
      <c r="B688" s="262"/>
      <c r="F688" s="262"/>
    </row>
    <row r="689" spans="1:6">
      <c r="A689" s="262"/>
      <c r="B689" s="262"/>
      <c r="F689" s="262"/>
    </row>
    <row r="690" spans="1:6">
      <c r="A690" s="262"/>
      <c r="B690" s="262"/>
      <c r="F690" s="262"/>
    </row>
    <row r="691" spans="1:6">
      <c r="A691" s="262"/>
      <c r="B691" s="262"/>
      <c r="F691" s="262"/>
    </row>
    <row r="692" spans="1:6">
      <c r="A692" s="262"/>
      <c r="B692" s="262"/>
      <c r="F692" s="262"/>
    </row>
    <row r="693" spans="1:6">
      <c r="A693" s="262"/>
      <c r="B693" s="262"/>
      <c r="F693" s="262"/>
    </row>
    <row r="694" spans="1:6">
      <c r="A694" s="262"/>
      <c r="B694" s="262"/>
      <c r="F694" s="262"/>
    </row>
    <row r="695" spans="1:6">
      <c r="A695" s="262"/>
      <c r="B695" s="262"/>
      <c r="F695" s="262"/>
    </row>
    <row r="696" spans="1:6">
      <c r="A696" s="262"/>
      <c r="B696" s="262"/>
      <c r="F696" s="262"/>
    </row>
    <row r="697" spans="1:6">
      <c r="A697" s="262"/>
      <c r="B697" s="262"/>
      <c r="F697" s="262"/>
    </row>
    <row r="698" spans="1:6">
      <c r="A698" s="262"/>
      <c r="B698" s="262"/>
      <c r="F698" s="262"/>
    </row>
    <row r="699" spans="1:6">
      <c r="A699" s="262"/>
      <c r="B699" s="262"/>
      <c r="F699" s="262"/>
    </row>
    <row r="700" spans="1:6">
      <c r="A700" s="262"/>
      <c r="B700" s="262"/>
      <c r="F700" s="262"/>
    </row>
    <row r="701" spans="1:6">
      <c r="A701" s="262"/>
      <c r="B701" s="262"/>
      <c r="F701" s="262"/>
    </row>
    <row r="702" spans="1:6">
      <c r="A702" s="262"/>
      <c r="B702" s="262"/>
      <c r="F702" s="262"/>
    </row>
    <row r="703" spans="1:6">
      <c r="A703" s="262"/>
      <c r="B703" s="262"/>
      <c r="F703" s="262"/>
    </row>
    <row r="704" spans="1:6">
      <c r="A704" s="262"/>
      <c r="B704" s="262"/>
      <c r="F704" s="262"/>
    </row>
    <row r="705" spans="1:6">
      <c r="A705" s="262"/>
      <c r="B705" s="262"/>
      <c r="F705" s="262"/>
    </row>
    <row r="706" spans="1:6">
      <c r="A706" s="262"/>
      <c r="B706" s="262"/>
      <c r="F706" s="262"/>
    </row>
    <row r="707" spans="1:6">
      <c r="A707" s="262"/>
      <c r="B707" s="262"/>
      <c r="F707" s="262"/>
    </row>
    <row r="708" spans="1:6">
      <c r="A708" s="262"/>
      <c r="B708" s="262"/>
      <c r="F708" s="262"/>
    </row>
    <row r="709" spans="1:6">
      <c r="A709" s="262"/>
      <c r="B709" s="262"/>
      <c r="F709" s="262"/>
    </row>
    <row r="710" spans="1:6">
      <c r="A710" s="262"/>
      <c r="B710" s="262"/>
      <c r="F710" s="262"/>
    </row>
    <row r="711" spans="1:6">
      <c r="A711" s="262"/>
      <c r="B711" s="262"/>
      <c r="F711" s="262"/>
    </row>
    <row r="712" spans="1:6">
      <c r="A712" s="262"/>
      <c r="B712" s="262"/>
      <c r="F712" s="262"/>
    </row>
    <row r="713" spans="1:6">
      <c r="A713" s="262"/>
      <c r="B713" s="262"/>
      <c r="F713" s="262"/>
    </row>
    <row r="714" spans="1:6">
      <c r="A714" s="262"/>
      <c r="B714" s="262"/>
      <c r="F714" s="262"/>
    </row>
    <row r="715" spans="1:6">
      <c r="A715" s="262"/>
      <c r="B715" s="262"/>
      <c r="F715" s="262"/>
    </row>
    <row r="716" spans="1:6">
      <c r="A716" s="262"/>
      <c r="B716" s="262"/>
      <c r="F716" s="262"/>
    </row>
    <row r="717" spans="1:6">
      <c r="A717" s="262"/>
      <c r="B717" s="262"/>
      <c r="F717" s="262"/>
    </row>
    <row r="718" spans="1:6">
      <c r="A718" s="262"/>
      <c r="B718" s="262"/>
      <c r="F718" s="262"/>
    </row>
    <row r="719" spans="1:6">
      <c r="A719" s="262"/>
      <c r="B719" s="262"/>
      <c r="F719" s="262"/>
    </row>
    <row r="720" spans="1:6">
      <c r="A720" s="262"/>
      <c r="B720" s="262"/>
      <c r="F720" s="262"/>
    </row>
    <row r="721" spans="1:6">
      <c r="A721" s="262"/>
      <c r="B721" s="262"/>
      <c r="F721" s="262"/>
    </row>
    <row r="722" spans="1:6">
      <c r="A722" s="262"/>
      <c r="B722" s="262"/>
      <c r="F722" s="262"/>
    </row>
    <row r="723" spans="1:6">
      <c r="A723" s="262"/>
      <c r="B723" s="262"/>
      <c r="F723" s="262"/>
    </row>
    <row r="724" spans="1:6">
      <c r="A724" s="262"/>
      <c r="B724" s="262"/>
      <c r="F724" s="262"/>
    </row>
    <row r="725" spans="1:6">
      <c r="A725" s="262"/>
      <c r="B725" s="262"/>
      <c r="F725" s="262"/>
    </row>
    <row r="726" spans="1:6">
      <c r="A726" s="262"/>
      <c r="B726" s="262"/>
      <c r="F726" s="262"/>
    </row>
    <row r="727" spans="1:6">
      <c r="A727" s="262"/>
      <c r="B727" s="262"/>
      <c r="F727" s="262"/>
    </row>
    <row r="728" spans="1:6">
      <c r="A728" s="262"/>
      <c r="B728" s="262"/>
      <c r="F728" s="262"/>
    </row>
    <row r="729" spans="1:6">
      <c r="A729" s="262"/>
      <c r="B729" s="262"/>
      <c r="F729" s="262"/>
    </row>
    <row r="730" spans="1:6">
      <c r="A730" s="262"/>
      <c r="B730" s="262"/>
      <c r="F730" s="262"/>
    </row>
    <row r="731" spans="1:6">
      <c r="A731" s="262"/>
      <c r="B731" s="262"/>
      <c r="F731" s="262"/>
    </row>
    <row r="732" spans="1:6">
      <c r="A732" s="262"/>
      <c r="B732" s="262"/>
      <c r="F732" s="262"/>
    </row>
    <row r="733" spans="1:6">
      <c r="A733" s="262"/>
      <c r="B733" s="262"/>
      <c r="F733" s="262"/>
    </row>
    <row r="734" spans="1:6">
      <c r="A734" s="262"/>
      <c r="B734" s="262"/>
      <c r="F734" s="262"/>
    </row>
    <row r="735" spans="1:6">
      <c r="A735" s="262"/>
      <c r="B735" s="262"/>
      <c r="F735" s="262"/>
    </row>
    <row r="736" spans="1:6">
      <c r="A736" s="262"/>
      <c r="B736" s="262"/>
      <c r="F736" s="262"/>
    </row>
    <row r="737" spans="1:6">
      <c r="A737" s="262"/>
      <c r="B737" s="262"/>
      <c r="F737" s="262"/>
    </row>
    <row r="738" spans="1:6">
      <c r="A738" s="262"/>
      <c r="B738" s="262"/>
      <c r="F738" s="262"/>
    </row>
    <row r="739" spans="1:6">
      <c r="A739" s="262"/>
      <c r="B739" s="262"/>
      <c r="F739" s="262"/>
    </row>
    <row r="740" spans="1:6">
      <c r="A740" s="262"/>
      <c r="B740" s="262"/>
      <c r="F740" s="262"/>
    </row>
    <row r="741" spans="1:6">
      <c r="A741" s="262"/>
      <c r="B741" s="262"/>
      <c r="F741" s="262"/>
    </row>
    <row r="742" spans="1:6">
      <c r="A742" s="262"/>
      <c r="B742" s="262"/>
      <c r="F742" s="262"/>
    </row>
    <row r="743" spans="1:6">
      <c r="A743" s="262"/>
      <c r="B743" s="262"/>
      <c r="F743" s="262"/>
    </row>
    <row r="744" spans="1:6">
      <c r="A744" s="262"/>
      <c r="B744" s="262"/>
      <c r="F744" s="262"/>
    </row>
    <row r="745" spans="1:6">
      <c r="A745" s="262"/>
      <c r="B745" s="262"/>
      <c r="F745" s="262"/>
    </row>
    <row r="746" spans="1:6">
      <c r="A746" s="262"/>
      <c r="B746" s="262"/>
      <c r="F746" s="262"/>
    </row>
    <row r="747" spans="1:6">
      <c r="A747" s="262"/>
      <c r="B747" s="262"/>
      <c r="F747" s="262"/>
    </row>
    <row r="748" spans="1:6">
      <c r="A748" s="262"/>
      <c r="B748" s="262"/>
      <c r="F748" s="262"/>
    </row>
    <row r="749" spans="1:6">
      <c r="A749" s="262"/>
      <c r="B749" s="262"/>
      <c r="F749" s="262"/>
    </row>
    <row r="750" spans="1:6">
      <c r="A750" s="262"/>
      <c r="B750" s="262"/>
      <c r="F750" s="262"/>
    </row>
    <row r="751" spans="1:6">
      <c r="A751" s="262"/>
      <c r="B751" s="262"/>
      <c r="F751" s="262"/>
    </row>
    <row r="752" spans="1:6">
      <c r="A752" s="262"/>
      <c r="B752" s="262"/>
      <c r="F752" s="262"/>
    </row>
    <row r="753" spans="1:6">
      <c r="A753" s="262"/>
      <c r="B753" s="262"/>
      <c r="F753" s="262"/>
    </row>
    <row r="754" spans="1:6">
      <c r="A754" s="262"/>
      <c r="B754" s="262"/>
      <c r="F754" s="262"/>
    </row>
    <row r="755" spans="1:6">
      <c r="A755" s="262"/>
      <c r="B755" s="262"/>
      <c r="F755" s="262"/>
    </row>
    <row r="756" spans="1:6">
      <c r="A756" s="262"/>
      <c r="B756" s="262"/>
      <c r="F756" s="262"/>
    </row>
    <row r="757" spans="1:6">
      <c r="A757" s="262"/>
      <c r="B757" s="262"/>
      <c r="F757" s="262"/>
    </row>
    <row r="758" spans="1:6">
      <c r="A758" s="262"/>
      <c r="B758" s="262"/>
      <c r="F758" s="262"/>
    </row>
    <row r="759" spans="1:6">
      <c r="A759" s="262"/>
      <c r="B759" s="262"/>
      <c r="F759" s="262"/>
    </row>
    <row r="760" spans="1:6">
      <c r="A760" s="262"/>
      <c r="B760" s="262"/>
      <c r="F760" s="262"/>
    </row>
    <row r="761" spans="1:6">
      <c r="A761" s="262"/>
      <c r="B761" s="262"/>
      <c r="F761" s="262"/>
    </row>
    <row r="762" spans="1:6">
      <c r="A762" s="262"/>
      <c r="B762" s="262"/>
      <c r="F762" s="262"/>
    </row>
    <row r="763" spans="1:6">
      <c r="A763" s="262"/>
      <c r="B763" s="262"/>
      <c r="F763" s="262"/>
    </row>
    <row r="764" spans="1:6">
      <c r="A764" s="262"/>
      <c r="B764" s="262"/>
      <c r="F764" s="262"/>
    </row>
    <row r="765" spans="1:6">
      <c r="A765" s="262"/>
      <c r="B765" s="262"/>
      <c r="F765" s="262"/>
    </row>
    <row r="766" spans="1:6">
      <c r="A766" s="262"/>
      <c r="B766" s="262"/>
      <c r="F766" s="262"/>
    </row>
    <row r="767" spans="1:6">
      <c r="A767" s="262"/>
      <c r="B767" s="262"/>
      <c r="F767" s="262"/>
    </row>
    <row r="768" spans="1:6">
      <c r="A768" s="262"/>
      <c r="B768" s="262"/>
      <c r="F768" s="262"/>
    </row>
    <row r="769" spans="1:6">
      <c r="A769" s="262"/>
      <c r="B769" s="262"/>
      <c r="F769" s="262"/>
    </row>
    <row r="770" spans="1:6">
      <c r="A770" s="262"/>
      <c r="B770" s="262"/>
      <c r="F770" s="262"/>
    </row>
    <row r="771" spans="1:6">
      <c r="A771" s="262"/>
      <c r="B771" s="262"/>
      <c r="F771" s="262"/>
    </row>
    <row r="772" spans="1:6">
      <c r="A772" s="262"/>
      <c r="B772" s="262"/>
      <c r="F772" s="262"/>
    </row>
    <row r="773" spans="1:6">
      <c r="A773" s="262"/>
      <c r="B773" s="262"/>
      <c r="F773" s="262"/>
    </row>
    <row r="774" spans="1:6">
      <c r="A774" s="262"/>
      <c r="B774" s="262"/>
      <c r="F774" s="262"/>
    </row>
    <row r="775" spans="1:6">
      <c r="A775" s="262"/>
      <c r="B775" s="262"/>
      <c r="F775" s="262"/>
    </row>
    <row r="776" spans="1:6">
      <c r="A776" s="262"/>
      <c r="B776" s="262"/>
      <c r="F776" s="262"/>
    </row>
    <row r="777" spans="1:6">
      <c r="A777" s="262"/>
      <c r="B777" s="262"/>
      <c r="F777" s="262"/>
    </row>
    <row r="778" spans="1:6">
      <c r="A778" s="262"/>
      <c r="B778" s="262"/>
      <c r="F778" s="262"/>
    </row>
    <row r="779" spans="1:6">
      <c r="A779" s="262"/>
      <c r="B779" s="262"/>
      <c r="F779" s="262"/>
    </row>
    <row r="780" spans="1:6">
      <c r="A780" s="262"/>
      <c r="B780" s="262"/>
      <c r="F780" s="262"/>
    </row>
    <row r="781" spans="1:6">
      <c r="A781" s="262"/>
      <c r="B781" s="262"/>
      <c r="F781" s="262"/>
    </row>
    <row r="782" spans="1:6">
      <c r="A782" s="262"/>
      <c r="B782" s="262"/>
      <c r="F782" s="262"/>
    </row>
    <row r="783" spans="1:6">
      <c r="A783" s="262"/>
      <c r="B783" s="262"/>
      <c r="F783" s="262"/>
    </row>
    <row r="784" spans="1:6">
      <c r="A784" s="262"/>
      <c r="B784" s="262"/>
      <c r="F784" s="262"/>
    </row>
    <row r="785" spans="1:6">
      <c r="A785" s="262"/>
      <c r="B785" s="262"/>
      <c r="F785" s="262"/>
    </row>
    <row r="786" spans="1:6">
      <c r="A786" s="262"/>
      <c r="B786" s="262"/>
      <c r="F786" s="262"/>
    </row>
    <row r="787" spans="1:6">
      <c r="A787" s="262"/>
      <c r="B787" s="262"/>
      <c r="F787" s="262"/>
    </row>
    <row r="788" spans="1:6">
      <c r="A788" s="262"/>
      <c r="B788" s="262"/>
      <c r="F788" s="262"/>
    </row>
    <row r="789" spans="1:6">
      <c r="A789" s="262"/>
      <c r="B789" s="262"/>
      <c r="F789" s="262"/>
    </row>
    <row r="790" spans="1:6">
      <c r="A790" s="262"/>
      <c r="B790" s="262"/>
      <c r="F790" s="262"/>
    </row>
    <row r="791" spans="1:6">
      <c r="A791" s="262"/>
      <c r="B791" s="262"/>
      <c r="F791" s="262"/>
    </row>
    <row r="792" spans="1:6">
      <c r="A792" s="262"/>
      <c r="B792" s="262"/>
      <c r="F792" s="262"/>
    </row>
    <row r="793" spans="1:6">
      <c r="A793" s="262"/>
      <c r="B793" s="262"/>
      <c r="F793" s="262"/>
    </row>
    <row r="794" spans="1:6">
      <c r="A794" s="262"/>
      <c r="B794" s="262"/>
      <c r="F794" s="262"/>
    </row>
    <row r="795" spans="1:6">
      <c r="A795" s="262"/>
      <c r="B795" s="262"/>
      <c r="F795" s="262"/>
    </row>
    <row r="796" spans="1:6">
      <c r="A796" s="262"/>
      <c r="B796" s="262"/>
      <c r="F796" s="262"/>
    </row>
    <row r="797" spans="1:6">
      <c r="A797" s="262"/>
      <c r="B797" s="262"/>
      <c r="F797" s="262"/>
    </row>
    <row r="798" spans="1:6">
      <c r="A798" s="262"/>
      <c r="B798" s="262"/>
      <c r="F798" s="262"/>
    </row>
    <row r="799" spans="1:6">
      <c r="A799" s="262"/>
      <c r="B799" s="262"/>
      <c r="F799" s="262"/>
    </row>
    <row r="800" spans="1:6">
      <c r="A800" s="262"/>
      <c r="B800" s="262"/>
      <c r="F800" s="262"/>
    </row>
    <row r="801" spans="1:6">
      <c r="A801" s="262"/>
      <c r="B801" s="262"/>
      <c r="F801" s="262"/>
    </row>
    <row r="802" spans="1:6">
      <c r="A802" s="262"/>
      <c r="B802" s="262"/>
      <c r="F802" s="262"/>
    </row>
    <row r="803" spans="1:6">
      <c r="A803" s="262"/>
      <c r="B803" s="262"/>
      <c r="F803" s="262"/>
    </row>
    <row r="804" spans="1:6">
      <c r="A804" s="262"/>
      <c r="B804" s="262"/>
      <c r="F804" s="262"/>
    </row>
    <row r="805" spans="1:6">
      <c r="A805" s="262"/>
      <c r="B805" s="262"/>
      <c r="F805" s="262"/>
    </row>
    <row r="806" spans="1:6">
      <c r="A806" s="262"/>
      <c r="B806" s="262"/>
      <c r="F806" s="262"/>
    </row>
    <row r="807" spans="1:6">
      <c r="A807" s="262"/>
      <c r="B807" s="262"/>
      <c r="F807" s="262"/>
    </row>
    <row r="808" spans="1:6">
      <c r="A808" s="262"/>
      <c r="B808" s="262"/>
      <c r="F808" s="262"/>
    </row>
    <row r="809" spans="1:6">
      <c r="A809" s="262"/>
      <c r="B809" s="262"/>
      <c r="F809" s="262"/>
    </row>
    <row r="810" spans="1:6">
      <c r="A810" s="262"/>
      <c r="B810" s="262"/>
      <c r="F810" s="262"/>
    </row>
    <row r="811" spans="1:6">
      <c r="A811" s="262"/>
      <c r="B811" s="262"/>
      <c r="F811" s="262"/>
    </row>
    <row r="812" spans="1:6">
      <c r="A812" s="262"/>
      <c r="B812" s="262"/>
      <c r="F812" s="262"/>
    </row>
    <row r="813" spans="1:6">
      <c r="A813" s="262"/>
      <c r="B813" s="262"/>
      <c r="F813" s="262"/>
    </row>
    <row r="814" spans="1:6">
      <c r="A814" s="262"/>
      <c r="B814" s="262"/>
      <c r="F814" s="262"/>
    </row>
    <row r="815" spans="1:6">
      <c r="A815" s="262"/>
      <c r="B815" s="262"/>
      <c r="F815" s="262"/>
    </row>
    <row r="816" spans="1:6">
      <c r="A816" s="262"/>
      <c r="B816" s="262"/>
      <c r="F816" s="262"/>
    </row>
    <row r="817" spans="1:6">
      <c r="A817" s="262"/>
      <c r="B817" s="262"/>
      <c r="F817" s="262"/>
    </row>
    <row r="818" spans="1:6">
      <c r="A818" s="262"/>
      <c r="B818" s="262"/>
      <c r="F818" s="262"/>
    </row>
    <row r="819" spans="1:6">
      <c r="A819" s="262"/>
      <c r="B819" s="262"/>
      <c r="F819" s="262"/>
    </row>
    <row r="820" spans="1:6">
      <c r="A820" s="262"/>
      <c r="B820" s="262"/>
      <c r="F820" s="262"/>
    </row>
    <row r="821" spans="1:6">
      <c r="A821" s="262"/>
      <c r="B821" s="262"/>
      <c r="F821" s="262"/>
    </row>
    <row r="822" spans="1:6">
      <c r="A822" s="262"/>
      <c r="B822" s="262"/>
      <c r="F822" s="262"/>
    </row>
    <row r="823" spans="1:6">
      <c r="A823" s="262"/>
      <c r="B823" s="262"/>
      <c r="F823" s="262"/>
    </row>
    <row r="824" spans="1:6">
      <c r="A824" s="262"/>
      <c r="B824" s="262"/>
      <c r="F824" s="262"/>
    </row>
    <row r="825" spans="1:6">
      <c r="A825" s="262"/>
      <c r="B825" s="262"/>
      <c r="F825" s="262"/>
    </row>
    <row r="826" spans="1:6">
      <c r="A826" s="262"/>
      <c r="B826" s="262"/>
      <c r="F826" s="262"/>
    </row>
    <row r="827" spans="1:6">
      <c r="A827" s="262"/>
      <c r="B827" s="262"/>
      <c r="F827" s="262"/>
    </row>
    <row r="828" spans="1:6">
      <c r="A828" s="262"/>
      <c r="B828" s="262"/>
      <c r="F828" s="262"/>
    </row>
    <row r="829" spans="1:6">
      <c r="A829" s="262"/>
      <c r="B829" s="262"/>
      <c r="F829" s="262"/>
    </row>
    <row r="830" spans="1:6">
      <c r="A830" s="262"/>
      <c r="B830" s="262"/>
      <c r="F830" s="262"/>
    </row>
    <row r="831" spans="1:6">
      <c r="A831" s="262"/>
      <c r="B831" s="262"/>
      <c r="F831" s="262"/>
    </row>
    <row r="832" spans="1:6">
      <c r="A832" s="262"/>
      <c r="B832" s="262"/>
      <c r="F832" s="262"/>
    </row>
    <row r="833" spans="1:6">
      <c r="A833" s="262"/>
      <c r="B833" s="262"/>
      <c r="F833" s="262"/>
    </row>
    <row r="834" spans="1:6">
      <c r="A834" s="262"/>
      <c r="B834" s="262"/>
      <c r="F834" s="262"/>
    </row>
    <row r="835" spans="1:6">
      <c r="A835" s="262"/>
      <c r="B835" s="262"/>
      <c r="F835" s="262"/>
    </row>
    <row r="836" spans="1:6">
      <c r="A836" s="262"/>
      <c r="B836" s="262"/>
      <c r="F836" s="262"/>
    </row>
    <row r="837" spans="1:6">
      <c r="A837" s="262"/>
      <c r="B837" s="262"/>
      <c r="F837" s="262"/>
    </row>
    <row r="838" spans="1:6">
      <c r="A838" s="262"/>
      <c r="B838" s="262"/>
      <c r="F838" s="262"/>
    </row>
    <row r="839" spans="1:6">
      <c r="A839" s="262"/>
      <c r="B839" s="262"/>
      <c r="F839" s="262"/>
    </row>
    <row r="840" spans="1:6">
      <c r="A840" s="262"/>
      <c r="B840" s="262"/>
      <c r="F840" s="262"/>
    </row>
    <row r="841" spans="1:6">
      <c r="A841" s="262"/>
      <c r="B841" s="262"/>
      <c r="F841" s="262"/>
    </row>
    <row r="842" spans="1:6">
      <c r="A842" s="262"/>
      <c r="B842" s="262"/>
      <c r="F842" s="262"/>
    </row>
    <row r="843" spans="1:6">
      <c r="A843" s="262"/>
      <c r="B843" s="262"/>
      <c r="F843" s="262"/>
    </row>
    <row r="844" spans="1:6">
      <c r="A844" s="262"/>
      <c r="B844" s="262"/>
      <c r="F844" s="262"/>
    </row>
    <row r="845" spans="1:6">
      <c r="A845" s="262"/>
      <c r="B845" s="262"/>
      <c r="F845" s="262"/>
    </row>
    <row r="846" spans="1:6">
      <c r="A846" s="262"/>
      <c r="B846" s="262"/>
      <c r="F846" s="262"/>
    </row>
    <row r="847" spans="1:6">
      <c r="A847" s="262"/>
      <c r="B847" s="262"/>
      <c r="F847" s="262"/>
    </row>
    <row r="848" spans="1:6">
      <c r="A848" s="262"/>
      <c r="B848" s="262"/>
      <c r="F848" s="262"/>
    </row>
    <row r="849" spans="1:6">
      <c r="A849" s="262"/>
      <c r="B849" s="262"/>
      <c r="F849" s="262"/>
    </row>
    <row r="850" spans="1:6">
      <c r="A850" s="262"/>
      <c r="B850" s="262"/>
      <c r="F850" s="262"/>
    </row>
    <row r="851" spans="1:6">
      <c r="A851" s="262"/>
      <c r="B851" s="262"/>
      <c r="F851" s="262"/>
    </row>
    <row r="852" spans="1:6">
      <c r="A852" s="262"/>
      <c r="B852" s="262"/>
      <c r="F852" s="262"/>
    </row>
    <row r="853" spans="1:6">
      <c r="A853" s="262"/>
      <c r="B853" s="262"/>
      <c r="F853" s="262"/>
    </row>
    <row r="854" spans="1:6">
      <c r="A854" s="262"/>
      <c r="B854" s="262"/>
      <c r="F854" s="262"/>
    </row>
    <row r="855" spans="1:6">
      <c r="A855" s="262"/>
      <c r="B855" s="262"/>
      <c r="F855" s="262"/>
    </row>
    <row r="856" spans="1:6">
      <c r="A856" s="262"/>
      <c r="B856" s="262"/>
      <c r="F856" s="262"/>
    </row>
    <row r="857" spans="1:6">
      <c r="A857" s="262"/>
      <c r="B857" s="262"/>
      <c r="F857" s="262"/>
    </row>
    <row r="858" spans="1:6">
      <c r="A858" s="262"/>
      <c r="B858" s="262"/>
      <c r="F858" s="262"/>
    </row>
    <row r="859" spans="1:6">
      <c r="A859" s="262"/>
      <c r="B859" s="262"/>
      <c r="F859" s="262"/>
    </row>
    <row r="860" spans="1:6">
      <c r="A860" s="262"/>
      <c r="B860" s="262"/>
      <c r="F860" s="262"/>
    </row>
    <row r="861" spans="1:6">
      <c r="A861" s="262"/>
      <c r="B861" s="262"/>
      <c r="F861" s="262"/>
    </row>
    <row r="862" spans="1:6">
      <c r="A862" s="262"/>
      <c r="B862" s="262"/>
      <c r="F862" s="262"/>
    </row>
    <row r="863" spans="1:6">
      <c r="A863" s="262"/>
      <c r="B863" s="262"/>
      <c r="F863" s="262"/>
    </row>
    <row r="864" spans="1:6">
      <c r="A864" s="262"/>
      <c r="B864" s="262"/>
      <c r="F864" s="262"/>
    </row>
    <row r="865" spans="1:6">
      <c r="A865" s="262"/>
      <c r="B865" s="262"/>
      <c r="F865" s="262"/>
    </row>
    <row r="866" spans="1:6">
      <c r="A866" s="262"/>
      <c r="B866" s="262"/>
      <c r="F866" s="262"/>
    </row>
    <row r="867" spans="1:6">
      <c r="A867" s="262"/>
      <c r="B867" s="262"/>
      <c r="F867" s="262"/>
    </row>
    <row r="868" spans="1:6">
      <c r="A868" s="262"/>
      <c r="B868" s="262"/>
      <c r="F868" s="262"/>
    </row>
    <row r="869" spans="1:6">
      <c r="A869" s="262"/>
      <c r="B869" s="262"/>
      <c r="F869" s="262"/>
    </row>
    <row r="870" spans="1:6">
      <c r="A870" s="262"/>
      <c r="B870" s="262"/>
      <c r="F870" s="262"/>
    </row>
    <row r="871" spans="1:6">
      <c r="A871" s="262"/>
      <c r="B871" s="262"/>
      <c r="F871" s="262"/>
    </row>
    <row r="872" spans="1:6">
      <c r="A872" s="262"/>
      <c r="B872" s="262"/>
      <c r="F872" s="262"/>
    </row>
    <row r="873" spans="1:6">
      <c r="A873" s="262"/>
      <c r="B873" s="262"/>
      <c r="F873" s="262"/>
    </row>
    <row r="874" spans="1:6">
      <c r="A874" s="262"/>
      <c r="B874" s="262"/>
      <c r="F874" s="262"/>
    </row>
    <row r="875" spans="1:6">
      <c r="A875" s="262"/>
      <c r="B875" s="262"/>
      <c r="F875" s="262"/>
    </row>
    <row r="876" spans="1:6">
      <c r="A876" s="262"/>
      <c r="B876" s="262"/>
      <c r="F876" s="262"/>
    </row>
    <row r="877" spans="1:6">
      <c r="A877" s="262"/>
      <c r="B877" s="262"/>
      <c r="F877" s="262"/>
    </row>
    <row r="878" spans="1:6">
      <c r="A878" s="262"/>
      <c r="B878" s="262"/>
      <c r="F878" s="262"/>
    </row>
    <row r="879" spans="1:6">
      <c r="A879" s="262"/>
      <c r="B879" s="262"/>
      <c r="F879" s="262"/>
    </row>
    <row r="880" spans="1:6">
      <c r="A880" s="262"/>
      <c r="B880" s="262"/>
      <c r="F880" s="262"/>
    </row>
    <row r="881" spans="1:6">
      <c r="A881" s="262"/>
      <c r="B881" s="262"/>
      <c r="F881" s="262"/>
    </row>
    <row r="882" spans="1:6">
      <c r="A882" s="262"/>
      <c r="B882" s="262"/>
      <c r="F882" s="262"/>
    </row>
    <row r="883" spans="1:6">
      <c r="A883" s="262"/>
      <c r="B883" s="262"/>
      <c r="F883" s="262"/>
    </row>
    <row r="884" spans="1:6">
      <c r="A884" s="262"/>
      <c r="B884" s="262"/>
      <c r="F884" s="262"/>
    </row>
    <row r="885" spans="1:6">
      <c r="A885" s="262"/>
      <c r="B885" s="262"/>
      <c r="F885" s="262"/>
    </row>
    <row r="886" spans="1:6">
      <c r="A886" s="262"/>
      <c r="B886" s="262"/>
      <c r="F886" s="262"/>
    </row>
    <row r="887" spans="1:6">
      <c r="A887" s="262"/>
      <c r="B887" s="262"/>
      <c r="F887" s="262"/>
    </row>
    <row r="888" spans="1:6">
      <c r="A888" s="262"/>
      <c r="B888" s="262"/>
      <c r="F888" s="262"/>
    </row>
    <row r="889" spans="1:6">
      <c r="A889" s="262"/>
      <c r="B889" s="262"/>
      <c r="F889" s="262"/>
    </row>
    <row r="890" spans="1:6">
      <c r="A890" s="262"/>
      <c r="B890" s="262"/>
      <c r="F890" s="262"/>
    </row>
    <row r="891" spans="1:6">
      <c r="A891" s="262"/>
      <c r="B891" s="262"/>
      <c r="F891" s="262"/>
    </row>
    <row r="892" spans="1:6">
      <c r="A892" s="262"/>
      <c r="B892" s="262"/>
      <c r="F892" s="262"/>
    </row>
    <row r="893" spans="1:6">
      <c r="A893" s="262"/>
      <c r="B893" s="262"/>
      <c r="F893" s="262"/>
    </row>
    <row r="894" spans="1:6">
      <c r="A894" s="262"/>
      <c r="B894" s="262"/>
      <c r="F894" s="262"/>
    </row>
    <row r="895" spans="1:6">
      <c r="A895" s="262"/>
      <c r="B895" s="262"/>
      <c r="F895" s="262"/>
    </row>
    <row r="896" spans="1:6">
      <c r="A896" s="262"/>
      <c r="B896" s="262"/>
      <c r="F896" s="262"/>
    </row>
    <row r="897" spans="1:6">
      <c r="A897" s="262"/>
      <c r="B897" s="262"/>
      <c r="F897" s="262"/>
    </row>
    <row r="898" spans="1:6">
      <c r="A898" s="262"/>
      <c r="B898" s="262"/>
      <c r="F898" s="262"/>
    </row>
    <row r="899" spans="1:6">
      <c r="A899" s="262"/>
      <c r="B899" s="262"/>
      <c r="F899" s="262"/>
    </row>
    <row r="900" spans="1:6">
      <c r="A900" s="262"/>
      <c r="B900" s="262"/>
      <c r="F900" s="262"/>
    </row>
    <row r="901" spans="1:6">
      <c r="A901" s="262"/>
      <c r="B901" s="262"/>
      <c r="F901" s="262"/>
    </row>
    <row r="902" spans="1:6">
      <c r="A902" s="262"/>
      <c r="B902" s="262"/>
      <c r="F902" s="262"/>
    </row>
    <row r="903" spans="1:6">
      <c r="A903" s="262"/>
      <c r="B903" s="262"/>
      <c r="F903" s="262"/>
    </row>
    <row r="904" spans="1:6">
      <c r="A904" s="262"/>
      <c r="B904" s="262"/>
      <c r="F904" s="262"/>
    </row>
    <row r="905" spans="1:6">
      <c r="A905" s="262"/>
      <c r="B905" s="262"/>
      <c r="F905" s="262"/>
    </row>
    <row r="906" spans="1:6">
      <c r="A906" s="262"/>
      <c r="B906" s="262"/>
      <c r="F906" s="262"/>
    </row>
    <row r="907" spans="1:6">
      <c r="A907" s="262"/>
      <c r="B907" s="262"/>
      <c r="F907" s="262"/>
    </row>
    <row r="908" spans="1:6">
      <c r="A908" s="262"/>
      <c r="B908" s="262"/>
      <c r="F908" s="262"/>
    </row>
    <row r="909" spans="1:6">
      <c r="A909" s="262"/>
      <c r="B909" s="262"/>
      <c r="F909" s="262"/>
    </row>
    <row r="910" spans="1:6">
      <c r="A910" s="262"/>
      <c r="B910" s="262"/>
      <c r="F910" s="262"/>
    </row>
    <row r="911" spans="1:6">
      <c r="A911" s="262"/>
      <c r="B911" s="262"/>
      <c r="F911" s="262"/>
    </row>
    <row r="912" spans="1:6">
      <c r="A912" s="262"/>
      <c r="B912" s="262"/>
      <c r="F912" s="262"/>
    </row>
    <row r="913" spans="1:6">
      <c r="A913" s="262"/>
      <c r="B913" s="262"/>
      <c r="F913" s="262"/>
    </row>
    <row r="914" spans="1:6">
      <c r="A914" s="262"/>
      <c r="B914" s="262"/>
      <c r="F914" s="262"/>
    </row>
    <row r="915" spans="1:6">
      <c r="A915" s="262"/>
      <c r="B915" s="262"/>
      <c r="F915" s="262"/>
    </row>
    <row r="916" spans="1:6">
      <c r="A916" s="262"/>
      <c r="B916" s="262"/>
      <c r="F916" s="262"/>
    </row>
    <row r="917" spans="1:6">
      <c r="A917" s="262"/>
      <c r="B917" s="262"/>
      <c r="F917" s="262"/>
    </row>
    <row r="918" spans="1:6">
      <c r="A918" s="262"/>
      <c r="B918" s="262"/>
      <c r="F918" s="262"/>
    </row>
    <row r="919" spans="1:6">
      <c r="A919" s="262"/>
      <c r="B919" s="262"/>
      <c r="F919" s="262"/>
    </row>
    <row r="920" spans="1:6">
      <c r="A920" s="262"/>
      <c r="B920" s="262"/>
      <c r="F920" s="262"/>
    </row>
    <row r="921" spans="1:6">
      <c r="A921" s="262"/>
      <c r="B921" s="262"/>
      <c r="F921" s="262"/>
    </row>
    <row r="922" spans="1:6">
      <c r="A922" s="262"/>
      <c r="B922" s="262"/>
      <c r="F922" s="262"/>
    </row>
    <row r="923" spans="1:6">
      <c r="A923" s="262"/>
      <c r="B923" s="262"/>
      <c r="F923" s="262"/>
    </row>
    <row r="924" spans="1:6">
      <c r="A924" s="262"/>
      <c r="B924" s="262"/>
      <c r="F924" s="262"/>
    </row>
    <row r="925" spans="1:6">
      <c r="A925" s="262"/>
      <c r="B925" s="262"/>
      <c r="F925" s="262"/>
    </row>
    <row r="926" spans="1:6">
      <c r="A926" s="262"/>
      <c r="B926" s="262"/>
      <c r="F926" s="262"/>
    </row>
    <row r="927" spans="1:6">
      <c r="A927" s="262"/>
      <c r="B927" s="262"/>
      <c r="F927" s="262"/>
    </row>
    <row r="928" spans="1:6">
      <c r="A928" s="262"/>
      <c r="B928" s="262"/>
      <c r="F928" s="262"/>
    </row>
    <row r="929" spans="1:6">
      <c r="A929" s="262"/>
      <c r="B929" s="262"/>
      <c r="F929" s="262"/>
    </row>
    <row r="930" spans="1:6">
      <c r="A930" s="262"/>
      <c r="B930" s="262"/>
      <c r="F930" s="262"/>
    </row>
    <row r="931" spans="1:6">
      <c r="A931" s="262"/>
      <c r="B931" s="262"/>
      <c r="F931" s="262"/>
    </row>
    <row r="932" spans="1:6">
      <c r="A932" s="262"/>
      <c r="B932" s="262"/>
      <c r="F932" s="262"/>
    </row>
    <row r="933" spans="1:6">
      <c r="A933" s="262"/>
      <c r="B933" s="262"/>
      <c r="F933" s="262"/>
    </row>
    <row r="934" spans="1:6">
      <c r="A934" s="262"/>
      <c r="B934" s="262"/>
      <c r="F934" s="262"/>
    </row>
    <row r="935" spans="1:6">
      <c r="A935" s="262"/>
      <c r="B935" s="262"/>
      <c r="F935" s="262"/>
    </row>
    <row r="936" spans="1:6">
      <c r="A936" s="262"/>
      <c r="B936" s="262"/>
      <c r="F936" s="262"/>
    </row>
    <row r="937" spans="1:6">
      <c r="A937" s="262"/>
      <c r="B937" s="262"/>
      <c r="F937" s="262"/>
    </row>
    <row r="938" spans="1:6">
      <c r="A938" s="262"/>
      <c r="B938" s="262"/>
      <c r="F938" s="262"/>
    </row>
    <row r="939" spans="1:6">
      <c r="A939" s="262"/>
      <c r="B939" s="262"/>
      <c r="F939" s="262"/>
    </row>
    <row r="940" spans="1:6">
      <c r="A940" s="262"/>
      <c r="B940" s="262"/>
      <c r="F940" s="262"/>
    </row>
    <row r="941" spans="1:6">
      <c r="A941" s="262"/>
      <c r="B941" s="262"/>
      <c r="F941" s="262"/>
    </row>
    <row r="942" spans="1:6">
      <c r="A942" s="262"/>
      <c r="B942" s="262"/>
      <c r="F942" s="262"/>
    </row>
    <row r="943" spans="1:6">
      <c r="A943" s="262"/>
      <c r="B943" s="262"/>
      <c r="F943" s="262"/>
    </row>
    <row r="944" spans="1:6">
      <c r="A944" s="262"/>
      <c r="B944" s="262"/>
      <c r="F944" s="262"/>
    </row>
    <row r="945" spans="1:6">
      <c r="A945" s="262"/>
      <c r="B945" s="262"/>
      <c r="F945" s="262"/>
    </row>
    <row r="946" spans="1:6">
      <c r="A946" s="262"/>
      <c r="B946" s="262"/>
      <c r="F946" s="262"/>
    </row>
    <row r="947" spans="1:6">
      <c r="A947" s="262"/>
      <c r="B947" s="262"/>
      <c r="F947" s="262"/>
    </row>
    <row r="948" spans="1:6">
      <c r="A948" s="262"/>
      <c r="B948" s="262"/>
      <c r="F948" s="262"/>
    </row>
    <row r="949" spans="1:6">
      <c r="A949" s="262"/>
      <c r="B949" s="262"/>
      <c r="F949" s="262"/>
    </row>
    <row r="950" spans="1:6">
      <c r="A950" s="262"/>
      <c r="B950" s="262"/>
      <c r="F950" s="262"/>
    </row>
    <row r="951" spans="1:6">
      <c r="A951" s="262"/>
      <c r="B951" s="262"/>
      <c r="F951" s="262"/>
    </row>
    <row r="952" spans="1:6">
      <c r="A952" s="262"/>
      <c r="B952" s="262"/>
      <c r="F952" s="262"/>
    </row>
    <row r="953" spans="1:6">
      <c r="A953" s="262"/>
      <c r="B953" s="262"/>
      <c r="F953" s="262"/>
    </row>
    <row r="954" spans="1:6">
      <c r="A954" s="262"/>
      <c r="B954" s="262"/>
      <c r="F954" s="262"/>
    </row>
    <row r="955" spans="1:6">
      <c r="A955" s="262"/>
      <c r="B955" s="262"/>
      <c r="F955" s="262"/>
    </row>
    <row r="956" spans="1:6">
      <c r="A956" s="262"/>
      <c r="B956" s="262"/>
      <c r="F956" s="262"/>
    </row>
    <row r="957" spans="1:6">
      <c r="A957" s="262"/>
      <c r="B957" s="262"/>
      <c r="F957" s="262"/>
    </row>
    <row r="958" spans="1:6">
      <c r="A958" s="262"/>
      <c r="B958" s="262"/>
      <c r="F958" s="262"/>
    </row>
    <row r="959" spans="1:6">
      <c r="A959" s="262"/>
      <c r="B959" s="262"/>
      <c r="F959" s="262"/>
    </row>
    <row r="960" spans="1:6">
      <c r="A960" s="262"/>
      <c r="B960" s="262"/>
      <c r="F960" s="262"/>
    </row>
    <row r="961" spans="1:6">
      <c r="A961" s="262"/>
      <c r="B961" s="262"/>
      <c r="F961" s="262"/>
    </row>
    <row r="962" spans="1:6">
      <c r="A962" s="262"/>
      <c r="B962" s="262"/>
      <c r="F962" s="262"/>
    </row>
    <row r="963" spans="1:6">
      <c r="A963" s="262"/>
      <c r="B963" s="262"/>
      <c r="F963" s="262"/>
    </row>
    <row r="964" spans="1:6">
      <c r="A964" s="262"/>
      <c r="B964" s="262"/>
      <c r="F964" s="262"/>
    </row>
    <row r="965" spans="1:6">
      <c r="A965" s="262"/>
      <c r="B965" s="262"/>
      <c r="F965" s="262"/>
    </row>
    <row r="966" spans="1:6">
      <c r="A966" s="262"/>
      <c r="B966" s="262"/>
      <c r="F966" s="262"/>
    </row>
    <row r="967" spans="1:6">
      <c r="A967" s="262"/>
      <c r="B967" s="262"/>
      <c r="F967" s="262"/>
    </row>
    <row r="968" spans="1:6">
      <c r="A968" s="262"/>
      <c r="B968" s="262"/>
      <c r="F968" s="262"/>
    </row>
    <row r="969" spans="1:6">
      <c r="A969" s="262"/>
      <c r="B969" s="262"/>
      <c r="F969" s="262"/>
    </row>
    <row r="970" spans="1:6">
      <c r="A970" s="262"/>
      <c r="B970" s="262"/>
      <c r="F970" s="262"/>
    </row>
    <row r="971" spans="1:6">
      <c r="A971" s="262"/>
      <c r="B971" s="262"/>
      <c r="F971" s="262"/>
    </row>
    <row r="972" spans="1:6">
      <c r="A972" s="262"/>
      <c r="B972" s="262"/>
      <c r="F972" s="262"/>
    </row>
    <row r="973" spans="1:6">
      <c r="A973" s="262"/>
      <c r="B973" s="262"/>
      <c r="F973" s="262"/>
    </row>
    <row r="974" spans="1:6">
      <c r="A974" s="262"/>
      <c r="B974" s="262"/>
      <c r="F974" s="262"/>
    </row>
    <row r="975" spans="1:6">
      <c r="A975" s="262"/>
      <c r="B975" s="262"/>
      <c r="F975" s="262"/>
    </row>
    <row r="976" spans="1:6">
      <c r="A976" s="262"/>
      <c r="B976" s="262"/>
      <c r="F976" s="262"/>
    </row>
    <row r="977" spans="1:6">
      <c r="A977" s="262"/>
      <c r="B977" s="262"/>
      <c r="F977" s="262"/>
    </row>
    <row r="978" spans="1:6">
      <c r="A978" s="262"/>
      <c r="B978" s="262"/>
      <c r="F978" s="262"/>
    </row>
    <row r="979" spans="1:6">
      <c r="A979" s="262"/>
      <c r="B979" s="262"/>
      <c r="F979" s="262"/>
    </row>
    <row r="980" spans="1:6">
      <c r="A980" s="262"/>
      <c r="B980" s="262"/>
      <c r="F980" s="262"/>
    </row>
    <row r="981" spans="1:6">
      <c r="A981" s="262"/>
      <c r="B981" s="262"/>
      <c r="F981" s="262"/>
    </row>
    <row r="982" spans="1:6">
      <c r="A982" s="262"/>
      <c r="B982" s="262"/>
      <c r="F982" s="262"/>
    </row>
    <row r="983" spans="1:6">
      <c r="A983" s="262"/>
      <c r="B983" s="262"/>
      <c r="F983" s="262"/>
    </row>
    <row r="984" spans="1:6">
      <c r="A984" s="262"/>
      <c r="B984" s="262"/>
      <c r="F984" s="262"/>
    </row>
    <row r="985" spans="1:6">
      <c r="A985" s="262"/>
      <c r="B985" s="262"/>
      <c r="F985" s="262"/>
    </row>
    <row r="986" spans="1:6">
      <c r="A986" s="262"/>
      <c r="B986" s="262"/>
      <c r="F986" s="262"/>
    </row>
    <row r="987" spans="1:6">
      <c r="A987" s="262"/>
      <c r="B987" s="262"/>
      <c r="F987" s="262"/>
    </row>
    <row r="988" spans="1:6">
      <c r="A988" s="262"/>
      <c r="B988" s="262"/>
      <c r="F988" s="262"/>
    </row>
    <row r="989" spans="1:6">
      <c r="A989" s="262"/>
      <c r="B989" s="262"/>
      <c r="F989" s="262"/>
    </row>
    <row r="990" spans="1:6">
      <c r="A990" s="262"/>
      <c r="B990" s="262"/>
      <c r="F990" s="262"/>
    </row>
    <row r="991" spans="1:6">
      <c r="A991" s="262"/>
      <c r="B991" s="262"/>
      <c r="F991" s="262"/>
    </row>
    <row r="992" spans="1:6">
      <c r="A992" s="262"/>
      <c r="B992" s="262"/>
      <c r="F992" s="262"/>
    </row>
    <row r="993" spans="1:6">
      <c r="A993" s="262"/>
      <c r="B993" s="262"/>
      <c r="F993" s="262"/>
    </row>
  </sheetData>
  <mergeCells count="7">
    <mergeCell ref="B26:F26"/>
    <mergeCell ref="B50:F50"/>
    <mergeCell ref="B3:F3"/>
    <mergeCell ref="B9:F9"/>
    <mergeCell ref="B15:F15"/>
    <mergeCell ref="B17:F17"/>
    <mergeCell ref="B25:F2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1001"/>
  <sheetViews>
    <sheetView workbookViewId="0"/>
  </sheetViews>
  <sheetFormatPr baseColWidth="10" defaultColWidth="14.3984375" defaultRowHeight="15" customHeight="1"/>
  <cols>
    <col min="1" max="2" width="11.19921875" customWidth="1"/>
    <col min="3" max="3" width="15.59765625" customWidth="1"/>
    <col min="4" max="4" width="43.59765625" customWidth="1"/>
    <col min="5" max="5" width="14.59765625" customWidth="1"/>
    <col min="6" max="6" width="14.19921875" customWidth="1"/>
  </cols>
  <sheetData>
    <row r="1" spans="1:6">
      <c r="A1" s="262"/>
      <c r="B1" s="501" t="s">
        <v>224</v>
      </c>
      <c r="C1" s="421"/>
      <c r="D1" s="421"/>
      <c r="E1" s="421"/>
      <c r="F1" s="421"/>
    </row>
    <row r="2" spans="1:6">
      <c r="A2" s="262"/>
      <c r="B2" s="264" t="s">
        <v>225</v>
      </c>
      <c r="C2" s="265" t="s">
        <v>226</v>
      </c>
      <c r="D2" s="265" t="s">
        <v>227</v>
      </c>
      <c r="E2" s="265" t="s">
        <v>228</v>
      </c>
      <c r="F2" s="264" t="s">
        <v>229</v>
      </c>
    </row>
    <row r="3" spans="1:6">
      <c r="A3" s="262"/>
      <c r="B3" s="497" t="s">
        <v>352</v>
      </c>
      <c r="C3" s="421"/>
      <c r="D3" s="421"/>
      <c r="E3" s="421"/>
      <c r="F3" s="421"/>
    </row>
    <row r="4" spans="1:6">
      <c r="A4" s="262"/>
      <c r="B4" s="262" t="s">
        <v>74</v>
      </c>
      <c r="C4" s="99" t="s">
        <v>231</v>
      </c>
      <c r="D4" s="99" t="s">
        <v>232</v>
      </c>
      <c r="E4" s="99">
        <v>3</v>
      </c>
      <c r="F4" s="262" t="s">
        <v>233</v>
      </c>
    </row>
    <row r="5" spans="1:6">
      <c r="A5" s="262"/>
      <c r="B5" s="262" t="s">
        <v>234</v>
      </c>
      <c r="C5" s="99" t="s">
        <v>235</v>
      </c>
      <c r="D5" s="99" t="s">
        <v>236</v>
      </c>
      <c r="E5" s="99">
        <v>3</v>
      </c>
      <c r="F5" s="262" t="s">
        <v>233</v>
      </c>
    </row>
    <row r="6" spans="1:6">
      <c r="A6" s="262"/>
      <c r="B6" s="262" t="s">
        <v>93</v>
      </c>
      <c r="C6" s="99" t="s">
        <v>237</v>
      </c>
      <c r="D6" s="99" t="s">
        <v>238</v>
      </c>
      <c r="E6" s="99">
        <v>3</v>
      </c>
      <c r="F6" s="262" t="s">
        <v>233</v>
      </c>
    </row>
    <row r="7" spans="1:6">
      <c r="A7" s="262"/>
      <c r="B7" s="262" t="s">
        <v>239</v>
      </c>
      <c r="C7" s="99" t="s">
        <v>240</v>
      </c>
      <c r="D7" s="99" t="s">
        <v>241</v>
      </c>
      <c r="E7" s="99">
        <v>3</v>
      </c>
      <c r="F7" s="262" t="s">
        <v>233</v>
      </c>
    </row>
    <row r="8" spans="1:6">
      <c r="A8" s="262"/>
      <c r="B8" s="498" t="s">
        <v>353</v>
      </c>
      <c r="C8" s="421"/>
      <c r="D8" s="421"/>
      <c r="E8" s="421"/>
      <c r="F8" s="421"/>
    </row>
    <row r="9" spans="1:6">
      <c r="A9" s="262"/>
      <c r="B9" s="262" t="s">
        <v>71</v>
      </c>
      <c r="C9" s="99" t="s">
        <v>245</v>
      </c>
      <c r="D9" s="99" t="s">
        <v>246</v>
      </c>
      <c r="E9" s="99">
        <v>3</v>
      </c>
      <c r="F9" s="262" t="s">
        <v>233</v>
      </c>
    </row>
    <row r="10" spans="1:6">
      <c r="A10" s="262"/>
      <c r="B10" s="262" t="s">
        <v>354</v>
      </c>
      <c r="C10" s="99" t="s">
        <v>355</v>
      </c>
      <c r="D10" s="99" t="s">
        <v>356</v>
      </c>
      <c r="E10" s="99">
        <v>3</v>
      </c>
      <c r="F10" s="262" t="s">
        <v>233</v>
      </c>
    </row>
    <row r="11" spans="1:6">
      <c r="A11" s="262"/>
      <c r="B11" s="262" t="s">
        <v>357</v>
      </c>
      <c r="C11" s="99" t="s">
        <v>358</v>
      </c>
      <c r="D11" s="99" t="s">
        <v>359</v>
      </c>
      <c r="E11" s="99">
        <v>3</v>
      </c>
      <c r="F11" s="262" t="s">
        <v>233</v>
      </c>
    </row>
    <row r="12" spans="1:6">
      <c r="A12" s="262"/>
      <c r="B12" s="262" t="s">
        <v>360</v>
      </c>
      <c r="C12" s="99" t="s">
        <v>361</v>
      </c>
      <c r="D12" s="99" t="s">
        <v>362</v>
      </c>
      <c r="E12" s="99">
        <v>3</v>
      </c>
      <c r="F12" s="262" t="s">
        <v>233</v>
      </c>
    </row>
    <row r="13" spans="1:6">
      <c r="A13" s="262"/>
      <c r="B13" s="262" t="s">
        <v>363</v>
      </c>
      <c r="C13" s="99" t="s">
        <v>364</v>
      </c>
      <c r="D13" s="99" t="s">
        <v>365</v>
      </c>
      <c r="E13" s="99">
        <v>3</v>
      </c>
      <c r="F13" s="262" t="s">
        <v>233</v>
      </c>
    </row>
    <row r="14" spans="1:6">
      <c r="A14" s="262"/>
      <c r="B14" s="262" t="s">
        <v>366</v>
      </c>
      <c r="C14" s="99" t="s">
        <v>367</v>
      </c>
      <c r="D14" s="99" t="s">
        <v>368</v>
      </c>
      <c r="E14" s="99">
        <v>3</v>
      </c>
      <c r="F14" s="262" t="s">
        <v>233</v>
      </c>
    </row>
    <row r="15" spans="1:6">
      <c r="A15" s="262"/>
      <c r="B15" s="262" t="s">
        <v>369</v>
      </c>
      <c r="C15" s="99" t="s">
        <v>370</v>
      </c>
      <c r="D15" s="99" t="s">
        <v>371</v>
      </c>
      <c r="E15" s="99">
        <v>3</v>
      </c>
      <c r="F15" s="262" t="s">
        <v>233</v>
      </c>
    </row>
    <row r="16" spans="1:6">
      <c r="A16" s="262"/>
      <c r="B16" s="499"/>
      <c r="C16" s="421"/>
      <c r="D16" s="421"/>
      <c r="E16" s="421"/>
      <c r="F16" s="421"/>
    </row>
    <row r="17" spans="1:6">
      <c r="A17" s="262"/>
      <c r="B17" s="262" t="s">
        <v>372</v>
      </c>
      <c r="D17" s="99" t="s">
        <v>373</v>
      </c>
      <c r="E17" s="99">
        <v>3</v>
      </c>
      <c r="F17" s="262" t="s">
        <v>233</v>
      </c>
    </row>
    <row r="18" spans="1:6">
      <c r="A18" s="262"/>
      <c r="B18" s="262" t="s">
        <v>374</v>
      </c>
      <c r="D18" s="99" t="s">
        <v>375</v>
      </c>
      <c r="E18" s="99">
        <v>3</v>
      </c>
      <c r="F18" s="262" t="s">
        <v>233</v>
      </c>
    </row>
    <row r="19" spans="1:6">
      <c r="A19" s="262"/>
      <c r="B19" s="262" t="s">
        <v>73</v>
      </c>
      <c r="D19" s="99" t="s">
        <v>270</v>
      </c>
      <c r="E19" s="99">
        <v>3</v>
      </c>
      <c r="F19" s="262" t="s">
        <v>233</v>
      </c>
    </row>
    <row r="20" spans="1:6">
      <c r="A20" s="262"/>
      <c r="B20" s="262" t="s">
        <v>376</v>
      </c>
      <c r="D20" s="99" t="s">
        <v>377</v>
      </c>
      <c r="E20" s="99">
        <v>3</v>
      </c>
      <c r="F20" s="262" t="s">
        <v>233</v>
      </c>
    </row>
    <row r="21" spans="1:6">
      <c r="A21" s="262"/>
      <c r="B21" s="500"/>
      <c r="C21" s="421"/>
      <c r="D21" s="421"/>
      <c r="E21" s="421"/>
      <c r="F21" s="421"/>
    </row>
    <row r="22" spans="1:6">
      <c r="A22" s="262"/>
      <c r="B22" s="262" t="s">
        <v>378</v>
      </c>
      <c r="D22" s="99" t="s">
        <v>379</v>
      </c>
      <c r="E22" s="99">
        <v>1</v>
      </c>
      <c r="F22" s="262" t="s">
        <v>380</v>
      </c>
    </row>
    <row r="23" spans="1:6">
      <c r="A23" s="262"/>
      <c r="B23" s="262" t="s">
        <v>381</v>
      </c>
      <c r="D23" s="99" t="s">
        <v>382</v>
      </c>
      <c r="E23" s="99">
        <v>1</v>
      </c>
      <c r="F23" s="262" t="s">
        <v>380</v>
      </c>
    </row>
    <row r="24" spans="1:6">
      <c r="A24" s="262"/>
      <c r="B24" s="262" t="s">
        <v>383</v>
      </c>
      <c r="D24" s="99" t="s">
        <v>384</v>
      </c>
      <c r="F24" s="262"/>
    </row>
    <row r="25" spans="1:6">
      <c r="A25" s="262"/>
      <c r="B25" s="262" t="s">
        <v>385</v>
      </c>
      <c r="D25" s="99" t="s">
        <v>386</v>
      </c>
      <c r="F25" s="262"/>
    </row>
    <row r="26" spans="1:6">
      <c r="A26" s="262"/>
      <c r="B26" s="262" t="s">
        <v>387</v>
      </c>
      <c r="D26" s="99" t="s">
        <v>388</v>
      </c>
      <c r="F26" s="262"/>
    </row>
    <row r="27" spans="1:6">
      <c r="A27" s="262"/>
      <c r="B27" s="262" t="s">
        <v>389</v>
      </c>
      <c r="D27" s="99" t="s">
        <v>390</v>
      </c>
      <c r="F27" s="262"/>
    </row>
    <row r="28" spans="1:6">
      <c r="A28" s="262"/>
      <c r="B28" s="262" t="s">
        <v>391</v>
      </c>
      <c r="D28" s="99" t="s">
        <v>392</v>
      </c>
      <c r="F28" s="262"/>
    </row>
    <row r="29" spans="1:6">
      <c r="A29" s="262"/>
      <c r="B29" s="262" t="s">
        <v>393</v>
      </c>
      <c r="D29" s="99" t="s">
        <v>394</v>
      </c>
      <c r="F29" s="262"/>
    </row>
    <row r="30" spans="1:6">
      <c r="A30" s="262"/>
      <c r="B30" s="262" t="s">
        <v>395</v>
      </c>
      <c r="D30" s="99" t="s">
        <v>396</v>
      </c>
      <c r="F30" s="262"/>
    </row>
    <row r="31" spans="1:6">
      <c r="A31" s="262"/>
      <c r="B31" s="262" t="s">
        <v>397</v>
      </c>
      <c r="D31" s="99" t="s">
        <v>398</v>
      </c>
      <c r="F31" s="262"/>
    </row>
    <row r="32" spans="1:6">
      <c r="A32" s="262"/>
      <c r="B32" s="262" t="s">
        <v>399</v>
      </c>
      <c r="D32" s="99" t="s">
        <v>400</v>
      </c>
      <c r="F32" s="262"/>
    </row>
    <row r="33" spans="1:6">
      <c r="A33" s="262"/>
      <c r="B33" s="262" t="s">
        <v>401</v>
      </c>
      <c r="D33" s="99" t="s">
        <v>402</v>
      </c>
      <c r="F33" s="262"/>
    </row>
    <row r="34" spans="1:6">
      <c r="A34" s="262"/>
      <c r="B34" s="496" t="s">
        <v>271</v>
      </c>
      <c r="C34" s="421"/>
      <c r="D34" s="421"/>
      <c r="E34" s="421"/>
      <c r="F34" s="421"/>
    </row>
    <row r="35" spans="1:6">
      <c r="A35" s="262"/>
      <c r="B35" s="496" t="s">
        <v>272</v>
      </c>
      <c r="C35" s="421"/>
      <c r="D35" s="421"/>
      <c r="E35" s="421"/>
      <c r="F35" s="421"/>
    </row>
    <row r="36" spans="1:6">
      <c r="A36" s="262"/>
      <c r="B36" s="262" t="s">
        <v>273</v>
      </c>
      <c r="D36" s="99" t="s">
        <v>274</v>
      </c>
      <c r="E36" s="99">
        <v>2</v>
      </c>
      <c r="F36" s="262" t="s">
        <v>275</v>
      </c>
    </row>
    <row r="37" spans="1:6">
      <c r="A37" s="262"/>
      <c r="B37" s="262" t="s">
        <v>276</v>
      </c>
      <c r="D37" s="99" t="s">
        <v>277</v>
      </c>
      <c r="E37" s="99">
        <v>2</v>
      </c>
      <c r="F37" s="262" t="s">
        <v>275</v>
      </c>
    </row>
    <row r="38" spans="1:6">
      <c r="A38" s="262"/>
      <c r="B38" s="262" t="s">
        <v>94</v>
      </c>
      <c r="D38" s="99" t="s">
        <v>278</v>
      </c>
      <c r="E38" s="99">
        <v>2</v>
      </c>
      <c r="F38" s="262" t="s">
        <v>279</v>
      </c>
    </row>
    <row r="39" spans="1:6">
      <c r="A39" s="262"/>
      <c r="B39" s="262" t="s">
        <v>280</v>
      </c>
      <c r="D39" s="99" t="s">
        <v>281</v>
      </c>
      <c r="E39" s="99">
        <v>2</v>
      </c>
      <c r="F39" s="262" t="s">
        <v>275</v>
      </c>
    </row>
    <row r="40" spans="1:6">
      <c r="A40" s="262"/>
      <c r="B40" s="262" t="s">
        <v>68</v>
      </c>
      <c r="D40" s="99" t="s">
        <v>282</v>
      </c>
      <c r="E40" s="99">
        <v>3</v>
      </c>
      <c r="F40" s="262" t="s">
        <v>283</v>
      </c>
    </row>
    <row r="41" spans="1:6">
      <c r="A41" s="262"/>
      <c r="B41" s="262" t="s">
        <v>284</v>
      </c>
      <c r="D41" s="99" t="s">
        <v>285</v>
      </c>
      <c r="E41" s="99">
        <v>3</v>
      </c>
      <c r="F41" s="262" t="s">
        <v>283</v>
      </c>
    </row>
    <row r="42" spans="1:6">
      <c r="A42" s="262"/>
      <c r="B42" s="496" t="s">
        <v>286</v>
      </c>
      <c r="C42" s="421"/>
      <c r="D42" s="421"/>
      <c r="E42" s="421"/>
      <c r="F42" s="421"/>
    </row>
    <row r="43" spans="1:6">
      <c r="A43" s="262"/>
      <c r="B43" s="496" t="s">
        <v>287</v>
      </c>
      <c r="C43" s="421"/>
      <c r="D43" s="421"/>
      <c r="E43" s="421"/>
      <c r="F43" s="421"/>
    </row>
    <row r="44" spans="1:6">
      <c r="A44" s="262"/>
      <c r="B44" s="262" t="s">
        <v>95</v>
      </c>
      <c r="D44" s="99" t="s">
        <v>289</v>
      </c>
      <c r="F44" s="262"/>
    </row>
    <row r="45" spans="1:6">
      <c r="A45" s="262"/>
      <c r="B45" s="262" t="s">
        <v>290</v>
      </c>
      <c r="D45" s="99" t="s">
        <v>291</v>
      </c>
      <c r="F45" s="262"/>
    </row>
    <row r="46" spans="1:6">
      <c r="A46" s="262"/>
      <c r="B46" s="262" t="s">
        <v>97</v>
      </c>
      <c r="D46" s="99" t="s">
        <v>292</v>
      </c>
      <c r="F46" s="262"/>
    </row>
    <row r="47" spans="1:6">
      <c r="A47" s="262"/>
      <c r="B47" s="262" t="s">
        <v>293</v>
      </c>
      <c r="D47" s="99" t="s">
        <v>294</v>
      </c>
      <c r="F47" s="262"/>
    </row>
    <row r="48" spans="1:6">
      <c r="A48" s="262"/>
      <c r="B48" s="262" t="s">
        <v>101</v>
      </c>
      <c r="D48" s="99" t="s">
        <v>295</v>
      </c>
      <c r="F48" s="262"/>
    </row>
    <row r="49" spans="1:6">
      <c r="A49" s="262"/>
      <c r="B49" s="262" t="s">
        <v>104</v>
      </c>
      <c r="D49" s="99" t="s">
        <v>296</v>
      </c>
      <c r="F49" s="262"/>
    </row>
    <row r="50" spans="1:6">
      <c r="A50" s="262"/>
      <c r="B50" s="262" t="s">
        <v>297</v>
      </c>
      <c r="D50" s="99" t="s">
        <v>129</v>
      </c>
      <c r="F50" s="262"/>
    </row>
    <row r="51" spans="1:6">
      <c r="A51" s="262"/>
      <c r="B51" s="262" t="s">
        <v>298</v>
      </c>
      <c r="D51" s="99" t="s">
        <v>299</v>
      </c>
      <c r="F51" s="262"/>
    </row>
    <row r="52" spans="1:6">
      <c r="A52" s="262"/>
      <c r="B52" s="262" t="s">
        <v>300</v>
      </c>
      <c r="D52" s="99" t="s">
        <v>134</v>
      </c>
      <c r="F52" s="262"/>
    </row>
    <row r="53" spans="1:6">
      <c r="A53" s="262"/>
      <c r="B53" s="262" t="s">
        <v>301</v>
      </c>
      <c r="D53" s="99" t="s">
        <v>136</v>
      </c>
      <c r="F53" s="262"/>
    </row>
    <row r="54" spans="1:6">
      <c r="A54" s="262"/>
      <c r="B54" s="262" t="s">
        <v>302</v>
      </c>
      <c r="D54" s="99" t="s">
        <v>303</v>
      </c>
      <c r="F54" s="262"/>
    </row>
    <row r="55" spans="1:6">
      <c r="A55" s="262"/>
      <c r="B55" s="262" t="s">
        <v>304</v>
      </c>
      <c r="D55" s="99" t="s">
        <v>305</v>
      </c>
      <c r="F55" s="262"/>
    </row>
    <row r="56" spans="1:6">
      <c r="A56" s="262"/>
      <c r="B56" s="262" t="s">
        <v>306</v>
      </c>
      <c r="D56" s="99" t="s">
        <v>307</v>
      </c>
      <c r="F56" s="262"/>
    </row>
    <row r="57" spans="1:6">
      <c r="A57" s="262"/>
      <c r="B57" s="262" t="s">
        <v>308</v>
      </c>
      <c r="D57" s="99" t="s">
        <v>309</v>
      </c>
      <c r="F57" s="262"/>
    </row>
    <row r="58" spans="1:6">
      <c r="A58" s="262"/>
      <c r="B58" s="496" t="s">
        <v>310</v>
      </c>
      <c r="C58" s="421"/>
      <c r="D58" s="421"/>
      <c r="E58" s="421"/>
      <c r="F58" s="421"/>
    </row>
    <row r="59" spans="1:6">
      <c r="A59" s="262"/>
      <c r="B59" s="262" t="s">
        <v>311</v>
      </c>
      <c r="D59" s="99" t="s">
        <v>312</v>
      </c>
      <c r="F59" s="262"/>
    </row>
    <row r="60" spans="1:6">
      <c r="A60" s="262"/>
      <c r="B60" s="262" t="s">
        <v>313</v>
      </c>
      <c r="D60" s="99" t="s">
        <v>314</v>
      </c>
      <c r="F60" s="262"/>
    </row>
    <row r="61" spans="1:6">
      <c r="A61" s="262"/>
      <c r="B61" s="262" t="s">
        <v>315</v>
      </c>
      <c r="D61" s="99" t="s">
        <v>316</v>
      </c>
      <c r="F61" s="262"/>
    </row>
    <row r="62" spans="1:6">
      <c r="A62" s="262"/>
      <c r="B62" s="262" t="s">
        <v>317</v>
      </c>
      <c r="D62" s="99" t="s">
        <v>318</v>
      </c>
      <c r="F62" s="262"/>
    </row>
    <row r="63" spans="1:6">
      <c r="A63" s="262"/>
      <c r="B63" s="262" t="s">
        <v>319</v>
      </c>
      <c r="D63" s="99" t="s">
        <v>320</v>
      </c>
      <c r="F63" s="262"/>
    </row>
    <row r="64" spans="1:6">
      <c r="A64" s="262"/>
      <c r="B64" s="262" t="s">
        <v>321</v>
      </c>
      <c r="D64" s="99" t="s">
        <v>322</v>
      </c>
      <c r="F64" s="262"/>
    </row>
    <row r="65" spans="1:6">
      <c r="A65" s="262"/>
      <c r="B65" s="262" t="s">
        <v>108</v>
      </c>
      <c r="D65" s="99" t="s">
        <v>323</v>
      </c>
      <c r="F65" s="262"/>
    </row>
    <row r="66" spans="1:6">
      <c r="A66" s="262"/>
      <c r="B66" s="262" t="s">
        <v>324</v>
      </c>
      <c r="D66" s="99" t="s">
        <v>325</v>
      </c>
      <c r="F66" s="262"/>
    </row>
    <row r="67" spans="1:6">
      <c r="A67" s="262"/>
      <c r="B67" s="262" t="s">
        <v>326</v>
      </c>
      <c r="D67" s="99" t="s">
        <v>327</v>
      </c>
      <c r="E67" s="99">
        <v>3</v>
      </c>
      <c r="F67" s="262" t="s">
        <v>283</v>
      </c>
    </row>
    <row r="68" spans="1:6">
      <c r="A68" s="262"/>
      <c r="B68" s="262" t="s">
        <v>328</v>
      </c>
      <c r="D68" s="99" t="s">
        <v>329</v>
      </c>
      <c r="E68" s="99">
        <v>3</v>
      </c>
      <c r="F68" s="262" t="s">
        <v>233</v>
      </c>
    </row>
    <row r="69" spans="1:6">
      <c r="A69" s="262"/>
      <c r="B69" s="262" t="s">
        <v>330</v>
      </c>
      <c r="D69" s="99" t="s">
        <v>331</v>
      </c>
      <c r="E69" s="99">
        <v>3</v>
      </c>
      <c r="F69" s="262" t="s">
        <v>283</v>
      </c>
    </row>
    <row r="70" spans="1:6">
      <c r="A70" s="262"/>
      <c r="B70" s="262" t="s">
        <v>332</v>
      </c>
      <c r="D70" s="99" t="s">
        <v>333</v>
      </c>
      <c r="E70" s="99">
        <v>3</v>
      </c>
      <c r="F70" s="262" t="s">
        <v>283</v>
      </c>
    </row>
    <row r="71" spans="1:6">
      <c r="A71" s="262"/>
      <c r="B71" s="262" t="s">
        <v>334</v>
      </c>
      <c r="D71" s="99" t="s">
        <v>335</v>
      </c>
      <c r="F71" s="262"/>
    </row>
    <row r="72" spans="1:6">
      <c r="A72" s="262"/>
      <c r="B72" s="262" t="s">
        <v>336</v>
      </c>
      <c r="D72" s="99" t="s">
        <v>337</v>
      </c>
      <c r="F72" s="262"/>
    </row>
    <row r="73" spans="1:6">
      <c r="A73" s="262"/>
      <c r="B73" s="262" t="s">
        <v>338</v>
      </c>
      <c r="D73" s="99" t="s">
        <v>339</v>
      </c>
      <c r="F73" s="262"/>
    </row>
    <row r="74" spans="1:6">
      <c r="A74" s="262"/>
      <c r="B74" s="262" t="s">
        <v>340</v>
      </c>
      <c r="D74" s="99" t="s">
        <v>341</v>
      </c>
      <c r="F74" s="262"/>
    </row>
    <row r="75" spans="1:6">
      <c r="A75" s="262"/>
      <c r="B75" s="262" t="s">
        <v>342</v>
      </c>
      <c r="D75" s="99" t="s">
        <v>343</v>
      </c>
      <c r="F75" s="262"/>
    </row>
    <row r="76" spans="1:6">
      <c r="A76" s="262"/>
      <c r="B76" s="262" t="s">
        <v>344</v>
      </c>
      <c r="D76" s="99" t="s">
        <v>345</v>
      </c>
      <c r="F76" s="262"/>
    </row>
    <row r="77" spans="1:6">
      <c r="A77" s="262"/>
      <c r="B77" s="262" t="s">
        <v>346</v>
      </c>
      <c r="D77" s="99" t="s">
        <v>347</v>
      </c>
      <c r="F77" s="262"/>
    </row>
    <row r="78" spans="1:6">
      <c r="A78" s="262"/>
      <c r="B78" s="262" t="s">
        <v>348</v>
      </c>
      <c r="D78" s="99" t="s">
        <v>349</v>
      </c>
      <c r="F78" s="262"/>
    </row>
    <row r="79" spans="1:6">
      <c r="A79" s="262"/>
      <c r="B79" s="262" t="s">
        <v>350</v>
      </c>
      <c r="D79" s="99" t="s">
        <v>351</v>
      </c>
      <c r="F79" s="262"/>
    </row>
    <row r="80" spans="1:6">
      <c r="A80" s="262"/>
      <c r="B80" s="262"/>
      <c r="F80" s="262"/>
    </row>
    <row r="81" spans="1:6">
      <c r="A81" s="262"/>
      <c r="B81" s="262"/>
      <c r="F81" s="262"/>
    </row>
    <row r="82" spans="1:6">
      <c r="A82" s="262"/>
      <c r="B82" s="262"/>
      <c r="F82" s="262"/>
    </row>
    <row r="83" spans="1:6">
      <c r="A83" s="262"/>
      <c r="B83" s="262"/>
      <c r="F83" s="262"/>
    </row>
    <row r="84" spans="1:6">
      <c r="A84" s="262"/>
      <c r="B84" s="262"/>
      <c r="F84" s="262"/>
    </row>
    <row r="85" spans="1:6">
      <c r="A85" s="262"/>
      <c r="B85" s="262"/>
      <c r="F85" s="262"/>
    </row>
    <row r="86" spans="1:6">
      <c r="A86" s="262"/>
      <c r="B86" s="262"/>
      <c r="F86" s="262"/>
    </row>
    <row r="87" spans="1:6">
      <c r="A87" s="262"/>
      <c r="B87" s="262"/>
      <c r="F87" s="262"/>
    </row>
    <row r="88" spans="1:6">
      <c r="A88" s="262"/>
      <c r="B88" s="262"/>
      <c r="F88" s="262"/>
    </row>
    <row r="89" spans="1:6">
      <c r="A89" s="262"/>
      <c r="B89" s="262"/>
      <c r="F89" s="262"/>
    </row>
    <row r="90" spans="1:6">
      <c r="A90" s="262"/>
      <c r="B90" s="262"/>
      <c r="F90" s="262"/>
    </row>
    <row r="91" spans="1:6">
      <c r="A91" s="262"/>
      <c r="B91" s="262"/>
      <c r="F91" s="262"/>
    </row>
    <row r="92" spans="1:6">
      <c r="A92" s="262"/>
      <c r="B92" s="262"/>
      <c r="F92" s="262"/>
    </row>
    <row r="93" spans="1:6">
      <c r="A93" s="262"/>
      <c r="B93" s="262"/>
      <c r="F93" s="262"/>
    </row>
    <row r="94" spans="1:6">
      <c r="A94" s="262"/>
      <c r="B94" s="262"/>
      <c r="F94" s="262"/>
    </row>
    <row r="95" spans="1:6">
      <c r="A95" s="262"/>
      <c r="B95" s="262"/>
      <c r="F95" s="262"/>
    </row>
    <row r="96" spans="1:6">
      <c r="A96" s="262"/>
      <c r="B96" s="262"/>
      <c r="F96" s="262"/>
    </row>
    <row r="97" spans="1:6">
      <c r="A97" s="262"/>
      <c r="B97" s="262"/>
      <c r="F97" s="262"/>
    </row>
    <row r="98" spans="1:6">
      <c r="A98" s="262"/>
      <c r="B98" s="262"/>
      <c r="F98" s="262"/>
    </row>
    <row r="99" spans="1:6">
      <c r="A99" s="262"/>
      <c r="B99" s="262"/>
      <c r="F99" s="262"/>
    </row>
    <row r="100" spans="1:6">
      <c r="A100" s="262"/>
      <c r="B100" s="262"/>
      <c r="F100" s="262"/>
    </row>
    <row r="101" spans="1:6">
      <c r="A101" s="262"/>
      <c r="B101" s="262"/>
      <c r="F101" s="262"/>
    </row>
    <row r="102" spans="1:6">
      <c r="A102" s="262"/>
      <c r="B102" s="262"/>
      <c r="F102" s="262"/>
    </row>
    <row r="103" spans="1:6">
      <c r="A103" s="262"/>
      <c r="B103" s="262"/>
      <c r="F103" s="262"/>
    </row>
    <row r="104" spans="1:6">
      <c r="A104" s="262"/>
      <c r="B104" s="262"/>
      <c r="F104" s="262"/>
    </row>
    <row r="105" spans="1:6">
      <c r="A105" s="262"/>
      <c r="B105" s="262"/>
      <c r="F105" s="262"/>
    </row>
    <row r="106" spans="1:6">
      <c r="A106" s="262"/>
      <c r="B106" s="262"/>
      <c r="F106" s="262"/>
    </row>
    <row r="107" spans="1:6">
      <c r="A107" s="262"/>
      <c r="B107" s="262"/>
      <c r="F107" s="262"/>
    </row>
    <row r="108" spans="1:6">
      <c r="A108" s="262"/>
      <c r="B108" s="262"/>
      <c r="F108" s="262"/>
    </row>
    <row r="109" spans="1:6">
      <c r="A109" s="262"/>
      <c r="B109" s="262"/>
      <c r="F109" s="262"/>
    </row>
    <row r="110" spans="1:6">
      <c r="A110" s="262"/>
      <c r="B110" s="262"/>
      <c r="F110" s="262"/>
    </row>
    <row r="111" spans="1:6">
      <c r="A111" s="262"/>
      <c r="B111" s="262"/>
      <c r="F111" s="262"/>
    </row>
    <row r="112" spans="1:6">
      <c r="A112" s="262"/>
      <c r="B112" s="262"/>
      <c r="F112" s="262"/>
    </row>
    <row r="113" spans="1:6">
      <c r="A113" s="262"/>
      <c r="B113" s="262"/>
      <c r="F113" s="262"/>
    </row>
    <row r="114" spans="1:6">
      <c r="A114" s="262"/>
      <c r="B114" s="262"/>
      <c r="F114" s="262"/>
    </row>
    <row r="115" spans="1:6">
      <c r="A115" s="262"/>
      <c r="B115" s="262"/>
      <c r="F115" s="262"/>
    </row>
    <row r="116" spans="1:6">
      <c r="A116" s="262"/>
      <c r="B116" s="262"/>
      <c r="F116" s="262"/>
    </row>
    <row r="117" spans="1:6">
      <c r="A117" s="262"/>
      <c r="B117" s="262"/>
      <c r="F117" s="262"/>
    </row>
    <row r="118" spans="1:6">
      <c r="A118" s="262"/>
      <c r="B118" s="262"/>
      <c r="F118" s="262"/>
    </row>
    <row r="119" spans="1:6">
      <c r="A119" s="262"/>
      <c r="B119" s="262"/>
      <c r="F119" s="262"/>
    </row>
    <row r="120" spans="1:6">
      <c r="A120" s="262"/>
      <c r="B120" s="262"/>
      <c r="F120" s="262"/>
    </row>
    <row r="121" spans="1:6">
      <c r="A121" s="262"/>
      <c r="B121" s="262"/>
      <c r="F121" s="262"/>
    </row>
    <row r="122" spans="1:6">
      <c r="A122" s="262"/>
      <c r="B122" s="262"/>
      <c r="F122" s="262"/>
    </row>
    <row r="123" spans="1:6">
      <c r="A123" s="262"/>
      <c r="B123" s="262"/>
      <c r="F123" s="262"/>
    </row>
    <row r="124" spans="1:6">
      <c r="A124" s="262"/>
      <c r="B124" s="262"/>
      <c r="F124" s="262"/>
    </row>
    <row r="125" spans="1:6">
      <c r="A125" s="262"/>
      <c r="B125" s="262"/>
      <c r="F125" s="262"/>
    </row>
    <row r="126" spans="1:6">
      <c r="A126" s="262"/>
      <c r="B126" s="262"/>
      <c r="F126" s="262"/>
    </row>
    <row r="127" spans="1:6">
      <c r="A127" s="262"/>
      <c r="B127" s="262"/>
      <c r="F127" s="262"/>
    </row>
    <row r="128" spans="1:6">
      <c r="A128" s="262"/>
      <c r="B128" s="262"/>
      <c r="F128" s="262"/>
    </row>
    <row r="129" spans="1:6">
      <c r="A129" s="262"/>
      <c r="B129" s="262"/>
      <c r="F129" s="262"/>
    </row>
    <row r="130" spans="1:6">
      <c r="A130" s="262"/>
      <c r="B130" s="262"/>
      <c r="F130" s="262"/>
    </row>
    <row r="131" spans="1:6">
      <c r="A131" s="262"/>
      <c r="B131" s="262"/>
      <c r="F131" s="262"/>
    </row>
    <row r="132" spans="1:6">
      <c r="A132" s="262"/>
      <c r="B132" s="262"/>
      <c r="F132" s="262"/>
    </row>
    <row r="133" spans="1:6">
      <c r="A133" s="262"/>
      <c r="B133" s="262"/>
      <c r="F133" s="262"/>
    </row>
    <row r="134" spans="1:6">
      <c r="A134" s="262"/>
      <c r="B134" s="262"/>
      <c r="F134" s="262"/>
    </row>
    <row r="135" spans="1:6">
      <c r="A135" s="262"/>
      <c r="B135" s="262"/>
      <c r="F135" s="262"/>
    </row>
    <row r="136" spans="1:6">
      <c r="A136" s="262"/>
      <c r="B136" s="262"/>
      <c r="F136" s="262"/>
    </row>
    <row r="137" spans="1:6">
      <c r="A137" s="262"/>
      <c r="B137" s="262"/>
      <c r="F137" s="262"/>
    </row>
    <row r="138" spans="1:6">
      <c r="A138" s="262"/>
      <c r="B138" s="262"/>
      <c r="F138" s="262"/>
    </row>
    <row r="139" spans="1:6">
      <c r="A139" s="262"/>
      <c r="B139" s="262"/>
      <c r="F139" s="262"/>
    </row>
    <row r="140" spans="1:6">
      <c r="A140" s="262"/>
      <c r="B140" s="262"/>
      <c r="F140" s="262"/>
    </row>
    <row r="141" spans="1:6">
      <c r="A141" s="262"/>
      <c r="B141" s="262"/>
      <c r="F141" s="262"/>
    </row>
    <row r="142" spans="1:6">
      <c r="A142" s="262"/>
      <c r="B142" s="262"/>
      <c r="F142" s="262"/>
    </row>
    <row r="143" spans="1:6">
      <c r="A143" s="262"/>
      <c r="B143" s="262"/>
      <c r="F143" s="262"/>
    </row>
    <row r="144" spans="1:6">
      <c r="A144" s="262"/>
      <c r="B144" s="262"/>
      <c r="F144" s="262"/>
    </row>
    <row r="145" spans="1:6">
      <c r="A145" s="262"/>
      <c r="B145" s="262"/>
      <c r="F145" s="262"/>
    </row>
    <row r="146" spans="1:6">
      <c r="A146" s="262"/>
      <c r="B146" s="262"/>
      <c r="F146" s="262"/>
    </row>
    <row r="147" spans="1:6">
      <c r="A147" s="262"/>
      <c r="B147" s="262"/>
      <c r="F147" s="262"/>
    </row>
    <row r="148" spans="1:6">
      <c r="A148" s="262"/>
      <c r="B148" s="262"/>
      <c r="F148" s="262"/>
    </row>
    <row r="149" spans="1:6">
      <c r="A149" s="262"/>
      <c r="B149" s="262"/>
      <c r="F149" s="262"/>
    </row>
    <row r="150" spans="1:6">
      <c r="A150" s="262"/>
      <c r="B150" s="262"/>
      <c r="F150" s="262"/>
    </row>
    <row r="151" spans="1:6">
      <c r="A151" s="262"/>
      <c r="B151" s="262"/>
      <c r="F151" s="262"/>
    </row>
    <row r="152" spans="1:6">
      <c r="A152" s="262"/>
      <c r="B152" s="262"/>
      <c r="F152" s="262"/>
    </row>
    <row r="153" spans="1:6">
      <c r="A153" s="262"/>
      <c r="B153" s="262"/>
      <c r="F153" s="262"/>
    </row>
    <row r="154" spans="1:6">
      <c r="A154" s="262"/>
      <c r="B154" s="262"/>
      <c r="F154" s="262"/>
    </row>
    <row r="155" spans="1:6">
      <c r="A155" s="262"/>
      <c r="B155" s="262"/>
      <c r="F155" s="262"/>
    </row>
    <row r="156" spans="1:6">
      <c r="A156" s="262"/>
      <c r="B156" s="262"/>
      <c r="F156" s="262"/>
    </row>
    <row r="157" spans="1:6">
      <c r="A157" s="262"/>
      <c r="B157" s="262"/>
      <c r="F157" s="262"/>
    </row>
    <row r="158" spans="1:6">
      <c r="A158" s="262"/>
      <c r="B158" s="262"/>
      <c r="F158" s="262"/>
    </row>
    <row r="159" spans="1:6">
      <c r="A159" s="262"/>
      <c r="B159" s="262"/>
      <c r="F159" s="262"/>
    </row>
    <row r="160" spans="1:6">
      <c r="A160" s="262"/>
      <c r="B160" s="262"/>
      <c r="F160" s="262"/>
    </row>
    <row r="161" spans="1:6">
      <c r="A161" s="262"/>
      <c r="B161" s="262"/>
      <c r="F161" s="262"/>
    </row>
    <row r="162" spans="1:6">
      <c r="A162" s="262"/>
      <c r="B162" s="262"/>
      <c r="F162" s="262"/>
    </row>
    <row r="163" spans="1:6">
      <c r="A163" s="262"/>
      <c r="B163" s="262"/>
      <c r="F163" s="262"/>
    </row>
    <row r="164" spans="1:6">
      <c r="A164" s="262"/>
      <c r="B164" s="262"/>
      <c r="F164" s="262"/>
    </row>
    <row r="165" spans="1:6">
      <c r="A165" s="262"/>
      <c r="B165" s="262"/>
      <c r="F165" s="262"/>
    </row>
    <row r="166" spans="1:6">
      <c r="A166" s="262"/>
      <c r="B166" s="262"/>
      <c r="F166" s="262"/>
    </row>
    <row r="167" spans="1:6">
      <c r="A167" s="262"/>
      <c r="B167" s="262"/>
      <c r="F167" s="262"/>
    </row>
    <row r="168" spans="1:6">
      <c r="A168" s="262"/>
      <c r="B168" s="262"/>
      <c r="F168" s="262"/>
    </row>
    <row r="169" spans="1:6">
      <c r="A169" s="262"/>
      <c r="B169" s="262"/>
      <c r="F169" s="262"/>
    </row>
    <row r="170" spans="1:6">
      <c r="A170" s="262"/>
      <c r="B170" s="262"/>
      <c r="F170" s="262"/>
    </row>
    <row r="171" spans="1:6">
      <c r="A171" s="262"/>
      <c r="B171" s="262"/>
      <c r="F171" s="262"/>
    </row>
    <row r="172" spans="1:6">
      <c r="A172" s="262"/>
      <c r="B172" s="262"/>
      <c r="F172" s="262"/>
    </row>
    <row r="173" spans="1:6">
      <c r="A173" s="262"/>
      <c r="B173" s="262"/>
      <c r="F173" s="262"/>
    </row>
    <row r="174" spans="1:6">
      <c r="A174" s="262"/>
      <c r="B174" s="262"/>
      <c r="F174" s="262"/>
    </row>
    <row r="175" spans="1:6">
      <c r="A175" s="262"/>
      <c r="B175" s="262"/>
      <c r="F175" s="262"/>
    </row>
    <row r="176" spans="1:6">
      <c r="A176" s="262"/>
      <c r="B176" s="262"/>
      <c r="F176" s="262"/>
    </row>
    <row r="177" spans="1:6">
      <c r="A177" s="262"/>
      <c r="B177" s="262"/>
      <c r="F177" s="262"/>
    </row>
    <row r="178" spans="1:6">
      <c r="A178" s="262"/>
      <c r="B178" s="262"/>
      <c r="F178" s="262"/>
    </row>
    <row r="179" spans="1:6">
      <c r="A179" s="262"/>
      <c r="B179" s="262"/>
      <c r="F179" s="262"/>
    </row>
    <row r="180" spans="1:6">
      <c r="A180" s="262"/>
      <c r="B180" s="262"/>
      <c r="F180" s="262"/>
    </row>
    <row r="181" spans="1:6">
      <c r="A181" s="262"/>
      <c r="B181" s="262"/>
      <c r="F181" s="262"/>
    </row>
    <row r="182" spans="1:6">
      <c r="A182" s="262"/>
      <c r="B182" s="262"/>
      <c r="F182" s="262"/>
    </row>
    <row r="183" spans="1:6">
      <c r="A183" s="262"/>
      <c r="B183" s="262"/>
      <c r="F183" s="262"/>
    </row>
    <row r="184" spans="1:6">
      <c r="A184" s="262"/>
      <c r="B184" s="262"/>
      <c r="F184" s="262"/>
    </row>
    <row r="185" spans="1:6">
      <c r="A185" s="262"/>
      <c r="B185" s="262"/>
      <c r="F185" s="262"/>
    </row>
    <row r="186" spans="1:6">
      <c r="A186" s="262"/>
      <c r="B186" s="262"/>
      <c r="F186" s="262"/>
    </row>
    <row r="187" spans="1:6">
      <c r="A187" s="262"/>
      <c r="B187" s="262"/>
      <c r="F187" s="262"/>
    </row>
    <row r="188" spans="1:6">
      <c r="A188" s="262"/>
      <c r="B188" s="262"/>
      <c r="F188" s="262"/>
    </row>
    <row r="189" spans="1:6">
      <c r="A189" s="262"/>
      <c r="B189" s="262"/>
      <c r="F189" s="262"/>
    </row>
    <row r="190" spans="1:6">
      <c r="A190" s="262"/>
      <c r="B190" s="262"/>
      <c r="F190" s="262"/>
    </row>
    <row r="191" spans="1:6">
      <c r="A191" s="262"/>
      <c r="B191" s="262"/>
      <c r="F191" s="262"/>
    </row>
    <row r="192" spans="1:6">
      <c r="A192" s="262"/>
      <c r="B192" s="262"/>
      <c r="F192" s="262"/>
    </row>
    <row r="193" spans="1:6">
      <c r="A193" s="262"/>
      <c r="B193" s="262"/>
      <c r="F193" s="262"/>
    </row>
    <row r="194" spans="1:6">
      <c r="A194" s="262"/>
      <c r="B194" s="262"/>
      <c r="F194" s="262"/>
    </row>
    <row r="195" spans="1:6">
      <c r="A195" s="262"/>
      <c r="B195" s="262"/>
      <c r="F195" s="262"/>
    </row>
    <row r="196" spans="1:6">
      <c r="A196" s="262"/>
      <c r="B196" s="262"/>
      <c r="F196" s="262"/>
    </row>
    <row r="197" spans="1:6">
      <c r="A197" s="262"/>
      <c r="B197" s="262"/>
      <c r="F197" s="262"/>
    </row>
    <row r="198" spans="1:6">
      <c r="A198" s="262"/>
      <c r="B198" s="262"/>
      <c r="F198" s="262"/>
    </row>
    <row r="199" spans="1:6">
      <c r="A199" s="262"/>
      <c r="B199" s="262"/>
      <c r="F199" s="262"/>
    </row>
    <row r="200" spans="1:6">
      <c r="A200" s="262"/>
      <c r="B200" s="262"/>
      <c r="F200" s="262"/>
    </row>
    <row r="201" spans="1:6">
      <c r="A201" s="262"/>
      <c r="B201" s="262"/>
      <c r="F201" s="262"/>
    </row>
    <row r="202" spans="1:6">
      <c r="A202" s="262"/>
      <c r="B202" s="262"/>
      <c r="F202" s="262"/>
    </row>
    <row r="203" spans="1:6">
      <c r="A203" s="262"/>
      <c r="B203" s="262"/>
      <c r="F203" s="262"/>
    </row>
    <row r="204" spans="1:6">
      <c r="A204" s="262"/>
      <c r="B204" s="262"/>
      <c r="F204" s="262"/>
    </row>
    <row r="205" spans="1:6">
      <c r="A205" s="262"/>
      <c r="B205" s="262"/>
      <c r="F205" s="262"/>
    </row>
    <row r="206" spans="1:6">
      <c r="A206" s="262"/>
      <c r="B206" s="262"/>
      <c r="F206" s="262"/>
    </row>
    <row r="207" spans="1:6">
      <c r="A207" s="262"/>
      <c r="B207" s="262"/>
      <c r="F207" s="262"/>
    </row>
    <row r="208" spans="1:6">
      <c r="A208" s="262"/>
      <c r="B208" s="262"/>
      <c r="F208" s="262"/>
    </row>
    <row r="209" spans="1:6">
      <c r="A209" s="262"/>
      <c r="B209" s="262"/>
      <c r="F209" s="262"/>
    </row>
    <row r="210" spans="1:6">
      <c r="A210" s="262"/>
      <c r="B210" s="262"/>
      <c r="F210" s="262"/>
    </row>
    <row r="211" spans="1:6">
      <c r="A211" s="262"/>
      <c r="B211" s="262"/>
      <c r="F211" s="262"/>
    </row>
    <row r="212" spans="1:6">
      <c r="A212" s="262"/>
      <c r="B212" s="262"/>
      <c r="F212" s="262"/>
    </row>
    <row r="213" spans="1:6">
      <c r="A213" s="262"/>
      <c r="B213" s="262"/>
      <c r="F213" s="262"/>
    </row>
    <row r="214" spans="1:6">
      <c r="A214" s="262"/>
      <c r="B214" s="262"/>
      <c r="F214" s="262"/>
    </row>
    <row r="215" spans="1:6">
      <c r="A215" s="262"/>
      <c r="B215" s="262"/>
      <c r="F215" s="262"/>
    </row>
    <row r="216" spans="1:6">
      <c r="A216" s="262"/>
      <c r="B216" s="262"/>
      <c r="F216" s="262"/>
    </row>
    <row r="217" spans="1:6">
      <c r="A217" s="262"/>
      <c r="B217" s="262"/>
      <c r="F217" s="262"/>
    </row>
    <row r="218" spans="1:6">
      <c r="A218" s="262"/>
      <c r="B218" s="262"/>
      <c r="F218" s="262"/>
    </row>
    <row r="219" spans="1:6">
      <c r="A219" s="262"/>
      <c r="B219" s="262"/>
      <c r="F219" s="262"/>
    </row>
    <row r="220" spans="1:6">
      <c r="A220" s="262"/>
      <c r="B220" s="262"/>
      <c r="F220" s="262"/>
    </row>
    <row r="221" spans="1:6">
      <c r="A221" s="262"/>
      <c r="B221" s="262"/>
      <c r="F221" s="262"/>
    </row>
    <row r="222" spans="1:6">
      <c r="A222" s="262"/>
      <c r="B222" s="262"/>
      <c r="F222" s="262"/>
    </row>
    <row r="223" spans="1:6">
      <c r="A223" s="262"/>
      <c r="B223" s="262"/>
      <c r="F223" s="262"/>
    </row>
    <row r="224" spans="1:6">
      <c r="A224" s="262"/>
      <c r="B224" s="262"/>
      <c r="F224" s="262"/>
    </row>
    <row r="225" spans="1:6">
      <c r="A225" s="262"/>
      <c r="B225" s="262"/>
      <c r="F225" s="262"/>
    </row>
    <row r="226" spans="1:6">
      <c r="A226" s="262"/>
      <c r="B226" s="262"/>
      <c r="F226" s="262"/>
    </row>
    <row r="227" spans="1:6">
      <c r="A227" s="262"/>
      <c r="B227" s="262"/>
      <c r="F227" s="262"/>
    </row>
    <row r="228" spans="1:6">
      <c r="A228" s="262"/>
      <c r="B228" s="262"/>
      <c r="F228" s="262"/>
    </row>
    <row r="229" spans="1:6">
      <c r="A229" s="262"/>
      <c r="B229" s="262"/>
      <c r="F229" s="262"/>
    </row>
    <row r="230" spans="1:6">
      <c r="A230" s="262"/>
      <c r="B230" s="262"/>
      <c r="F230" s="262"/>
    </row>
    <row r="231" spans="1:6">
      <c r="A231" s="262"/>
      <c r="B231" s="262"/>
      <c r="F231" s="262"/>
    </row>
    <row r="232" spans="1:6">
      <c r="A232" s="262"/>
      <c r="B232" s="262"/>
      <c r="F232" s="262"/>
    </row>
    <row r="233" spans="1:6">
      <c r="A233" s="262"/>
      <c r="B233" s="262"/>
      <c r="F233" s="262"/>
    </row>
    <row r="234" spans="1:6">
      <c r="A234" s="262"/>
      <c r="B234" s="262"/>
      <c r="F234" s="262"/>
    </row>
    <row r="235" spans="1:6">
      <c r="A235" s="262"/>
      <c r="B235" s="262"/>
      <c r="F235" s="262"/>
    </row>
    <row r="236" spans="1:6">
      <c r="A236" s="262"/>
      <c r="B236" s="262"/>
      <c r="F236" s="262"/>
    </row>
    <row r="237" spans="1:6">
      <c r="A237" s="262"/>
      <c r="B237" s="262"/>
      <c r="F237" s="262"/>
    </row>
    <row r="238" spans="1:6">
      <c r="A238" s="262"/>
      <c r="B238" s="262"/>
      <c r="F238" s="262"/>
    </row>
    <row r="239" spans="1:6">
      <c r="A239" s="262"/>
      <c r="B239" s="262"/>
      <c r="F239" s="262"/>
    </row>
    <row r="240" spans="1:6">
      <c r="A240" s="262"/>
      <c r="B240" s="262"/>
      <c r="F240" s="262"/>
    </row>
    <row r="241" spans="1:6">
      <c r="A241" s="262"/>
      <c r="B241" s="262"/>
      <c r="F241" s="262"/>
    </row>
    <row r="242" spans="1:6">
      <c r="A242" s="262"/>
      <c r="B242" s="262"/>
      <c r="F242" s="262"/>
    </row>
    <row r="243" spans="1:6">
      <c r="A243" s="262"/>
      <c r="B243" s="262"/>
      <c r="F243" s="262"/>
    </row>
    <row r="244" spans="1:6">
      <c r="A244" s="262"/>
      <c r="B244" s="262"/>
      <c r="F244" s="262"/>
    </row>
    <row r="245" spans="1:6">
      <c r="A245" s="262"/>
      <c r="B245" s="262"/>
      <c r="F245" s="262"/>
    </row>
    <row r="246" spans="1:6">
      <c r="A246" s="262"/>
      <c r="B246" s="262"/>
      <c r="F246" s="262"/>
    </row>
    <row r="247" spans="1:6">
      <c r="A247" s="262"/>
      <c r="B247" s="262"/>
      <c r="F247" s="262"/>
    </row>
    <row r="248" spans="1:6">
      <c r="A248" s="262"/>
      <c r="B248" s="262"/>
      <c r="F248" s="262"/>
    </row>
    <row r="249" spans="1:6">
      <c r="A249" s="262"/>
      <c r="B249" s="262"/>
      <c r="F249" s="262"/>
    </row>
    <row r="250" spans="1:6">
      <c r="A250" s="262"/>
      <c r="B250" s="262"/>
      <c r="F250" s="262"/>
    </row>
    <row r="251" spans="1:6">
      <c r="A251" s="262"/>
      <c r="B251" s="262"/>
      <c r="F251" s="262"/>
    </row>
    <row r="252" spans="1:6">
      <c r="A252" s="262"/>
      <c r="B252" s="262"/>
      <c r="F252" s="262"/>
    </row>
    <row r="253" spans="1:6">
      <c r="A253" s="262"/>
      <c r="B253" s="262"/>
      <c r="F253" s="262"/>
    </row>
    <row r="254" spans="1:6">
      <c r="A254" s="262"/>
      <c r="B254" s="262"/>
      <c r="F254" s="262"/>
    </row>
    <row r="255" spans="1:6">
      <c r="A255" s="262"/>
      <c r="B255" s="262"/>
      <c r="F255" s="262"/>
    </row>
    <row r="256" spans="1:6">
      <c r="A256" s="262"/>
      <c r="B256" s="262"/>
      <c r="F256" s="262"/>
    </row>
    <row r="257" spans="1:6">
      <c r="A257" s="262"/>
      <c r="B257" s="262"/>
      <c r="F257" s="262"/>
    </row>
    <row r="258" spans="1:6">
      <c r="A258" s="262"/>
      <c r="B258" s="262"/>
      <c r="F258" s="262"/>
    </row>
    <row r="259" spans="1:6">
      <c r="A259" s="262"/>
      <c r="B259" s="262"/>
      <c r="F259" s="262"/>
    </row>
    <row r="260" spans="1:6">
      <c r="A260" s="262"/>
      <c r="B260" s="262"/>
      <c r="F260" s="262"/>
    </row>
    <row r="261" spans="1:6">
      <c r="A261" s="262"/>
      <c r="B261" s="262"/>
      <c r="F261" s="262"/>
    </row>
    <row r="262" spans="1:6">
      <c r="A262" s="262"/>
      <c r="B262" s="262"/>
      <c r="F262" s="262"/>
    </row>
    <row r="263" spans="1:6">
      <c r="A263" s="262"/>
      <c r="B263" s="262"/>
      <c r="F263" s="262"/>
    </row>
    <row r="264" spans="1:6">
      <c r="A264" s="262"/>
      <c r="B264" s="262"/>
      <c r="F264" s="262"/>
    </row>
    <row r="265" spans="1:6">
      <c r="A265" s="262"/>
      <c r="B265" s="262"/>
      <c r="F265" s="262"/>
    </row>
    <row r="266" spans="1:6">
      <c r="A266" s="262"/>
      <c r="B266" s="262"/>
      <c r="F266" s="262"/>
    </row>
    <row r="267" spans="1:6">
      <c r="A267" s="262"/>
      <c r="B267" s="262"/>
      <c r="F267" s="262"/>
    </row>
    <row r="268" spans="1:6">
      <c r="A268" s="262"/>
      <c r="B268" s="262"/>
      <c r="F268" s="262"/>
    </row>
    <row r="269" spans="1:6">
      <c r="A269" s="262"/>
      <c r="B269" s="262"/>
      <c r="F269" s="262"/>
    </row>
    <row r="270" spans="1:6">
      <c r="A270" s="262"/>
      <c r="B270" s="262"/>
      <c r="F270" s="262"/>
    </row>
    <row r="271" spans="1:6">
      <c r="A271" s="262"/>
      <c r="B271" s="262"/>
      <c r="F271" s="262"/>
    </row>
    <row r="272" spans="1:6">
      <c r="A272" s="262"/>
      <c r="B272" s="262"/>
      <c r="F272" s="262"/>
    </row>
    <row r="273" spans="1:6">
      <c r="A273" s="262"/>
      <c r="B273" s="262"/>
      <c r="F273" s="262"/>
    </row>
    <row r="274" spans="1:6">
      <c r="A274" s="262"/>
      <c r="B274" s="262"/>
      <c r="F274" s="262"/>
    </row>
    <row r="275" spans="1:6">
      <c r="A275" s="262"/>
      <c r="B275" s="262"/>
      <c r="F275" s="262"/>
    </row>
    <row r="276" spans="1:6">
      <c r="A276" s="262"/>
      <c r="B276" s="262"/>
      <c r="F276" s="262"/>
    </row>
    <row r="277" spans="1:6">
      <c r="A277" s="262"/>
      <c r="B277" s="262"/>
      <c r="F277" s="262"/>
    </row>
    <row r="278" spans="1:6">
      <c r="A278" s="262"/>
      <c r="B278" s="262"/>
      <c r="F278" s="262"/>
    </row>
    <row r="279" spans="1:6">
      <c r="A279" s="262"/>
      <c r="B279" s="262"/>
      <c r="F279" s="262"/>
    </row>
    <row r="280" spans="1:6">
      <c r="A280" s="262"/>
      <c r="B280" s="262"/>
      <c r="F280" s="262"/>
    </row>
    <row r="281" spans="1:6">
      <c r="A281" s="262"/>
      <c r="B281" s="262"/>
      <c r="F281" s="262"/>
    </row>
    <row r="282" spans="1:6">
      <c r="A282" s="262"/>
      <c r="B282" s="262"/>
      <c r="F282" s="262"/>
    </row>
    <row r="283" spans="1:6">
      <c r="A283" s="262"/>
      <c r="B283" s="262"/>
      <c r="F283" s="262"/>
    </row>
    <row r="284" spans="1:6">
      <c r="A284" s="262"/>
      <c r="B284" s="262"/>
      <c r="F284" s="262"/>
    </row>
    <row r="285" spans="1:6">
      <c r="A285" s="262"/>
      <c r="B285" s="262"/>
      <c r="F285" s="262"/>
    </row>
    <row r="286" spans="1:6">
      <c r="A286" s="262"/>
      <c r="B286" s="262"/>
      <c r="F286" s="262"/>
    </row>
    <row r="287" spans="1:6">
      <c r="A287" s="262"/>
      <c r="B287" s="262"/>
      <c r="F287" s="262"/>
    </row>
    <row r="288" spans="1:6">
      <c r="A288" s="262"/>
      <c r="B288" s="262"/>
      <c r="F288" s="262"/>
    </row>
    <row r="289" spans="1:6">
      <c r="A289" s="262"/>
      <c r="B289" s="262"/>
      <c r="F289" s="262"/>
    </row>
    <row r="290" spans="1:6">
      <c r="A290" s="262"/>
      <c r="B290" s="262"/>
      <c r="F290" s="262"/>
    </row>
    <row r="291" spans="1:6">
      <c r="A291" s="262"/>
      <c r="B291" s="262"/>
      <c r="F291" s="262"/>
    </row>
    <row r="292" spans="1:6">
      <c r="A292" s="262"/>
      <c r="B292" s="262"/>
      <c r="F292" s="262"/>
    </row>
    <row r="293" spans="1:6">
      <c r="A293" s="262"/>
      <c r="B293" s="262"/>
      <c r="F293" s="262"/>
    </row>
    <row r="294" spans="1:6">
      <c r="A294" s="262"/>
      <c r="B294" s="262"/>
      <c r="F294" s="262"/>
    </row>
    <row r="295" spans="1:6">
      <c r="A295" s="262"/>
      <c r="B295" s="262"/>
      <c r="F295" s="262"/>
    </row>
    <row r="296" spans="1:6">
      <c r="A296" s="262"/>
      <c r="B296" s="262"/>
      <c r="F296" s="262"/>
    </row>
    <row r="297" spans="1:6">
      <c r="A297" s="262"/>
      <c r="B297" s="262"/>
      <c r="F297" s="262"/>
    </row>
    <row r="298" spans="1:6">
      <c r="A298" s="262"/>
      <c r="B298" s="262"/>
      <c r="F298" s="262"/>
    </row>
    <row r="299" spans="1:6">
      <c r="A299" s="262"/>
      <c r="B299" s="262"/>
      <c r="F299" s="262"/>
    </row>
    <row r="300" spans="1:6">
      <c r="A300" s="262"/>
      <c r="B300" s="262"/>
      <c r="F300" s="262"/>
    </row>
    <row r="301" spans="1:6">
      <c r="A301" s="262"/>
      <c r="B301" s="262"/>
      <c r="F301" s="262"/>
    </row>
    <row r="302" spans="1:6">
      <c r="A302" s="262"/>
      <c r="B302" s="262"/>
      <c r="F302" s="262"/>
    </row>
    <row r="303" spans="1:6">
      <c r="A303" s="262"/>
      <c r="B303" s="262"/>
      <c r="F303" s="262"/>
    </row>
    <row r="304" spans="1:6">
      <c r="A304" s="262"/>
      <c r="B304" s="262"/>
      <c r="F304" s="262"/>
    </row>
    <row r="305" spans="1:6">
      <c r="A305" s="262"/>
      <c r="B305" s="262"/>
      <c r="F305" s="262"/>
    </row>
    <row r="306" spans="1:6">
      <c r="A306" s="262"/>
      <c r="B306" s="262"/>
      <c r="F306" s="262"/>
    </row>
    <row r="307" spans="1:6">
      <c r="A307" s="262"/>
      <c r="B307" s="262"/>
      <c r="F307" s="262"/>
    </row>
    <row r="308" spans="1:6">
      <c r="A308" s="262"/>
      <c r="B308" s="262"/>
      <c r="F308" s="262"/>
    </row>
    <row r="309" spans="1:6">
      <c r="A309" s="262"/>
      <c r="B309" s="262"/>
      <c r="F309" s="262"/>
    </row>
    <row r="310" spans="1:6">
      <c r="A310" s="262"/>
      <c r="B310" s="262"/>
      <c r="F310" s="262"/>
    </row>
    <row r="311" spans="1:6">
      <c r="A311" s="262"/>
      <c r="B311" s="262"/>
      <c r="F311" s="262"/>
    </row>
    <row r="312" spans="1:6">
      <c r="A312" s="262"/>
      <c r="B312" s="262"/>
      <c r="F312" s="262"/>
    </row>
    <row r="313" spans="1:6">
      <c r="A313" s="262"/>
      <c r="B313" s="262"/>
      <c r="F313" s="262"/>
    </row>
    <row r="314" spans="1:6">
      <c r="A314" s="262"/>
      <c r="B314" s="262"/>
      <c r="F314" s="262"/>
    </row>
    <row r="315" spans="1:6">
      <c r="A315" s="262"/>
      <c r="B315" s="262"/>
      <c r="F315" s="262"/>
    </row>
    <row r="316" spans="1:6">
      <c r="A316" s="262"/>
      <c r="B316" s="262"/>
      <c r="F316" s="262"/>
    </row>
    <row r="317" spans="1:6">
      <c r="A317" s="262"/>
      <c r="B317" s="262"/>
      <c r="F317" s="262"/>
    </row>
    <row r="318" spans="1:6">
      <c r="A318" s="262"/>
      <c r="B318" s="262"/>
      <c r="F318" s="262"/>
    </row>
    <row r="319" spans="1:6">
      <c r="A319" s="262"/>
      <c r="B319" s="262"/>
      <c r="F319" s="262"/>
    </row>
    <row r="320" spans="1:6">
      <c r="A320" s="262"/>
      <c r="B320" s="262"/>
      <c r="F320" s="262"/>
    </row>
    <row r="321" spans="1:6">
      <c r="A321" s="262"/>
      <c r="B321" s="262"/>
      <c r="F321" s="262"/>
    </row>
    <row r="322" spans="1:6">
      <c r="A322" s="262"/>
      <c r="B322" s="262"/>
      <c r="F322" s="262"/>
    </row>
    <row r="323" spans="1:6">
      <c r="A323" s="262"/>
      <c r="B323" s="262"/>
      <c r="F323" s="262"/>
    </row>
    <row r="324" spans="1:6">
      <c r="A324" s="262"/>
      <c r="B324" s="262"/>
      <c r="F324" s="262"/>
    </row>
    <row r="325" spans="1:6">
      <c r="A325" s="262"/>
      <c r="B325" s="262"/>
      <c r="F325" s="262"/>
    </row>
    <row r="326" spans="1:6">
      <c r="A326" s="262"/>
      <c r="B326" s="262"/>
      <c r="F326" s="262"/>
    </row>
    <row r="327" spans="1:6">
      <c r="A327" s="262"/>
      <c r="B327" s="262"/>
      <c r="F327" s="262"/>
    </row>
    <row r="328" spans="1:6">
      <c r="A328" s="262"/>
      <c r="B328" s="262"/>
      <c r="F328" s="262"/>
    </row>
    <row r="329" spans="1:6">
      <c r="A329" s="262"/>
      <c r="B329" s="262"/>
      <c r="F329" s="262"/>
    </row>
    <row r="330" spans="1:6">
      <c r="A330" s="262"/>
      <c r="B330" s="262"/>
      <c r="F330" s="262"/>
    </row>
    <row r="331" spans="1:6">
      <c r="A331" s="262"/>
      <c r="B331" s="262"/>
      <c r="F331" s="262"/>
    </row>
    <row r="332" spans="1:6">
      <c r="A332" s="262"/>
      <c r="B332" s="262"/>
      <c r="F332" s="262"/>
    </row>
    <row r="333" spans="1:6">
      <c r="A333" s="262"/>
      <c r="B333" s="262"/>
      <c r="F333" s="262"/>
    </row>
    <row r="334" spans="1:6">
      <c r="A334" s="262"/>
      <c r="B334" s="262"/>
      <c r="F334" s="262"/>
    </row>
    <row r="335" spans="1:6">
      <c r="A335" s="262"/>
      <c r="B335" s="262"/>
      <c r="F335" s="262"/>
    </row>
    <row r="336" spans="1:6">
      <c r="A336" s="262"/>
      <c r="B336" s="262"/>
      <c r="F336" s="262"/>
    </row>
    <row r="337" spans="1:6">
      <c r="A337" s="262"/>
      <c r="B337" s="262"/>
      <c r="F337" s="262"/>
    </row>
    <row r="338" spans="1:6">
      <c r="A338" s="262"/>
      <c r="B338" s="262"/>
      <c r="F338" s="262"/>
    </row>
    <row r="339" spans="1:6">
      <c r="A339" s="262"/>
      <c r="B339" s="262"/>
      <c r="F339" s="262"/>
    </row>
    <row r="340" spans="1:6">
      <c r="A340" s="262"/>
      <c r="B340" s="262"/>
      <c r="F340" s="262"/>
    </row>
    <row r="341" spans="1:6">
      <c r="A341" s="262"/>
      <c r="B341" s="262"/>
      <c r="F341" s="262"/>
    </row>
    <row r="342" spans="1:6">
      <c r="A342" s="262"/>
      <c r="B342" s="262"/>
      <c r="F342" s="262"/>
    </row>
    <row r="343" spans="1:6">
      <c r="A343" s="262"/>
      <c r="B343" s="262"/>
      <c r="F343" s="262"/>
    </row>
    <row r="344" spans="1:6">
      <c r="A344" s="262"/>
      <c r="B344" s="262"/>
      <c r="F344" s="262"/>
    </row>
    <row r="345" spans="1:6">
      <c r="A345" s="262"/>
      <c r="B345" s="262"/>
      <c r="F345" s="262"/>
    </row>
    <row r="346" spans="1:6">
      <c r="A346" s="262"/>
      <c r="B346" s="262"/>
      <c r="F346" s="262"/>
    </row>
    <row r="347" spans="1:6">
      <c r="A347" s="262"/>
      <c r="B347" s="262"/>
      <c r="F347" s="262"/>
    </row>
    <row r="348" spans="1:6">
      <c r="A348" s="262"/>
      <c r="B348" s="262"/>
      <c r="F348" s="262"/>
    </row>
    <row r="349" spans="1:6">
      <c r="A349" s="262"/>
      <c r="B349" s="262"/>
      <c r="F349" s="262"/>
    </row>
    <row r="350" spans="1:6">
      <c r="A350" s="262"/>
      <c r="B350" s="262"/>
      <c r="F350" s="262"/>
    </row>
    <row r="351" spans="1:6">
      <c r="A351" s="262"/>
      <c r="B351" s="262"/>
      <c r="F351" s="262"/>
    </row>
    <row r="352" spans="1:6">
      <c r="A352" s="262"/>
      <c r="B352" s="262"/>
      <c r="F352" s="262"/>
    </row>
    <row r="353" spans="1:6">
      <c r="A353" s="262"/>
      <c r="B353" s="262"/>
      <c r="F353" s="262"/>
    </row>
    <row r="354" spans="1:6">
      <c r="A354" s="262"/>
      <c r="B354" s="262"/>
      <c r="F354" s="262"/>
    </row>
    <row r="355" spans="1:6">
      <c r="A355" s="262"/>
      <c r="B355" s="262"/>
      <c r="F355" s="262"/>
    </row>
    <row r="356" spans="1:6">
      <c r="A356" s="262"/>
      <c r="B356" s="262"/>
      <c r="F356" s="262"/>
    </row>
    <row r="357" spans="1:6">
      <c r="A357" s="262"/>
      <c r="B357" s="262"/>
      <c r="F357" s="262"/>
    </row>
    <row r="358" spans="1:6">
      <c r="A358" s="262"/>
      <c r="B358" s="262"/>
      <c r="F358" s="262"/>
    </row>
    <row r="359" spans="1:6">
      <c r="A359" s="262"/>
      <c r="B359" s="262"/>
      <c r="F359" s="262"/>
    </row>
    <row r="360" spans="1:6">
      <c r="A360" s="262"/>
      <c r="B360" s="262"/>
      <c r="F360" s="262"/>
    </row>
    <row r="361" spans="1:6">
      <c r="A361" s="262"/>
      <c r="B361" s="262"/>
      <c r="F361" s="262"/>
    </row>
    <row r="362" spans="1:6">
      <c r="A362" s="262"/>
      <c r="B362" s="262"/>
      <c r="F362" s="262"/>
    </row>
    <row r="363" spans="1:6">
      <c r="A363" s="262"/>
      <c r="B363" s="262"/>
      <c r="F363" s="262"/>
    </row>
    <row r="364" spans="1:6">
      <c r="A364" s="262"/>
      <c r="B364" s="262"/>
      <c r="F364" s="262"/>
    </row>
    <row r="365" spans="1:6">
      <c r="A365" s="262"/>
      <c r="B365" s="262"/>
      <c r="F365" s="262"/>
    </row>
    <row r="366" spans="1:6">
      <c r="A366" s="262"/>
      <c r="B366" s="262"/>
      <c r="F366" s="262"/>
    </row>
    <row r="367" spans="1:6">
      <c r="A367" s="262"/>
      <c r="B367" s="262"/>
      <c r="F367" s="262"/>
    </row>
    <row r="368" spans="1:6">
      <c r="A368" s="262"/>
      <c r="B368" s="262"/>
      <c r="F368" s="262"/>
    </row>
    <row r="369" spans="1:6">
      <c r="A369" s="262"/>
      <c r="B369" s="262"/>
      <c r="F369" s="262"/>
    </row>
    <row r="370" spans="1:6">
      <c r="A370" s="262"/>
      <c r="B370" s="262"/>
      <c r="F370" s="262"/>
    </row>
    <row r="371" spans="1:6">
      <c r="A371" s="262"/>
      <c r="B371" s="262"/>
      <c r="F371" s="262"/>
    </row>
    <row r="372" spans="1:6">
      <c r="A372" s="262"/>
      <c r="B372" s="262"/>
      <c r="F372" s="262"/>
    </row>
    <row r="373" spans="1:6">
      <c r="A373" s="262"/>
      <c r="B373" s="262"/>
      <c r="F373" s="262"/>
    </row>
    <row r="374" spans="1:6">
      <c r="A374" s="262"/>
      <c r="B374" s="262"/>
      <c r="F374" s="262"/>
    </row>
    <row r="375" spans="1:6">
      <c r="A375" s="262"/>
      <c r="B375" s="262"/>
      <c r="F375" s="262"/>
    </row>
    <row r="376" spans="1:6">
      <c r="A376" s="262"/>
      <c r="B376" s="262"/>
      <c r="F376" s="262"/>
    </row>
    <row r="377" spans="1:6">
      <c r="A377" s="262"/>
      <c r="B377" s="262"/>
      <c r="F377" s="262"/>
    </row>
    <row r="378" spans="1:6">
      <c r="A378" s="262"/>
      <c r="B378" s="262"/>
      <c r="F378" s="262"/>
    </row>
    <row r="379" spans="1:6">
      <c r="A379" s="262"/>
      <c r="B379" s="262"/>
      <c r="F379" s="262"/>
    </row>
    <row r="380" spans="1:6">
      <c r="A380" s="262"/>
      <c r="B380" s="262"/>
      <c r="F380" s="262"/>
    </row>
    <row r="381" spans="1:6">
      <c r="A381" s="262"/>
      <c r="B381" s="262"/>
      <c r="F381" s="262"/>
    </row>
    <row r="382" spans="1:6">
      <c r="A382" s="262"/>
      <c r="B382" s="262"/>
      <c r="F382" s="262"/>
    </row>
    <row r="383" spans="1:6">
      <c r="A383" s="262"/>
      <c r="B383" s="262"/>
      <c r="F383" s="262"/>
    </row>
    <row r="384" spans="1:6">
      <c r="A384" s="262"/>
      <c r="B384" s="262"/>
      <c r="F384" s="262"/>
    </row>
    <row r="385" spans="1:6">
      <c r="A385" s="262"/>
      <c r="B385" s="262"/>
      <c r="F385" s="262"/>
    </row>
    <row r="386" spans="1:6">
      <c r="A386" s="262"/>
      <c r="B386" s="262"/>
      <c r="F386" s="262"/>
    </row>
    <row r="387" spans="1:6">
      <c r="A387" s="262"/>
      <c r="B387" s="262"/>
      <c r="F387" s="262"/>
    </row>
    <row r="388" spans="1:6">
      <c r="A388" s="262"/>
      <c r="B388" s="262"/>
      <c r="F388" s="262"/>
    </row>
    <row r="389" spans="1:6">
      <c r="A389" s="262"/>
      <c r="B389" s="262"/>
      <c r="F389" s="262"/>
    </row>
    <row r="390" spans="1:6">
      <c r="A390" s="262"/>
      <c r="B390" s="262"/>
      <c r="F390" s="262"/>
    </row>
    <row r="391" spans="1:6">
      <c r="A391" s="262"/>
      <c r="B391" s="262"/>
      <c r="F391" s="262"/>
    </row>
    <row r="392" spans="1:6">
      <c r="A392" s="262"/>
      <c r="B392" s="262"/>
      <c r="F392" s="262"/>
    </row>
    <row r="393" spans="1:6">
      <c r="A393" s="262"/>
      <c r="B393" s="262"/>
      <c r="F393" s="262"/>
    </row>
    <row r="394" spans="1:6">
      <c r="A394" s="262"/>
      <c r="B394" s="262"/>
      <c r="F394" s="262"/>
    </row>
    <row r="395" spans="1:6">
      <c r="A395" s="262"/>
      <c r="B395" s="262"/>
      <c r="F395" s="262"/>
    </row>
    <row r="396" spans="1:6">
      <c r="A396" s="262"/>
      <c r="B396" s="262"/>
      <c r="F396" s="262"/>
    </row>
    <row r="397" spans="1:6">
      <c r="A397" s="262"/>
      <c r="B397" s="262"/>
      <c r="F397" s="262"/>
    </row>
    <row r="398" spans="1:6">
      <c r="A398" s="262"/>
      <c r="B398" s="262"/>
      <c r="F398" s="262"/>
    </row>
    <row r="399" spans="1:6">
      <c r="A399" s="262"/>
      <c r="B399" s="262"/>
      <c r="F399" s="262"/>
    </row>
    <row r="400" spans="1:6">
      <c r="A400" s="262"/>
      <c r="B400" s="262"/>
      <c r="F400" s="262"/>
    </row>
    <row r="401" spans="1:6">
      <c r="A401" s="262"/>
      <c r="B401" s="262"/>
      <c r="F401" s="262"/>
    </row>
    <row r="402" spans="1:6">
      <c r="A402" s="262"/>
      <c r="B402" s="262"/>
      <c r="F402" s="262"/>
    </row>
    <row r="403" spans="1:6">
      <c r="A403" s="262"/>
      <c r="B403" s="262"/>
      <c r="F403" s="262"/>
    </row>
    <row r="404" spans="1:6">
      <c r="A404" s="262"/>
      <c r="B404" s="262"/>
      <c r="F404" s="262"/>
    </row>
    <row r="405" spans="1:6">
      <c r="A405" s="262"/>
      <c r="B405" s="262"/>
      <c r="F405" s="262"/>
    </row>
    <row r="406" spans="1:6">
      <c r="A406" s="262"/>
      <c r="B406" s="262"/>
      <c r="F406" s="262"/>
    </row>
    <row r="407" spans="1:6">
      <c r="A407" s="262"/>
      <c r="B407" s="262"/>
      <c r="F407" s="262"/>
    </row>
    <row r="408" spans="1:6">
      <c r="A408" s="262"/>
      <c r="B408" s="262"/>
      <c r="F408" s="262"/>
    </row>
    <row r="409" spans="1:6">
      <c r="A409" s="262"/>
      <c r="B409" s="262"/>
      <c r="F409" s="262"/>
    </row>
    <row r="410" spans="1:6">
      <c r="A410" s="262"/>
      <c r="B410" s="262"/>
      <c r="F410" s="262"/>
    </row>
    <row r="411" spans="1:6">
      <c r="A411" s="262"/>
      <c r="B411" s="262"/>
      <c r="F411" s="262"/>
    </row>
    <row r="412" spans="1:6">
      <c r="A412" s="262"/>
      <c r="B412" s="262"/>
      <c r="F412" s="262"/>
    </row>
    <row r="413" spans="1:6">
      <c r="A413" s="262"/>
      <c r="B413" s="262"/>
      <c r="F413" s="262"/>
    </row>
    <row r="414" spans="1:6">
      <c r="A414" s="262"/>
      <c r="B414" s="262"/>
      <c r="F414" s="262"/>
    </row>
    <row r="415" spans="1:6">
      <c r="A415" s="262"/>
      <c r="B415" s="262"/>
      <c r="F415" s="262"/>
    </row>
    <row r="416" spans="1:6">
      <c r="A416" s="262"/>
      <c r="B416" s="262"/>
      <c r="F416" s="262"/>
    </row>
    <row r="417" spans="1:6">
      <c r="A417" s="262"/>
      <c r="B417" s="262"/>
      <c r="F417" s="262"/>
    </row>
    <row r="418" spans="1:6">
      <c r="A418" s="262"/>
      <c r="B418" s="262"/>
      <c r="F418" s="262"/>
    </row>
    <row r="419" spans="1:6">
      <c r="A419" s="262"/>
      <c r="B419" s="262"/>
      <c r="F419" s="262"/>
    </row>
    <row r="420" spans="1:6">
      <c r="A420" s="262"/>
      <c r="B420" s="262"/>
      <c r="F420" s="262"/>
    </row>
    <row r="421" spans="1:6">
      <c r="A421" s="262"/>
      <c r="B421" s="262"/>
      <c r="F421" s="262"/>
    </row>
    <row r="422" spans="1:6">
      <c r="A422" s="262"/>
      <c r="B422" s="262"/>
      <c r="F422" s="262"/>
    </row>
    <row r="423" spans="1:6">
      <c r="A423" s="262"/>
      <c r="B423" s="262"/>
      <c r="F423" s="262"/>
    </row>
    <row r="424" spans="1:6">
      <c r="A424" s="262"/>
      <c r="B424" s="262"/>
      <c r="F424" s="262"/>
    </row>
    <row r="425" spans="1:6">
      <c r="A425" s="262"/>
      <c r="B425" s="262"/>
      <c r="F425" s="262"/>
    </row>
    <row r="426" spans="1:6">
      <c r="A426" s="262"/>
      <c r="B426" s="262"/>
      <c r="F426" s="262"/>
    </row>
    <row r="427" spans="1:6">
      <c r="A427" s="262"/>
      <c r="B427" s="262"/>
      <c r="F427" s="262"/>
    </row>
    <row r="428" spans="1:6">
      <c r="A428" s="262"/>
      <c r="B428" s="262"/>
      <c r="F428" s="262"/>
    </row>
    <row r="429" spans="1:6">
      <c r="A429" s="262"/>
      <c r="B429" s="262"/>
      <c r="F429" s="262"/>
    </row>
    <row r="430" spans="1:6">
      <c r="A430" s="262"/>
      <c r="B430" s="262"/>
      <c r="F430" s="262"/>
    </row>
    <row r="431" spans="1:6">
      <c r="A431" s="262"/>
      <c r="B431" s="262"/>
      <c r="F431" s="262"/>
    </row>
    <row r="432" spans="1:6">
      <c r="A432" s="262"/>
      <c r="B432" s="262"/>
      <c r="F432" s="262"/>
    </row>
    <row r="433" spans="1:6">
      <c r="A433" s="262"/>
      <c r="B433" s="262"/>
      <c r="F433" s="262"/>
    </row>
    <row r="434" spans="1:6">
      <c r="A434" s="262"/>
      <c r="B434" s="262"/>
      <c r="F434" s="262"/>
    </row>
    <row r="435" spans="1:6">
      <c r="A435" s="262"/>
      <c r="B435" s="262"/>
      <c r="F435" s="262"/>
    </row>
    <row r="436" spans="1:6">
      <c r="A436" s="262"/>
      <c r="B436" s="262"/>
      <c r="F436" s="262"/>
    </row>
    <row r="437" spans="1:6">
      <c r="A437" s="262"/>
      <c r="B437" s="262"/>
      <c r="F437" s="262"/>
    </row>
    <row r="438" spans="1:6">
      <c r="A438" s="262"/>
      <c r="B438" s="262"/>
      <c r="F438" s="262"/>
    </row>
    <row r="439" spans="1:6">
      <c r="A439" s="262"/>
      <c r="B439" s="262"/>
      <c r="F439" s="262"/>
    </row>
    <row r="440" spans="1:6">
      <c r="A440" s="262"/>
      <c r="B440" s="262"/>
      <c r="F440" s="262"/>
    </row>
    <row r="441" spans="1:6">
      <c r="A441" s="262"/>
      <c r="B441" s="262"/>
      <c r="F441" s="262"/>
    </row>
    <row r="442" spans="1:6">
      <c r="A442" s="262"/>
      <c r="B442" s="262"/>
      <c r="F442" s="262"/>
    </row>
    <row r="443" spans="1:6">
      <c r="A443" s="262"/>
      <c r="B443" s="262"/>
      <c r="F443" s="262"/>
    </row>
    <row r="444" spans="1:6">
      <c r="A444" s="262"/>
      <c r="B444" s="262"/>
      <c r="F444" s="262"/>
    </row>
    <row r="445" spans="1:6">
      <c r="A445" s="262"/>
      <c r="B445" s="262"/>
      <c r="F445" s="262"/>
    </row>
    <row r="446" spans="1:6">
      <c r="A446" s="262"/>
      <c r="B446" s="262"/>
      <c r="F446" s="262"/>
    </row>
    <row r="447" spans="1:6">
      <c r="A447" s="262"/>
      <c r="B447" s="262"/>
      <c r="F447" s="262"/>
    </row>
    <row r="448" spans="1:6">
      <c r="A448" s="262"/>
      <c r="B448" s="262"/>
      <c r="F448" s="262"/>
    </row>
    <row r="449" spans="1:6">
      <c r="A449" s="262"/>
      <c r="B449" s="262"/>
      <c r="F449" s="262"/>
    </row>
    <row r="450" spans="1:6">
      <c r="A450" s="262"/>
      <c r="B450" s="262"/>
      <c r="F450" s="262"/>
    </row>
    <row r="451" spans="1:6">
      <c r="A451" s="262"/>
      <c r="B451" s="262"/>
      <c r="F451" s="262"/>
    </row>
    <row r="452" spans="1:6">
      <c r="A452" s="262"/>
      <c r="B452" s="262"/>
      <c r="F452" s="262"/>
    </row>
    <row r="453" spans="1:6">
      <c r="A453" s="262"/>
      <c r="B453" s="262"/>
      <c r="F453" s="262"/>
    </row>
    <row r="454" spans="1:6">
      <c r="A454" s="262"/>
      <c r="B454" s="262"/>
      <c r="F454" s="262"/>
    </row>
    <row r="455" spans="1:6">
      <c r="A455" s="262"/>
      <c r="B455" s="262"/>
      <c r="F455" s="262"/>
    </row>
    <row r="456" spans="1:6">
      <c r="A456" s="262"/>
      <c r="B456" s="262"/>
      <c r="F456" s="262"/>
    </row>
    <row r="457" spans="1:6">
      <c r="A457" s="262"/>
      <c r="B457" s="262"/>
      <c r="F457" s="262"/>
    </row>
    <row r="458" spans="1:6">
      <c r="A458" s="262"/>
      <c r="B458" s="262"/>
      <c r="F458" s="262"/>
    </row>
    <row r="459" spans="1:6">
      <c r="A459" s="262"/>
      <c r="B459" s="262"/>
      <c r="F459" s="262"/>
    </row>
    <row r="460" spans="1:6">
      <c r="A460" s="262"/>
      <c r="B460" s="262"/>
      <c r="F460" s="262"/>
    </row>
    <row r="461" spans="1:6">
      <c r="A461" s="262"/>
      <c r="B461" s="262"/>
      <c r="F461" s="262"/>
    </row>
    <row r="462" spans="1:6">
      <c r="A462" s="262"/>
      <c r="B462" s="262"/>
      <c r="F462" s="262"/>
    </row>
    <row r="463" spans="1:6">
      <c r="A463" s="262"/>
      <c r="B463" s="262"/>
      <c r="F463" s="262"/>
    </row>
    <row r="464" spans="1:6">
      <c r="A464" s="262"/>
      <c r="B464" s="262"/>
      <c r="F464" s="262"/>
    </row>
    <row r="465" spans="1:6">
      <c r="A465" s="262"/>
      <c r="B465" s="262"/>
      <c r="F465" s="262"/>
    </row>
    <row r="466" spans="1:6">
      <c r="A466" s="262"/>
      <c r="B466" s="262"/>
      <c r="F466" s="262"/>
    </row>
    <row r="467" spans="1:6">
      <c r="A467" s="262"/>
      <c r="B467" s="262"/>
      <c r="F467" s="262"/>
    </row>
    <row r="468" spans="1:6">
      <c r="A468" s="262"/>
      <c r="B468" s="262"/>
      <c r="F468" s="262"/>
    </row>
    <row r="469" spans="1:6">
      <c r="A469" s="262"/>
      <c r="B469" s="262"/>
      <c r="F469" s="262"/>
    </row>
    <row r="470" spans="1:6">
      <c r="A470" s="262"/>
      <c r="B470" s="262"/>
      <c r="F470" s="262"/>
    </row>
    <row r="471" spans="1:6">
      <c r="A471" s="262"/>
      <c r="B471" s="262"/>
      <c r="F471" s="262"/>
    </row>
    <row r="472" spans="1:6">
      <c r="A472" s="262"/>
      <c r="B472" s="262"/>
      <c r="F472" s="262"/>
    </row>
    <row r="473" spans="1:6">
      <c r="A473" s="262"/>
      <c r="B473" s="262"/>
      <c r="F473" s="262"/>
    </row>
    <row r="474" spans="1:6">
      <c r="A474" s="262"/>
      <c r="B474" s="262"/>
      <c r="F474" s="262"/>
    </row>
    <row r="475" spans="1:6">
      <c r="A475" s="262"/>
      <c r="B475" s="262"/>
      <c r="F475" s="262"/>
    </row>
    <row r="476" spans="1:6">
      <c r="A476" s="262"/>
      <c r="B476" s="262"/>
      <c r="F476" s="262"/>
    </row>
    <row r="477" spans="1:6">
      <c r="A477" s="262"/>
      <c r="B477" s="262"/>
      <c r="F477" s="262"/>
    </row>
    <row r="478" spans="1:6">
      <c r="A478" s="262"/>
      <c r="B478" s="262"/>
      <c r="F478" s="262"/>
    </row>
    <row r="479" spans="1:6">
      <c r="A479" s="262"/>
      <c r="B479" s="262"/>
      <c r="F479" s="262"/>
    </row>
    <row r="480" spans="1:6">
      <c r="A480" s="262"/>
      <c r="B480" s="262"/>
      <c r="F480" s="262"/>
    </row>
    <row r="481" spans="1:6">
      <c r="A481" s="262"/>
      <c r="B481" s="262"/>
      <c r="F481" s="262"/>
    </row>
    <row r="482" spans="1:6">
      <c r="A482" s="262"/>
      <c r="B482" s="262"/>
      <c r="F482" s="262"/>
    </row>
    <row r="483" spans="1:6">
      <c r="A483" s="262"/>
      <c r="B483" s="262"/>
      <c r="F483" s="262"/>
    </row>
    <row r="484" spans="1:6">
      <c r="A484" s="262"/>
      <c r="B484" s="262"/>
      <c r="F484" s="262"/>
    </row>
    <row r="485" spans="1:6">
      <c r="A485" s="262"/>
      <c r="B485" s="262"/>
      <c r="F485" s="262"/>
    </row>
    <row r="486" spans="1:6">
      <c r="A486" s="262"/>
      <c r="B486" s="262"/>
      <c r="F486" s="262"/>
    </row>
    <row r="487" spans="1:6">
      <c r="A487" s="262"/>
      <c r="B487" s="262"/>
      <c r="F487" s="262"/>
    </row>
    <row r="488" spans="1:6">
      <c r="A488" s="262"/>
      <c r="B488" s="262"/>
      <c r="F488" s="262"/>
    </row>
    <row r="489" spans="1:6">
      <c r="A489" s="262"/>
      <c r="B489" s="262"/>
      <c r="F489" s="262"/>
    </row>
    <row r="490" spans="1:6">
      <c r="A490" s="262"/>
      <c r="B490" s="262"/>
      <c r="F490" s="262"/>
    </row>
    <row r="491" spans="1:6">
      <c r="A491" s="262"/>
      <c r="B491" s="262"/>
      <c r="F491" s="262"/>
    </row>
    <row r="492" spans="1:6">
      <c r="A492" s="262"/>
      <c r="B492" s="262"/>
      <c r="F492" s="262"/>
    </row>
    <row r="493" spans="1:6">
      <c r="A493" s="262"/>
      <c r="B493" s="262"/>
      <c r="F493" s="262"/>
    </row>
    <row r="494" spans="1:6">
      <c r="A494" s="262"/>
      <c r="B494" s="262"/>
      <c r="F494" s="262"/>
    </row>
    <row r="495" spans="1:6">
      <c r="A495" s="262"/>
      <c r="B495" s="262"/>
      <c r="F495" s="262"/>
    </row>
    <row r="496" spans="1:6">
      <c r="A496" s="262"/>
      <c r="B496" s="262"/>
      <c r="F496" s="262"/>
    </row>
    <row r="497" spans="1:6">
      <c r="A497" s="262"/>
      <c r="B497" s="262"/>
      <c r="F497" s="262"/>
    </row>
    <row r="498" spans="1:6">
      <c r="A498" s="262"/>
      <c r="B498" s="262"/>
      <c r="F498" s="262"/>
    </row>
    <row r="499" spans="1:6">
      <c r="A499" s="262"/>
      <c r="B499" s="262"/>
      <c r="F499" s="262"/>
    </row>
    <row r="500" spans="1:6">
      <c r="A500" s="262"/>
      <c r="B500" s="262"/>
      <c r="F500" s="262"/>
    </row>
    <row r="501" spans="1:6">
      <c r="A501" s="262"/>
      <c r="B501" s="262"/>
      <c r="F501" s="262"/>
    </row>
    <row r="502" spans="1:6">
      <c r="A502" s="262"/>
      <c r="B502" s="262"/>
      <c r="F502" s="262"/>
    </row>
    <row r="503" spans="1:6">
      <c r="A503" s="262"/>
      <c r="B503" s="262"/>
      <c r="F503" s="262"/>
    </row>
    <row r="504" spans="1:6">
      <c r="A504" s="262"/>
      <c r="B504" s="262"/>
      <c r="F504" s="262"/>
    </row>
    <row r="505" spans="1:6">
      <c r="A505" s="262"/>
      <c r="B505" s="262"/>
      <c r="F505" s="262"/>
    </row>
    <row r="506" spans="1:6">
      <c r="A506" s="262"/>
      <c r="B506" s="262"/>
      <c r="F506" s="262"/>
    </row>
    <row r="507" spans="1:6">
      <c r="A507" s="262"/>
      <c r="B507" s="262"/>
      <c r="F507" s="262"/>
    </row>
    <row r="508" spans="1:6">
      <c r="A508" s="262"/>
      <c r="B508" s="262"/>
      <c r="F508" s="262"/>
    </row>
    <row r="509" spans="1:6">
      <c r="A509" s="262"/>
      <c r="B509" s="262"/>
      <c r="F509" s="262"/>
    </row>
    <row r="510" spans="1:6">
      <c r="A510" s="262"/>
      <c r="B510" s="262"/>
      <c r="F510" s="262"/>
    </row>
    <row r="511" spans="1:6">
      <c r="A511" s="262"/>
      <c r="B511" s="262"/>
      <c r="F511" s="262"/>
    </row>
    <row r="512" spans="1:6">
      <c r="A512" s="262"/>
      <c r="B512" s="262"/>
      <c r="F512" s="262"/>
    </row>
    <row r="513" spans="1:6">
      <c r="A513" s="262"/>
      <c r="B513" s="262"/>
      <c r="F513" s="262"/>
    </row>
    <row r="514" spans="1:6">
      <c r="A514" s="262"/>
      <c r="B514" s="262"/>
      <c r="F514" s="262"/>
    </row>
    <row r="515" spans="1:6">
      <c r="A515" s="262"/>
      <c r="B515" s="262"/>
      <c r="F515" s="262"/>
    </row>
    <row r="516" spans="1:6">
      <c r="A516" s="262"/>
      <c r="B516" s="262"/>
      <c r="F516" s="262"/>
    </row>
    <row r="517" spans="1:6">
      <c r="A517" s="262"/>
      <c r="B517" s="262"/>
      <c r="F517" s="262"/>
    </row>
    <row r="518" spans="1:6">
      <c r="A518" s="262"/>
      <c r="B518" s="262"/>
      <c r="F518" s="262"/>
    </row>
    <row r="519" spans="1:6">
      <c r="A519" s="262"/>
      <c r="B519" s="262"/>
      <c r="F519" s="262"/>
    </row>
    <row r="520" spans="1:6">
      <c r="A520" s="262"/>
      <c r="B520" s="262"/>
      <c r="F520" s="262"/>
    </row>
    <row r="521" spans="1:6">
      <c r="A521" s="262"/>
      <c r="B521" s="262"/>
      <c r="F521" s="262"/>
    </row>
    <row r="522" spans="1:6">
      <c r="A522" s="262"/>
      <c r="B522" s="262"/>
      <c r="F522" s="262"/>
    </row>
    <row r="523" spans="1:6">
      <c r="A523" s="262"/>
      <c r="B523" s="262"/>
      <c r="F523" s="262"/>
    </row>
    <row r="524" spans="1:6">
      <c r="A524" s="262"/>
      <c r="B524" s="262"/>
      <c r="F524" s="262"/>
    </row>
    <row r="525" spans="1:6">
      <c r="A525" s="262"/>
      <c r="B525" s="262"/>
      <c r="F525" s="262"/>
    </row>
    <row r="526" spans="1:6">
      <c r="A526" s="262"/>
      <c r="B526" s="262"/>
      <c r="F526" s="262"/>
    </row>
    <row r="527" spans="1:6">
      <c r="A527" s="262"/>
      <c r="B527" s="262"/>
      <c r="F527" s="262"/>
    </row>
    <row r="528" spans="1:6">
      <c r="A528" s="262"/>
      <c r="B528" s="262"/>
      <c r="F528" s="262"/>
    </row>
    <row r="529" spans="1:6">
      <c r="A529" s="262"/>
      <c r="B529" s="262"/>
      <c r="F529" s="262"/>
    </row>
    <row r="530" spans="1:6">
      <c r="A530" s="262"/>
      <c r="B530" s="262"/>
      <c r="F530" s="262"/>
    </row>
    <row r="531" spans="1:6">
      <c r="A531" s="262"/>
      <c r="B531" s="262"/>
      <c r="F531" s="262"/>
    </row>
    <row r="532" spans="1:6">
      <c r="A532" s="262"/>
      <c r="B532" s="262"/>
      <c r="F532" s="262"/>
    </row>
    <row r="533" spans="1:6">
      <c r="A533" s="262"/>
      <c r="B533" s="262"/>
      <c r="F533" s="262"/>
    </row>
    <row r="534" spans="1:6">
      <c r="A534" s="262"/>
      <c r="B534" s="262"/>
      <c r="F534" s="262"/>
    </row>
    <row r="535" spans="1:6">
      <c r="A535" s="262"/>
      <c r="B535" s="262"/>
      <c r="F535" s="262"/>
    </row>
    <row r="536" spans="1:6">
      <c r="A536" s="262"/>
      <c r="B536" s="262"/>
      <c r="F536" s="262"/>
    </row>
    <row r="537" spans="1:6">
      <c r="A537" s="262"/>
      <c r="B537" s="262"/>
      <c r="F537" s="262"/>
    </row>
    <row r="538" spans="1:6">
      <c r="A538" s="262"/>
      <c r="B538" s="262"/>
      <c r="F538" s="262"/>
    </row>
    <row r="539" spans="1:6">
      <c r="A539" s="262"/>
      <c r="B539" s="262"/>
      <c r="F539" s="262"/>
    </row>
    <row r="540" spans="1:6">
      <c r="A540" s="262"/>
      <c r="B540" s="262"/>
      <c r="F540" s="262"/>
    </row>
    <row r="541" spans="1:6">
      <c r="A541" s="262"/>
      <c r="B541" s="262"/>
      <c r="F541" s="262"/>
    </row>
    <row r="542" spans="1:6">
      <c r="A542" s="262"/>
      <c r="B542" s="262"/>
      <c r="F542" s="262"/>
    </row>
    <row r="543" spans="1:6">
      <c r="A543" s="262"/>
      <c r="B543" s="262"/>
      <c r="F543" s="262"/>
    </row>
    <row r="544" spans="1:6">
      <c r="A544" s="262"/>
      <c r="B544" s="262"/>
      <c r="F544" s="262"/>
    </row>
    <row r="545" spans="1:6">
      <c r="A545" s="262"/>
      <c r="B545" s="262"/>
      <c r="F545" s="262"/>
    </row>
    <row r="546" spans="1:6">
      <c r="A546" s="262"/>
      <c r="B546" s="262"/>
      <c r="F546" s="262"/>
    </row>
    <row r="547" spans="1:6">
      <c r="A547" s="262"/>
      <c r="B547" s="262"/>
      <c r="F547" s="262"/>
    </row>
    <row r="548" spans="1:6">
      <c r="A548" s="262"/>
      <c r="B548" s="262"/>
      <c r="F548" s="262"/>
    </row>
    <row r="549" spans="1:6">
      <c r="A549" s="262"/>
      <c r="B549" s="262"/>
      <c r="F549" s="262"/>
    </row>
    <row r="550" spans="1:6">
      <c r="A550" s="262"/>
      <c r="B550" s="262"/>
      <c r="F550" s="262"/>
    </row>
    <row r="551" spans="1:6">
      <c r="A551" s="262"/>
      <c r="B551" s="262"/>
      <c r="F551" s="262"/>
    </row>
    <row r="552" spans="1:6">
      <c r="A552" s="262"/>
      <c r="B552" s="262"/>
      <c r="F552" s="262"/>
    </row>
    <row r="553" spans="1:6">
      <c r="A553" s="262"/>
      <c r="B553" s="262"/>
      <c r="F553" s="262"/>
    </row>
    <row r="554" spans="1:6">
      <c r="A554" s="262"/>
      <c r="B554" s="262"/>
      <c r="F554" s="262"/>
    </row>
    <row r="555" spans="1:6">
      <c r="A555" s="262"/>
      <c r="B555" s="262"/>
      <c r="F555" s="262"/>
    </row>
    <row r="556" spans="1:6">
      <c r="A556" s="262"/>
      <c r="B556" s="262"/>
      <c r="F556" s="262"/>
    </row>
    <row r="557" spans="1:6">
      <c r="A557" s="262"/>
      <c r="B557" s="262"/>
      <c r="F557" s="262"/>
    </row>
    <row r="558" spans="1:6">
      <c r="A558" s="262"/>
      <c r="B558" s="262"/>
      <c r="F558" s="262"/>
    </row>
    <row r="559" spans="1:6">
      <c r="A559" s="262"/>
      <c r="B559" s="262"/>
      <c r="F559" s="262"/>
    </row>
    <row r="560" spans="1:6">
      <c r="A560" s="262"/>
      <c r="B560" s="262"/>
      <c r="F560" s="262"/>
    </row>
    <row r="561" spans="1:6">
      <c r="A561" s="262"/>
      <c r="B561" s="262"/>
      <c r="F561" s="262"/>
    </row>
    <row r="562" spans="1:6">
      <c r="A562" s="262"/>
      <c r="B562" s="262"/>
      <c r="F562" s="262"/>
    </row>
    <row r="563" spans="1:6">
      <c r="A563" s="262"/>
      <c r="B563" s="262"/>
      <c r="F563" s="262"/>
    </row>
    <row r="564" spans="1:6">
      <c r="A564" s="262"/>
      <c r="B564" s="262"/>
      <c r="F564" s="262"/>
    </row>
    <row r="565" spans="1:6">
      <c r="A565" s="262"/>
      <c r="B565" s="262"/>
      <c r="F565" s="262"/>
    </row>
    <row r="566" spans="1:6">
      <c r="A566" s="262"/>
      <c r="B566" s="262"/>
      <c r="F566" s="262"/>
    </row>
    <row r="567" spans="1:6">
      <c r="A567" s="262"/>
      <c r="B567" s="262"/>
      <c r="F567" s="262"/>
    </row>
    <row r="568" spans="1:6">
      <c r="A568" s="262"/>
      <c r="B568" s="262"/>
      <c r="F568" s="262"/>
    </row>
    <row r="569" spans="1:6">
      <c r="A569" s="262"/>
      <c r="B569" s="262"/>
      <c r="F569" s="262"/>
    </row>
    <row r="570" spans="1:6">
      <c r="A570" s="262"/>
      <c r="B570" s="262"/>
      <c r="F570" s="262"/>
    </row>
    <row r="571" spans="1:6">
      <c r="A571" s="262"/>
      <c r="B571" s="262"/>
      <c r="F571" s="262"/>
    </row>
    <row r="572" spans="1:6">
      <c r="A572" s="262"/>
      <c r="B572" s="262"/>
      <c r="F572" s="262"/>
    </row>
    <row r="573" spans="1:6">
      <c r="A573" s="262"/>
      <c r="B573" s="262"/>
      <c r="F573" s="262"/>
    </row>
    <row r="574" spans="1:6">
      <c r="A574" s="262"/>
      <c r="B574" s="262"/>
      <c r="F574" s="262"/>
    </row>
    <row r="575" spans="1:6">
      <c r="A575" s="262"/>
      <c r="B575" s="262"/>
      <c r="F575" s="262"/>
    </row>
    <row r="576" spans="1:6">
      <c r="A576" s="262"/>
      <c r="B576" s="262"/>
      <c r="F576" s="262"/>
    </row>
    <row r="577" spans="1:6">
      <c r="A577" s="262"/>
      <c r="B577" s="262"/>
      <c r="F577" s="262"/>
    </row>
    <row r="578" spans="1:6">
      <c r="A578" s="262"/>
      <c r="B578" s="262"/>
      <c r="F578" s="262"/>
    </row>
    <row r="579" spans="1:6">
      <c r="A579" s="262"/>
      <c r="B579" s="262"/>
      <c r="F579" s="262"/>
    </row>
    <row r="580" spans="1:6">
      <c r="A580" s="262"/>
      <c r="B580" s="262"/>
      <c r="F580" s="262"/>
    </row>
    <row r="581" spans="1:6">
      <c r="A581" s="262"/>
      <c r="B581" s="262"/>
      <c r="F581" s="262"/>
    </row>
    <row r="582" spans="1:6">
      <c r="A582" s="262"/>
      <c r="B582" s="262"/>
      <c r="F582" s="262"/>
    </row>
    <row r="583" spans="1:6">
      <c r="A583" s="262"/>
      <c r="B583" s="262"/>
      <c r="F583" s="262"/>
    </row>
    <row r="584" spans="1:6">
      <c r="A584" s="262"/>
      <c r="B584" s="262"/>
      <c r="F584" s="262"/>
    </row>
    <row r="585" spans="1:6">
      <c r="A585" s="262"/>
      <c r="B585" s="262"/>
      <c r="F585" s="262"/>
    </row>
    <row r="586" spans="1:6">
      <c r="A586" s="262"/>
      <c r="B586" s="262"/>
      <c r="F586" s="262"/>
    </row>
    <row r="587" spans="1:6">
      <c r="A587" s="262"/>
      <c r="B587" s="262"/>
      <c r="F587" s="262"/>
    </row>
    <row r="588" spans="1:6">
      <c r="A588" s="262"/>
      <c r="B588" s="262"/>
      <c r="F588" s="262"/>
    </row>
    <row r="589" spans="1:6">
      <c r="A589" s="262"/>
      <c r="B589" s="262"/>
      <c r="F589" s="262"/>
    </row>
    <row r="590" spans="1:6">
      <c r="A590" s="262"/>
      <c r="B590" s="262"/>
      <c r="F590" s="262"/>
    </row>
    <row r="591" spans="1:6">
      <c r="A591" s="262"/>
      <c r="B591" s="262"/>
      <c r="F591" s="262"/>
    </row>
    <row r="592" spans="1:6">
      <c r="A592" s="262"/>
      <c r="B592" s="262"/>
      <c r="F592" s="262"/>
    </row>
    <row r="593" spans="1:6">
      <c r="A593" s="262"/>
      <c r="B593" s="262"/>
      <c r="F593" s="262"/>
    </row>
    <row r="594" spans="1:6">
      <c r="A594" s="262"/>
      <c r="B594" s="262"/>
      <c r="F594" s="262"/>
    </row>
    <row r="595" spans="1:6">
      <c r="A595" s="262"/>
      <c r="B595" s="262"/>
      <c r="F595" s="262"/>
    </row>
    <row r="596" spans="1:6">
      <c r="A596" s="262"/>
      <c r="B596" s="262"/>
      <c r="F596" s="262"/>
    </row>
    <row r="597" spans="1:6">
      <c r="A597" s="262"/>
      <c r="B597" s="262"/>
      <c r="F597" s="262"/>
    </row>
    <row r="598" spans="1:6">
      <c r="A598" s="262"/>
      <c r="B598" s="262"/>
      <c r="F598" s="262"/>
    </row>
    <row r="599" spans="1:6">
      <c r="A599" s="262"/>
      <c r="B599" s="262"/>
      <c r="F599" s="262"/>
    </row>
    <row r="600" spans="1:6">
      <c r="A600" s="262"/>
      <c r="B600" s="262"/>
      <c r="F600" s="262"/>
    </row>
    <row r="601" spans="1:6">
      <c r="A601" s="262"/>
      <c r="B601" s="262"/>
      <c r="F601" s="262"/>
    </row>
    <row r="602" spans="1:6">
      <c r="A602" s="262"/>
      <c r="B602" s="262"/>
      <c r="F602" s="262"/>
    </row>
    <row r="603" spans="1:6">
      <c r="A603" s="262"/>
      <c r="B603" s="262"/>
      <c r="F603" s="262"/>
    </row>
    <row r="604" spans="1:6">
      <c r="A604" s="262"/>
      <c r="B604" s="262"/>
      <c r="F604" s="262"/>
    </row>
    <row r="605" spans="1:6">
      <c r="A605" s="262"/>
      <c r="B605" s="262"/>
      <c r="F605" s="262"/>
    </row>
    <row r="606" spans="1:6">
      <c r="A606" s="262"/>
      <c r="B606" s="262"/>
      <c r="F606" s="262"/>
    </row>
    <row r="607" spans="1:6">
      <c r="A607" s="262"/>
      <c r="B607" s="262"/>
      <c r="F607" s="262"/>
    </row>
    <row r="608" spans="1:6">
      <c r="A608" s="262"/>
      <c r="B608" s="262"/>
      <c r="F608" s="262"/>
    </row>
    <row r="609" spans="1:6">
      <c r="A609" s="262"/>
      <c r="B609" s="262"/>
      <c r="F609" s="262"/>
    </row>
    <row r="610" spans="1:6">
      <c r="A610" s="262"/>
      <c r="B610" s="262"/>
      <c r="F610" s="262"/>
    </row>
    <row r="611" spans="1:6">
      <c r="A611" s="262"/>
      <c r="B611" s="262"/>
      <c r="F611" s="262"/>
    </row>
    <row r="612" spans="1:6">
      <c r="A612" s="262"/>
      <c r="B612" s="262"/>
      <c r="F612" s="262"/>
    </row>
    <row r="613" spans="1:6">
      <c r="A613" s="262"/>
      <c r="B613" s="262"/>
      <c r="F613" s="262"/>
    </row>
    <row r="614" spans="1:6">
      <c r="A614" s="262"/>
      <c r="B614" s="262"/>
      <c r="F614" s="262"/>
    </row>
    <row r="615" spans="1:6">
      <c r="A615" s="262"/>
      <c r="B615" s="262"/>
      <c r="F615" s="262"/>
    </row>
    <row r="616" spans="1:6">
      <c r="A616" s="262"/>
      <c r="B616" s="262"/>
      <c r="F616" s="262"/>
    </row>
    <row r="617" spans="1:6">
      <c r="A617" s="262"/>
      <c r="B617" s="262"/>
      <c r="F617" s="262"/>
    </row>
    <row r="618" spans="1:6">
      <c r="A618" s="262"/>
      <c r="B618" s="262"/>
      <c r="F618" s="262"/>
    </row>
    <row r="619" spans="1:6">
      <c r="A619" s="262"/>
      <c r="B619" s="262"/>
      <c r="F619" s="262"/>
    </row>
    <row r="620" spans="1:6">
      <c r="A620" s="262"/>
      <c r="B620" s="262"/>
      <c r="F620" s="262"/>
    </row>
    <row r="621" spans="1:6">
      <c r="A621" s="262"/>
      <c r="B621" s="262"/>
      <c r="F621" s="262"/>
    </row>
    <row r="622" spans="1:6">
      <c r="A622" s="262"/>
      <c r="B622" s="262"/>
      <c r="F622" s="262"/>
    </row>
    <row r="623" spans="1:6">
      <c r="A623" s="262"/>
      <c r="B623" s="262"/>
      <c r="F623" s="262"/>
    </row>
    <row r="624" spans="1:6">
      <c r="A624" s="262"/>
      <c r="B624" s="262"/>
      <c r="F624" s="262"/>
    </row>
    <row r="625" spans="1:6">
      <c r="A625" s="262"/>
      <c r="B625" s="262"/>
      <c r="F625" s="262"/>
    </row>
    <row r="626" spans="1:6">
      <c r="A626" s="262"/>
      <c r="B626" s="262"/>
      <c r="F626" s="262"/>
    </row>
    <row r="627" spans="1:6">
      <c r="A627" s="262"/>
      <c r="B627" s="262"/>
      <c r="F627" s="262"/>
    </row>
    <row r="628" spans="1:6">
      <c r="A628" s="262"/>
      <c r="B628" s="262"/>
      <c r="F628" s="262"/>
    </row>
    <row r="629" spans="1:6">
      <c r="A629" s="262"/>
      <c r="B629" s="262"/>
      <c r="F629" s="262"/>
    </row>
    <row r="630" spans="1:6">
      <c r="A630" s="262"/>
      <c r="B630" s="262"/>
      <c r="F630" s="262"/>
    </row>
    <row r="631" spans="1:6">
      <c r="A631" s="262"/>
      <c r="B631" s="262"/>
      <c r="F631" s="262"/>
    </row>
    <row r="632" spans="1:6">
      <c r="A632" s="262"/>
      <c r="B632" s="262"/>
      <c r="F632" s="262"/>
    </row>
    <row r="633" spans="1:6">
      <c r="A633" s="262"/>
      <c r="B633" s="262"/>
      <c r="F633" s="262"/>
    </row>
    <row r="634" spans="1:6">
      <c r="A634" s="262"/>
      <c r="B634" s="262"/>
      <c r="F634" s="262"/>
    </row>
    <row r="635" spans="1:6">
      <c r="A635" s="262"/>
      <c r="B635" s="262"/>
      <c r="F635" s="262"/>
    </row>
    <row r="636" spans="1:6">
      <c r="A636" s="262"/>
      <c r="B636" s="262"/>
      <c r="F636" s="262"/>
    </row>
    <row r="637" spans="1:6">
      <c r="A637" s="262"/>
      <c r="B637" s="262"/>
      <c r="F637" s="262"/>
    </row>
    <row r="638" spans="1:6">
      <c r="A638" s="262"/>
      <c r="B638" s="262"/>
      <c r="F638" s="262"/>
    </row>
    <row r="639" spans="1:6">
      <c r="A639" s="262"/>
      <c r="B639" s="262"/>
      <c r="F639" s="262"/>
    </row>
    <row r="640" spans="1:6">
      <c r="A640" s="262"/>
      <c r="B640" s="262"/>
      <c r="F640" s="262"/>
    </row>
    <row r="641" spans="1:6">
      <c r="A641" s="262"/>
      <c r="B641" s="262"/>
      <c r="F641" s="262"/>
    </row>
    <row r="642" spans="1:6">
      <c r="A642" s="262"/>
      <c r="B642" s="262"/>
      <c r="F642" s="262"/>
    </row>
    <row r="643" spans="1:6">
      <c r="A643" s="262"/>
      <c r="B643" s="262"/>
      <c r="F643" s="262"/>
    </row>
    <row r="644" spans="1:6">
      <c r="A644" s="262"/>
      <c r="B644" s="262"/>
      <c r="F644" s="262"/>
    </row>
    <row r="645" spans="1:6">
      <c r="A645" s="262"/>
      <c r="B645" s="262"/>
      <c r="F645" s="262"/>
    </row>
    <row r="646" spans="1:6">
      <c r="A646" s="262"/>
      <c r="B646" s="262"/>
      <c r="F646" s="262"/>
    </row>
    <row r="647" spans="1:6">
      <c r="A647" s="262"/>
      <c r="B647" s="262"/>
      <c r="F647" s="262"/>
    </row>
    <row r="648" spans="1:6">
      <c r="A648" s="262"/>
      <c r="B648" s="262"/>
      <c r="F648" s="262"/>
    </row>
    <row r="649" spans="1:6">
      <c r="A649" s="262"/>
      <c r="B649" s="262"/>
      <c r="F649" s="262"/>
    </row>
    <row r="650" spans="1:6">
      <c r="A650" s="262"/>
      <c r="B650" s="262"/>
      <c r="F650" s="262"/>
    </row>
    <row r="651" spans="1:6">
      <c r="A651" s="262"/>
      <c r="B651" s="262"/>
      <c r="F651" s="262"/>
    </row>
    <row r="652" spans="1:6">
      <c r="A652" s="262"/>
      <c r="B652" s="262"/>
      <c r="F652" s="262"/>
    </row>
    <row r="653" spans="1:6">
      <c r="A653" s="262"/>
      <c r="B653" s="262"/>
      <c r="F653" s="262"/>
    </row>
    <row r="654" spans="1:6">
      <c r="A654" s="262"/>
      <c r="B654" s="262"/>
      <c r="F654" s="262"/>
    </row>
    <row r="655" spans="1:6">
      <c r="A655" s="262"/>
      <c r="B655" s="262"/>
      <c r="F655" s="262"/>
    </row>
    <row r="656" spans="1:6">
      <c r="A656" s="262"/>
      <c r="B656" s="262"/>
      <c r="F656" s="262"/>
    </row>
    <row r="657" spans="1:6">
      <c r="A657" s="262"/>
      <c r="B657" s="262"/>
      <c r="F657" s="262"/>
    </row>
    <row r="658" spans="1:6">
      <c r="A658" s="262"/>
      <c r="B658" s="262"/>
      <c r="F658" s="262"/>
    </row>
    <row r="659" spans="1:6">
      <c r="A659" s="262"/>
      <c r="B659" s="262"/>
      <c r="F659" s="262"/>
    </row>
    <row r="660" spans="1:6">
      <c r="A660" s="262"/>
      <c r="B660" s="262"/>
      <c r="F660" s="262"/>
    </row>
    <row r="661" spans="1:6">
      <c r="A661" s="262"/>
      <c r="B661" s="262"/>
      <c r="F661" s="262"/>
    </row>
    <row r="662" spans="1:6">
      <c r="A662" s="262"/>
      <c r="B662" s="262"/>
      <c r="F662" s="262"/>
    </row>
    <row r="663" spans="1:6">
      <c r="A663" s="262"/>
      <c r="B663" s="262"/>
      <c r="F663" s="262"/>
    </row>
    <row r="664" spans="1:6">
      <c r="A664" s="262"/>
      <c r="B664" s="262"/>
      <c r="F664" s="262"/>
    </row>
    <row r="665" spans="1:6">
      <c r="A665" s="262"/>
      <c r="B665" s="262"/>
      <c r="F665" s="262"/>
    </row>
    <row r="666" spans="1:6">
      <c r="A666" s="262"/>
      <c r="B666" s="262"/>
      <c r="F666" s="262"/>
    </row>
    <row r="667" spans="1:6">
      <c r="A667" s="262"/>
      <c r="B667" s="262"/>
      <c r="F667" s="262"/>
    </row>
    <row r="668" spans="1:6">
      <c r="A668" s="262"/>
      <c r="B668" s="262"/>
      <c r="F668" s="262"/>
    </row>
    <row r="669" spans="1:6">
      <c r="A669" s="262"/>
      <c r="B669" s="262"/>
      <c r="F669" s="262"/>
    </row>
    <row r="670" spans="1:6">
      <c r="A670" s="262"/>
      <c r="B670" s="262"/>
      <c r="F670" s="262"/>
    </row>
    <row r="671" spans="1:6">
      <c r="A671" s="262"/>
      <c r="B671" s="262"/>
      <c r="F671" s="262"/>
    </row>
    <row r="672" spans="1:6">
      <c r="A672" s="262"/>
      <c r="B672" s="262"/>
      <c r="F672" s="262"/>
    </row>
    <row r="673" spans="1:6">
      <c r="A673" s="262"/>
      <c r="B673" s="262"/>
      <c r="F673" s="262"/>
    </row>
    <row r="674" spans="1:6">
      <c r="A674" s="262"/>
      <c r="B674" s="262"/>
      <c r="F674" s="262"/>
    </row>
    <row r="675" spans="1:6">
      <c r="A675" s="262"/>
      <c r="B675" s="262"/>
      <c r="F675" s="262"/>
    </row>
    <row r="676" spans="1:6">
      <c r="A676" s="262"/>
      <c r="B676" s="262"/>
      <c r="F676" s="262"/>
    </row>
    <row r="677" spans="1:6">
      <c r="A677" s="262"/>
      <c r="B677" s="262"/>
      <c r="F677" s="262"/>
    </row>
    <row r="678" spans="1:6">
      <c r="A678" s="262"/>
      <c r="B678" s="262"/>
      <c r="F678" s="262"/>
    </row>
    <row r="679" spans="1:6">
      <c r="A679" s="262"/>
      <c r="B679" s="262"/>
      <c r="F679" s="262"/>
    </row>
    <row r="680" spans="1:6">
      <c r="A680" s="262"/>
      <c r="B680" s="262"/>
      <c r="F680" s="262"/>
    </row>
    <row r="681" spans="1:6">
      <c r="A681" s="262"/>
      <c r="B681" s="262"/>
      <c r="F681" s="262"/>
    </row>
    <row r="682" spans="1:6">
      <c r="A682" s="262"/>
      <c r="B682" s="262"/>
      <c r="F682" s="262"/>
    </row>
    <row r="683" spans="1:6">
      <c r="A683" s="262"/>
      <c r="B683" s="262"/>
      <c r="F683" s="262"/>
    </row>
    <row r="684" spans="1:6">
      <c r="A684" s="262"/>
      <c r="B684" s="262"/>
      <c r="F684" s="262"/>
    </row>
    <row r="685" spans="1:6">
      <c r="A685" s="262"/>
      <c r="B685" s="262"/>
      <c r="F685" s="262"/>
    </row>
    <row r="686" spans="1:6">
      <c r="A686" s="262"/>
      <c r="B686" s="262"/>
      <c r="F686" s="262"/>
    </row>
    <row r="687" spans="1:6">
      <c r="A687" s="262"/>
      <c r="B687" s="262"/>
      <c r="F687" s="262"/>
    </row>
    <row r="688" spans="1:6">
      <c r="A688" s="262"/>
      <c r="B688" s="262"/>
      <c r="F688" s="262"/>
    </row>
    <row r="689" spans="1:6">
      <c r="A689" s="262"/>
      <c r="B689" s="262"/>
      <c r="F689" s="262"/>
    </row>
    <row r="690" spans="1:6">
      <c r="A690" s="262"/>
      <c r="B690" s="262"/>
      <c r="F690" s="262"/>
    </row>
    <row r="691" spans="1:6">
      <c r="A691" s="262"/>
      <c r="B691" s="262"/>
      <c r="F691" s="262"/>
    </row>
    <row r="692" spans="1:6">
      <c r="A692" s="262"/>
      <c r="B692" s="262"/>
      <c r="F692" s="262"/>
    </row>
    <row r="693" spans="1:6">
      <c r="A693" s="262"/>
      <c r="B693" s="262"/>
      <c r="F693" s="262"/>
    </row>
    <row r="694" spans="1:6">
      <c r="A694" s="262"/>
      <c r="B694" s="262"/>
      <c r="F694" s="262"/>
    </row>
    <row r="695" spans="1:6">
      <c r="A695" s="262"/>
      <c r="B695" s="262"/>
      <c r="F695" s="262"/>
    </row>
    <row r="696" spans="1:6">
      <c r="A696" s="262"/>
      <c r="B696" s="262"/>
      <c r="F696" s="262"/>
    </row>
    <row r="697" spans="1:6">
      <c r="A697" s="262"/>
      <c r="B697" s="262"/>
      <c r="F697" s="262"/>
    </row>
    <row r="698" spans="1:6">
      <c r="A698" s="262"/>
      <c r="B698" s="262"/>
      <c r="F698" s="262"/>
    </row>
    <row r="699" spans="1:6">
      <c r="A699" s="262"/>
      <c r="B699" s="262"/>
      <c r="F699" s="262"/>
    </row>
    <row r="700" spans="1:6">
      <c r="A700" s="262"/>
      <c r="B700" s="262"/>
      <c r="F700" s="262"/>
    </row>
    <row r="701" spans="1:6">
      <c r="A701" s="262"/>
      <c r="B701" s="262"/>
      <c r="F701" s="262"/>
    </row>
    <row r="702" spans="1:6">
      <c r="A702" s="262"/>
      <c r="B702" s="262"/>
      <c r="F702" s="262"/>
    </row>
    <row r="703" spans="1:6">
      <c r="A703" s="262"/>
      <c r="B703" s="262"/>
      <c r="F703" s="262"/>
    </row>
    <row r="704" spans="1:6">
      <c r="A704" s="262"/>
      <c r="B704" s="262"/>
      <c r="F704" s="262"/>
    </row>
    <row r="705" spans="1:6">
      <c r="A705" s="262"/>
      <c r="B705" s="262"/>
      <c r="F705" s="262"/>
    </row>
    <row r="706" spans="1:6">
      <c r="A706" s="262"/>
      <c r="B706" s="262"/>
      <c r="F706" s="262"/>
    </row>
    <row r="707" spans="1:6">
      <c r="A707" s="262"/>
      <c r="B707" s="262"/>
      <c r="F707" s="262"/>
    </row>
    <row r="708" spans="1:6">
      <c r="A708" s="262"/>
      <c r="B708" s="262"/>
      <c r="F708" s="262"/>
    </row>
    <row r="709" spans="1:6">
      <c r="A709" s="262"/>
      <c r="B709" s="262"/>
      <c r="F709" s="262"/>
    </row>
    <row r="710" spans="1:6">
      <c r="A710" s="262"/>
      <c r="B710" s="262"/>
      <c r="F710" s="262"/>
    </row>
    <row r="711" spans="1:6">
      <c r="A711" s="262"/>
      <c r="B711" s="262"/>
      <c r="F711" s="262"/>
    </row>
    <row r="712" spans="1:6">
      <c r="A712" s="262"/>
      <c r="B712" s="262"/>
      <c r="F712" s="262"/>
    </row>
    <row r="713" spans="1:6">
      <c r="A713" s="262"/>
      <c r="B713" s="262"/>
      <c r="F713" s="262"/>
    </row>
    <row r="714" spans="1:6">
      <c r="A714" s="262"/>
      <c r="B714" s="262"/>
      <c r="F714" s="262"/>
    </row>
    <row r="715" spans="1:6">
      <c r="A715" s="262"/>
      <c r="B715" s="262"/>
      <c r="F715" s="262"/>
    </row>
    <row r="716" spans="1:6">
      <c r="A716" s="262"/>
      <c r="B716" s="262"/>
      <c r="F716" s="262"/>
    </row>
    <row r="717" spans="1:6">
      <c r="A717" s="262"/>
      <c r="B717" s="262"/>
      <c r="F717" s="262"/>
    </row>
    <row r="718" spans="1:6">
      <c r="A718" s="262"/>
      <c r="B718" s="262"/>
      <c r="F718" s="262"/>
    </row>
    <row r="719" spans="1:6">
      <c r="A719" s="262"/>
      <c r="B719" s="262"/>
      <c r="F719" s="262"/>
    </row>
    <row r="720" spans="1:6">
      <c r="A720" s="262"/>
      <c r="B720" s="262"/>
      <c r="F720" s="262"/>
    </row>
    <row r="721" spans="1:6">
      <c r="A721" s="262"/>
      <c r="B721" s="262"/>
      <c r="F721" s="262"/>
    </row>
    <row r="722" spans="1:6">
      <c r="A722" s="262"/>
      <c r="B722" s="262"/>
      <c r="F722" s="262"/>
    </row>
    <row r="723" spans="1:6">
      <c r="A723" s="262"/>
      <c r="B723" s="262"/>
      <c r="F723" s="262"/>
    </row>
    <row r="724" spans="1:6">
      <c r="A724" s="262"/>
      <c r="B724" s="262"/>
      <c r="F724" s="262"/>
    </row>
    <row r="725" spans="1:6">
      <c r="A725" s="262"/>
      <c r="B725" s="262"/>
      <c r="F725" s="262"/>
    </row>
    <row r="726" spans="1:6">
      <c r="A726" s="262"/>
      <c r="B726" s="262"/>
      <c r="F726" s="262"/>
    </row>
    <row r="727" spans="1:6">
      <c r="A727" s="262"/>
      <c r="B727" s="262"/>
      <c r="F727" s="262"/>
    </row>
    <row r="728" spans="1:6">
      <c r="A728" s="262"/>
      <c r="B728" s="262"/>
      <c r="F728" s="262"/>
    </row>
    <row r="729" spans="1:6">
      <c r="A729" s="262"/>
      <c r="B729" s="262"/>
      <c r="F729" s="262"/>
    </row>
    <row r="730" spans="1:6">
      <c r="A730" s="262"/>
      <c r="B730" s="262"/>
      <c r="F730" s="262"/>
    </row>
    <row r="731" spans="1:6">
      <c r="A731" s="262"/>
      <c r="B731" s="262"/>
      <c r="F731" s="262"/>
    </row>
    <row r="732" spans="1:6">
      <c r="A732" s="262"/>
      <c r="B732" s="262"/>
      <c r="F732" s="262"/>
    </row>
    <row r="733" spans="1:6">
      <c r="A733" s="262"/>
      <c r="B733" s="262"/>
      <c r="F733" s="262"/>
    </row>
    <row r="734" spans="1:6">
      <c r="A734" s="262"/>
      <c r="B734" s="262"/>
      <c r="F734" s="262"/>
    </row>
    <row r="735" spans="1:6">
      <c r="A735" s="262"/>
      <c r="B735" s="262"/>
      <c r="F735" s="262"/>
    </row>
    <row r="736" spans="1:6">
      <c r="A736" s="262"/>
      <c r="B736" s="262"/>
      <c r="F736" s="262"/>
    </row>
    <row r="737" spans="1:6">
      <c r="A737" s="262"/>
      <c r="B737" s="262"/>
      <c r="F737" s="262"/>
    </row>
    <row r="738" spans="1:6">
      <c r="A738" s="262"/>
      <c r="B738" s="262"/>
      <c r="F738" s="262"/>
    </row>
    <row r="739" spans="1:6">
      <c r="A739" s="262"/>
      <c r="B739" s="262"/>
      <c r="F739" s="262"/>
    </row>
    <row r="740" spans="1:6">
      <c r="A740" s="262"/>
      <c r="B740" s="262"/>
      <c r="F740" s="262"/>
    </row>
    <row r="741" spans="1:6">
      <c r="A741" s="262"/>
      <c r="B741" s="262"/>
      <c r="F741" s="262"/>
    </row>
    <row r="742" spans="1:6">
      <c r="A742" s="262"/>
      <c r="B742" s="262"/>
      <c r="F742" s="262"/>
    </row>
    <row r="743" spans="1:6">
      <c r="A743" s="262"/>
      <c r="B743" s="262"/>
      <c r="F743" s="262"/>
    </row>
    <row r="744" spans="1:6">
      <c r="A744" s="262"/>
      <c r="B744" s="262"/>
      <c r="F744" s="262"/>
    </row>
    <row r="745" spans="1:6">
      <c r="A745" s="262"/>
      <c r="B745" s="262"/>
      <c r="F745" s="262"/>
    </row>
    <row r="746" spans="1:6">
      <c r="A746" s="262"/>
      <c r="B746" s="262"/>
      <c r="F746" s="262"/>
    </row>
    <row r="747" spans="1:6">
      <c r="A747" s="262"/>
      <c r="B747" s="262"/>
      <c r="F747" s="262"/>
    </row>
    <row r="748" spans="1:6">
      <c r="A748" s="262"/>
      <c r="B748" s="262"/>
      <c r="F748" s="262"/>
    </row>
    <row r="749" spans="1:6">
      <c r="A749" s="262"/>
      <c r="B749" s="262"/>
      <c r="F749" s="262"/>
    </row>
    <row r="750" spans="1:6">
      <c r="A750" s="262"/>
      <c r="B750" s="262"/>
      <c r="F750" s="262"/>
    </row>
    <row r="751" spans="1:6">
      <c r="A751" s="262"/>
      <c r="B751" s="262"/>
      <c r="F751" s="262"/>
    </row>
    <row r="752" spans="1:6">
      <c r="A752" s="262"/>
      <c r="B752" s="262"/>
      <c r="F752" s="262"/>
    </row>
    <row r="753" spans="1:6">
      <c r="A753" s="262"/>
      <c r="B753" s="262"/>
      <c r="F753" s="262"/>
    </row>
    <row r="754" spans="1:6">
      <c r="A754" s="262"/>
      <c r="B754" s="262"/>
      <c r="F754" s="262"/>
    </row>
    <row r="755" spans="1:6">
      <c r="A755" s="262"/>
      <c r="B755" s="262"/>
      <c r="F755" s="262"/>
    </row>
    <row r="756" spans="1:6">
      <c r="A756" s="262"/>
      <c r="B756" s="262"/>
      <c r="F756" s="262"/>
    </row>
    <row r="757" spans="1:6">
      <c r="A757" s="262"/>
      <c r="B757" s="262"/>
      <c r="F757" s="262"/>
    </row>
    <row r="758" spans="1:6">
      <c r="A758" s="262"/>
      <c r="B758" s="262"/>
      <c r="F758" s="262"/>
    </row>
    <row r="759" spans="1:6">
      <c r="A759" s="262"/>
      <c r="B759" s="262"/>
      <c r="F759" s="262"/>
    </row>
    <row r="760" spans="1:6">
      <c r="A760" s="262"/>
      <c r="B760" s="262"/>
      <c r="F760" s="262"/>
    </row>
    <row r="761" spans="1:6">
      <c r="A761" s="262"/>
      <c r="B761" s="262"/>
      <c r="F761" s="262"/>
    </row>
    <row r="762" spans="1:6">
      <c r="A762" s="262"/>
      <c r="B762" s="262"/>
      <c r="F762" s="262"/>
    </row>
    <row r="763" spans="1:6">
      <c r="A763" s="262"/>
      <c r="B763" s="262"/>
      <c r="F763" s="262"/>
    </row>
    <row r="764" spans="1:6">
      <c r="A764" s="262"/>
      <c r="B764" s="262"/>
      <c r="F764" s="262"/>
    </row>
    <row r="765" spans="1:6">
      <c r="A765" s="262"/>
      <c r="B765" s="262"/>
      <c r="F765" s="262"/>
    </row>
    <row r="766" spans="1:6">
      <c r="A766" s="262"/>
      <c r="B766" s="262"/>
      <c r="F766" s="262"/>
    </row>
    <row r="767" spans="1:6">
      <c r="A767" s="262"/>
      <c r="B767" s="262"/>
      <c r="F767" s="262"/>
    </row>
    <row r="768" spans="1:6">
      <c r="A768" s="262"/>
      <c r="B768" s="262"/>
      <c r="F768" s="262"/>
    </row>
    <row r="769" spans="1:6">
      <c r="A769" s="262"/>
      <c r="B769" s="262"/>
      <c r="F769" s="262"/>
    </row>
    <row r="770" spans="1:6">
      <c r="A770" s="262"/>
      <c r="B770" s="262"/>
      <c r="F770" s="262"/>
    </row>
    <row r="771" spans="1:6">
      <c r="A771" s="262"/>
      <c r="B771" s="262"/>
      <c r="F771" s="262"/>
    </row>
    <row r="772" spans="1:6">
      <c r="A772" s="262"/>
      <c r="B772" s="262"/>
      <c r="F772" s="262"/>
    </row>
    <row r="773" spans="1:6">
      <c r="A773" s="262"/>
      <c r="B773" s="262"/>
      <c r="F773" s="262"/>
    </row>
    <row r="774" spans="1:6">
      <c r="A774" s="262"/>
      <c r="B774" s="262"/>
      <c r="F774" s="262"/>
    </row>
    <row r="775" spans="1:6">
      <c r="A775" s="262"/>
      <c r="B775" s="262"/>
      <c r="F775" s="262"/>
    </row>
    <row r="776" spans="1:6">
      <c r="A776" s="262"/>
      <c r="B776" s="262"/>
      <c r="F776" s="262"/>
    </row>
    <row r="777" spans="1:6">
      <c r="A777" s="262"/>
      <c r="B777" s="262"/>
      <c r="F777" s="262"/>
    </row>
    <row r="778" spans="1:6">
      <c r="A778" s="262"/>
      <c r="B778" s="262"/>
      <c r="F778" s="262"/>
    </row>
    <row r="779" spans="1:6">
      <c r="A779" s="262"/>
      <c r="B779" s="262"/>
      <c r="F779" s="262"/>
    </row>
    <row r="780" spans="1:6">
      <c r="A780" s="262"/>
      <c r="B780" s="262"/>
      <c r="F780" s="262"/>
    </row>
    <row r="781" spans="1:6">
      <c r="A781" s="262"/>
      <c r="B781" s="262"/>
      <c r="F781" s="262"/>
    </row>
    <row r="782" spans="1:6">
      <c r="A782" s="262"/>
      <c r="B782" s="262"/>
      <c r="F782" s="262"/>
    </row>
    <row r="783" spans="1:6">
      <c r="A783" s="262"/>
      <c r="B783" s="262"/>
      <c r="F783" s="262"/>
    </row>
    <row r="784" spans="1:6">
      <c r="A784" s="262"/>
      <c r="B784" s="262"/>
      <c r="F784" s="262"/>
    </row>
    <row r="785" spans="1:6">
      <c r="A785" s="262"/>
      <c r="B785" s="262"/>
      <c r="F785" s="262"/>
    </row>
    <row r="786" spans="1:6">
      <c r="A786" s="262"/>
      <c r="B786" s="262"/>
      <c r="F786" s="262"/>
    </row>
    <row r="787" spans="1:6">
      <c r="A787" s="262"/>
      <c r="B787" s="262"/>
      <c r="F787" s="262"/>
    </row>
    <row r="788" spans="1:6">
      <c r="A788" s="262"/>
      <c r="B788" s="262"/>
      <c r="F788" s="262"/>
    </row>
    <row r="789" spans="1:6">
      <c r="A789" s="262"/>
      <c r="B789" s="262"/>
      <c r="F789" s="262"/>
    </row>
    <row r="790" spans="1:6">
      <c r="A790" s="262"/>
      <c r="B790" s="262"/>
      <c r="F790" s="262"/>
    </row>
    <row r="791" spans="1:6">
      <c r="A791" s="262"/>
      <c r="B791" s="262"/>
      <c r="F791" s="262"/>
    </row>
    <row r="792" spans="1:6">
      <c r="A792" s="262"/>
      <c r="B792" s="262"/>
      <c r="F792" s="262"/>
    </row>
    <row r="793" spans="1:6">
      <c r="A793" s="262"/>
      <c r="B793" s="262"/>
      <c r="F793" s="262"/>
    </row>
    <row r="794" spans="1:6">
      <c r="A794" s="262"/>
      <c r="B794" s="262"/>
      <c r="F794" s="262"/>
    </row>
    <row r="795" spans="1:6">
      <c r="A795" s="262"/>
      <c r="B795" s="262"/>
      <c r="F795" s="262"/>
    </row>
    <row r="796" spans="1:6">
      <c r="A796" s="262"/>
      <c r="B796" s="262"/>
      <c r="F796" s="262"/>
    </row>
    <row r="797" spans="1:6">
      <c r="A797" s="262"/>
      <c r="B797" s="262"/>
      <c r="F797" s="262"/>
    </row>
    <row r="798" spans="1:6">
      <c r="A798" s="262"/>
      <c r="B798" s="262"/>
      <c r="F798" s="262"/>
    </row>
    <row r="799" spans="1:6">
      <c r="A799" s="262"/>
      <c r="B799" s="262"/>
      <c r="F799" s="262"/>
    </row>
    <row r="800" spans="1:6">
      <c r="A800" s="262"/>
      <c r="B800" s="262"/>
      <c r="F800" s="262"/>
    </row>
    <row r="801" spans="1:6">
      <c r="A801" s="262"/>
      <c r="B801" s="262"/>
      <c r="F801" s="262"/>
    </row>
    <row r="802" spans="1:6">
      <c r="A802" s="262"/>
      <c r="B802" s="262"/>
      <c r="F802" s="262"/>
    </row>
    <row r="803" spans="1:6">
      <c r="A803" s="262"/>
      <c r="B803" s="262"/>
      <c r="F803" s="262"/>
    </row>
    <row r="804" spans="1:6">
      <c r="A804" s="262"/>
      <c r="B804" s="262"/>
      <c r="F804" s="262"/>
    </row>
    <row r="805" spans="1:6">
      <c r="A805" s="262"/>
      <c r="B805" s="262"/>
      <c r="F805" s="262"/>
    </row>
    <row r="806" spans="1:6">
      <c r="A806" s="262"/>
      <c r="B806" s="262"/>
      <c r="F806" s="262"/>
    </row>
    <row r="807" spans="1:6">
      <c r="A807" s="262"/>
      <c r="B807" s="262"/>
      <c r="F807" s="262"/>
    </row>
    <row r="808" spans="1:6">
      <c r="A808" s="262"/>
      <c r="B808" s="262"/>
      <c r="F808" s="262"/>
    </row>
    <row r="809" spans="1:6">
      <c r="A809" s="262"/>
      <c r="B809" s="262"/>
      <c r="F809" s="262"/>
    </row>
    <row r="810" spans="1:6">
      <c r="A810" s="262"/>
      <c r="B810" s="262"/>
      <c r="F810" s="262"/>
    </row>
    <row r="811" spans="1:6">
      <c r="A811" s="262"/>
      <c r="B811" s="262"/>
      <c r="F811" s="262"/>
    </row>
    <row r="812" spans="1:6">
      <c r="A812" s="262"/>
      <c r="B812" s="262"/>
      <c r="F812" s="262"/>
    </row>
    <row r="813" spans="1:6">
      <c r="A813" s="262"/>
      <c r="B813" s="262"/>
      <c r="F813" s="262"/>
    </row>
    <row r="814" spans="1:6">
      <c r="A814" s="262"/>
      <c r="B814" s="262"/>
      <c r="F814" s="262"/>
    </row>
    <row r="815" spans="1:6">
      <c r="A815" s="262"/>
      <c r="B815" s="262"/>
      <c r="F815" s="262"/>
    </row>
    <row r="816" spans="1:6">
      <c r="A816" s="262"/>
      <c r="B816" s="262"/>
      <c r="F816" s="262"/>
    </row>
    <row r="817" spans="1:6">
      <c r="A817" s="262"/>
      <c r="B817" s="262"/>
      <c r="F817" s="262"/>
    </row>
    <row r="818" spans="1:6">
      <c r="A818" s="262"/>
      <c r="B818" s="262"/>
      <c r="F818" s="262"/>
    </row>
    <row r="819" spans="1:6">
      <c r="A819" s="262"/>
      <c r="B819" s="262"/>
      <c r="F819" s="262"/>
    </row>
    <row r="820" spans="1:6">
      <c r="A820" s="262"/>
      <c r="B820" s="262"/>
      <c r="F820" s="262"/>
    </row>
    <row r="821" spans="1:6">
      <c r="A821" s="262"/>
      <c r="B821" s="262"/>
      <c r="F821" s="262"/>
    </row>
    <row r="822" spans="1:6">
      <c r="A822" s="262"/>
      <c r="B822" s="262"/>
      <c r="F822" s="262"/>
    </row>
    <row r="823" spans="1:6">
      <c r="A823" s="262"/>
      <c r="B823" s="262"/>
      <c r="F823" s="262"/>
    </row>
    <row r="824" spans="1:6">
      <c r="A824" s="262"/>
      <c r="B824" s="262"/>
      <c r="F824" s="262"/>
    </row>
    <row r="825" spans="1:6">
      <c r="A825" s="262"/>
      <c r="B825" s="262"/>
      <c r="F825" s="262"/>
    </row>
    <row r="826" spans="1:6">
      <c r="A826" s="262"/>
      <c r="B826" s="262"/>
      <c r="F826" s="262"/>
    </row>
    <row r="827" spans="1:6">
      <c r="A827" s="262"/>
      <c r="B827" s="262"/>
      <c r="F827" s="262"/>
    </row>
    <row r="828" spans="1:6">
      <c r="A828" s="262"/>
      <c r="B828" s="262"/>
      <c r="F828" s="262"/>
    </row>
    <row r="829" spans="1:6">
      <c r="A829" s="262"/>
      <c r="B829" s="262"/>
      <c r="F829" s="262"/>
    </row>
    <row r="830" spans="1:6">
      <c r="A830" s="262"/>
      <c r="B830" s="262"/>
      <c r="F830" s="262"/>
    </row>
    <row r="831" spans="1:6">
      <c r="A831" s="262"/>
      <c r="B831" s="262"/>
      <c r="F831" s="262"/>
    </row>
    <row r="832" spans="1:6">
      <c r="A832" s="262"/>
      <c r="B832" s="262"/>
      <c r="F832" s="262"/>
    </row>
    <row r="833" spans="1:6">
      <c r="A833" s="262"/>
      <c r="B833" s="262"/>
      <c r="F833" s="262"/>
    </row>
    <row r="834" spans="1:6">
      <c r="A834" s="262"/>
      <c r="B834" s="262"/>
      <c r="F834" s="262"/>
    </row>
    <row r="835" spans="1:6">
      <c r="A835" s="262"/>
      <c r="B835" s="262"/>
      <c r="F835" s="262"/>
    </row>
    <row r="836" spans="1:6">
      <c r="A836" s="262"/>
      <c r="B836" s="262"/>
      <c r="F836" s="262"/>
    </row>
    <row r="837" spans="1:6">
      <c r="A837" s="262"/>
      <c r="B837" s="262"/>
      <c r="F837" s="262"/>
    </row>
    <row r="838" spans="1:6">
      <c r="A838" s="262"/>
      <c r="B838" s="262"/>
      <c r="F838" s="262"/>
    </row>
    <row r="839" spans="1:6">
      <c r="A839" s="262"/>
      <c r="B839" s="262"/>
      <c r="F839" s="262"/>
    </row>
    <row r="840" spans="1:6">
      <c r="A840" s="262"/>
      <c r="B840" s="262"/>
      <c r="F840" s="262"/>
    </row>
    <row r="841" spans="1:6">
      <c r="A841" s="262"/>
      <c r="B841" s="262"/>
      <c r="F841" s="262"/>
    </row>
    <row r="842" spans="1:6">
      <c r="A842" s="262"/>
      <c r="B842" s="262"/>
      <c r="F842" s="262"/>
    </row>
    <row r="843" spans="1:6">
      <c r="A843" s="262"/>
      <c r="B843" s="262"/>
      <c r="F843" s="262"/>
    </row>
    <row r="844" spans="1:6">
      <c r="A844" s="262"/>
      <c r="B844" s="262"/>
      <c r="F844" s="262"/>
    </row>
    <row r="845" spans="1:6">
      <c r="A845" s="262"/>
      <c r="B845" s="262"/>
      <c r="F845" s="262"/>
    </row>
    <row r="846" spans="1:6">
      <c r="A846" s="262"/>
      <c r="B846" s="262"/>
      <c r="F846" s="262"/>
    </row>
    <row r="847" spans="1:6">
      <c r="A847" s="262"/>
      <c r="B847" s="262"/>
      <c r="F847" s="262"/>
    </row>
    <row r="848" spans="1:6">
      <c r="A848" s="262"/>
      <c r="B848" s="262"/>
      <c r="F848" s="262"/>
    </row>
    <row r="849" spans="1:6">
      <c r="A849" s="262"/>
      <c r="B849" s="262"/>
      <c r="F849" s="262"/>
    </row>
    <row r="850" spans="1:6">
      <c r="A850" s="262"/>
      <c r="B850" s="262"/>
      <c r="F850" s="262"/>
    </row>
    <row r="851" spans="1:6">
      <c r="A851" s="262"/>
      <c r="B851" s="262"/>
      <c r="F851" s="262"/>
    </row>
    <row r="852" spans="1:6">
      <c r="A852" s="262"/>
      <c r="B852" s="262"/>
      <c r="F852" s="262"/>
    </row>
    <row r="853" spans="1:6">
      <c r="A853" s="262"/>
      <c r="B853" s="262"/>
      <c r="F853" s="262"/>
    </row>
    <row r="854" spans="1:6">
      <c r="A854" s="262"/>
      <c r="B854" s="262"/>
      <c r="F854" s="262"/>
    </row>
    <row r="855" spans="1:6">
      <c r="A855" s="262"/>
      <c r="B855" s="262"/>
      <c r="F855" s="262"/>
    </row>
    <row r="856" spans="1:6">
      <c r="A856" s="262"/>
      <c r="B856" s="262"/>
      <c r="F856" s="262"/>
    </row>
    <row r="857" spans="1:6">
      <c r="A857" s="262"/>
      <c r="B857" s="262"/>
      <c r="F857" s="262"/>
    </row>
    <row r="858" spans="1:6">
      <c r="A858" s="262"/>
      <c r="B858" s="262"/>
      <c r="F858" s="262"/>
    </row>
    <row r="859" spans="1:6">
      <c r="A859" s="262"/>
      <c r="B859" s="262"/>
      <c r="F859" s="262"/>
    </row>
    <row r="860" spans="1:6">
      <c r="A860" s="262"/>
      <c r="B860" s="262"/>
      <c r="F860" s="262"/>
    </row>
    <row r="861" spans="1:6">
      <c r="A861" s="262"/>
      <c r="B861" s="262"/>
      <c r="F861" s="262"/>
    </row>
    <row r="862" spans="1:6">
      <c r="A862" s="262"/>
      <c r="B862" s="262"/>
      <c r="F862" s="262"/>
    </row>
    <row r="863" spans="1:6">
      <c r="A863" s="262"/>
      <c r="B863" s="262"/>
      <c r="F863" s="262"/>
    </row>
    <row r="864" spans="1:6">
      <c r="A864" s="262"/>
      <c r="B864" s="262"/>
      <c r="F864" s="262"/>
    </row>
    <row r="865" spans="1:6">
      <c r="A865" s="262"/>
      <c r="B865" s="262"/>
      <c r="F865" s="262"/>
    </row>
    <row r="866" spans="1:6">
      <c r="A866" s="262"/>
      <c r="B866" s="262"/>
      <c r="F866" s="262"/>
    </row>
    <row r="867" spans="1:6">
      <c r="A867" s="262"/>
      <c r="B867" s="262"/>
      <c r="F867" s="262"/>
    </row>
    <row r="868" spans="1:6">
      <c r="A868" s="262"/>
      <c r="B868" s="262"/>
      <c r="F868" s="262"/>
    </row>
    <row r="869" spans="1:6">
      <c r="A869" s="262"/>
      <c r="B869" s="262"/>
      <c r="F869" s="262"/>
    </row>
    <row r="870" spans="1:6">
      <c r="A870" s="262"/>
      <c r="B870" s="262"/>
      <c r="F870" s="262"/>
    </row>
    <row r="871" spans="1:6">
      <c r="A871" s="262"/>
      <c r="B871" s="262"/>
      <c r="F871" s="262"/>
    </row>
    <row r="872" spans="1:6">
      <c r="A872" s="262"/>
      <c r="B872" s="262"/>
      <c r="F872" s="262"/>
    </row>
    <row r="873" spans="1:6">
      <c r="A873" s="262"/>
      <c r="B873" s="262"/>
      <c r="F873" s="262"/>
    </row>
    <row r="874" spans="1:6">
      <c r="A874" s="262"/>
      <c r="B874" s="262"/>
      <c r="F874" s="262"/>
    </row>
    <row r="875" spans="1:6">
      <c r="A875" s="262"/>
      <c r="B875" s="262"/>
      <c r="F875" s="262"/>
    </row>
    <row r="876" spans="1:6">
      <c r="A876" s="262"/>
      <c r="B876" s="262"/>
      <c r="F876" s="262"/>
    </row>
    <row r="877" spans="1:6">
      <c r="A877" s="262"/>
      <c r="B877" s="262"/>
      <c r="F877" s="262"/>
    </row>
    <row r="878" spans="1:6">
      <c r="A878" s="262"/>
      <c r="B878" s="262"/>
      <c r="F878" s="262"/>
    </row>
    <row r="879" spans="1:6">
      <c r="A879" s="262"/>
      <c r="B879" s="262"/>
      <c r="F879" s="262"/>
    </row>
    <row r="880" spans="1:6">
      <c r="A880" s="262"/>
      <c r="B880" s="262"/>
      <c r="F880" s="262"/>
    </row>
    <row r="881" spans="1:6">
      <c r="A881" s="262"/>
      <c r="B881" s="262"/>
      <c r="F881" s="262"/>
    </row>
    <row r="882" spans="1:6">
      <c r="A882" s="262"/>
      <c r="B882" s="262"/>
      <c r="F882" s="262"/>
    </row>
    <row r="883" spans="1:6">
      <c r="A883" s="262"/>
      <c r="B883" s="262"/>
      <c r="F883" s="262"/>
    </row>
    <row r="884" spans="1:6">
      <c r="A884" s="262"/>
      <c r="B884" s="262"/>
      <c r="F884" s="262"/>
    </row>
    <row r="885" spans="1:6">
      <c r="A885" s="262"/>
      <c r="B885" s="262"/>
      <c r="F885" s="262"/>
    </row>
    <row r="886" spans="1:6">
      <c r="A886" s="262"/>
      <c r="B886" s="262"/>
      <c r="F886" s="262"/>
    </row>
    <row r="887" spans="1:6">
      <c r="A887" s="262"/>
      <c r="B887" s="262"/>
      <c r="F887" s="262"/>
    </row>
    <row r="888" spans="1:6">
      <c r="A888" s="262"/>
      <c r="B888" s="262"/>
      <c r="F888" s="262"/>
    </row>
    <row r="889" spans="1:6">
      <c r="A889" s="262"/>
      <c r="B889" s="262"/>
      <c r="F889" s="262"/>
    </row>
    <row r="890" spans="1:6">
      <c r="A890" s="262"/>
      <c r="B890" s="262"/>
      <c r="F890" s="262"/>
    </row>
    <row r="891" spans="1:6">
      <c r="A891" s="262"/>
      <c r="B891" s="262"/>
      <c r="F891" s="262"/>
    </row>
    <row r="892" spans="1:6">
      <c r="A892" s="262"/>
      <c r="B892" s="262"/>
      <c r="F892" s="262"/>
    </row>
    <row r="893" spans="1:6">
      <c r="A893" s="262"/>
      <c r="B893" s="262"/>
      <c r="F893" s="262"/>
    </row>
    <row r="894" spans="1:6">
      <c r="A894" s="262"/>
      <c r="B894" s="262"/>
      <c r="F894" s="262"/>
    </row>
    <row r="895" spans="1:6">
      <c r="A895" s="262"/>
      <c r="B895" s="262"/>
      <c r="F895" s="262"/>
    </row>
    <row r="896" spans="1:6">
      <c r="A896" s="262"/>
      <c r="B896" s="262"/>
      <c r="F896" s="262"/>
    </row>
    <row r="897" spans="1:6">
      <c r="A897" s="262"/>
      <c r="B897" s="262"/>
      <c r="F897" s="262"/>
    </row>
    <row r="898" spans="1:6">
      <c r="A898" s="262"/>
      <c r="B898" s="262"/>
      <c r="F898" s="262"/>
    </row>
    <row r="899" spans="1:6">
      <c r="A899" s="262"/>
      <c r="B899" s="262"/>
      <c r="F899" s="262"/>
    </row>
    <row r="900" spans="1:6">
      <c r="A900" s="262"/>
      <c r="B900" s="262"/>
      <c r="F900" s="262"/>
    </row>
    <row r="901" spans="1:6">
      <c r="A901" s="262"/>
      <c r="B901" s="262"/>
      <c r="F901" s="262"/>
    </row>
    <row r="902" spans="1:6">
      <c r="A902" s="262"/>
      <c r="B902" s="262"/>
      <c r="F902" s="262"/>
    </row>
    <row r="903" spans="1:6">
      <c r="A903" s="262"/>
      <c r="B903" s="262"/>
      <c r="F903" s="262"/>
    </row>
    <row r="904" spans="1:6">
      <c r="A904" s="262"/>
      <c r="B904" s="262"/>
      <c r="F904" s="262"/>
    </row>
    <row r="905" spans="1:6">
      <c r="A905" s="262"/>
      <c r="B905" s="262"/>
      <c r="F905" s="262"/>
    </row>
    <row r="906" spans="1:6">
      <c r="A906" s="262"/>
      <c r="B906" s="262"/>
      <c r="F906" s="262"/>
    </row>
    <row r="907" spans="1:6">
      <c r="A907" s="262"/>
      <c r="B907" s="262"/>
      <c r="F907" s="262"/>
    </row>
    <row r="908" spans="1:6">
      <c r="A908" s="262"/>
      <c r="B908" s="262"/>
      <c r="F908" s="262"/>
    </row>
    <row r="909" spans="1:6">
      <c r="A909" s="262"/>
      <c r="B909" s="262"/>
      <c r="F909" s="262"/>
    </row>
    <row r="910" spans="1:6">
      <c r="A910" s="262"/>
      <c r="B910" s="262"/>
      <c r="F910" s="262"/>
    </row>
    <row r="911" spans="1:6">
      <c r="A911" s="262"/>
      <c r="B911" s="262"/>
      <c r="F911" s="262"/>
    </row>
    <row r="912" spans="1:6">
      <c r="A912" s="262"/>
      <c r="B912" s="262"/>
      <c r="F912" s="262"/>
    </row>
    <row r="913" spans="1:6">
      <c r="A913" s="262"/>
      <c r="B913" s="262"/>
      <c r="F913" s="262"/>
    </row>
    <row r="914" spans="1:6">
      <c r="A914" s="262"/>
      <c r="B914" s="262"/>
      <c r="F914" s="262"/>
    </row>
    <row r="915" spans="1:6">
      <c r="A915" s="262"/>
      <c r="B915" s="262"/>
      <c r="F915" s="262"/>
    </row>
    <row r="916" spans="1:6">
      <c r="A916" s="262"/>
      <c r="B916" s="262"/>
      <c r="F916" s="262"/>
    </row>
    <row r="917" spans="1:6">
      <c r="A917" s="262"/>
      <c r="B917" s="262"/>
      <c r="F917" s="262"/>
    </row>
    <row r="918" spans="1:6">
      <c r="A918" s="262"/>
      <c r="B918" s="262"/>
      <c r="F918" s="262"/>
    </row>
    <row r="919" spans="1:6">
      <c r="A919" s="262"/>
      <c r="B919" s="262"/>
      <c r="F919" s="262"/>
    </row>
    <row r="920" spans="1:6">
      <c r="A920" s="262"/>
      <c r="B920" s="262"/>
      <c r="F920" s="262"/>
    </row>
    <row r="921" spans="1:6">
      <c r="A921" s="262"/>
      <c r="B921" s="262"/>
      <c r="F921" s="262"/>
    </row>
    <row r="922" spans="1:6">
      <c r="A922" s="262"/>
      <c r="B922" s="262"/>
      <c r="F922" s="262"/>
    </row>
    <row r="923" spans="1:6">
      <c r="A923" s="262"/>
      <c r="B923" s="262"/>
      <c r="F923" s="262"/>
    </row>
    <row r="924" spans="1:6">
      <c r="A924" s="262"/>
      <c r="B924" s="262"/>
      <c r="F924" s="262"/>
    </row>
    <row r="925" spans="1:6">
      <c r="A925" s="262"/>
      <c r="B925" s="262"/>
      <c r="F925" s="262"/>
    </row>
    <row r="926" spans="1:6">
      <c r="A926" s="262"/>
      <c r="B926" s="262"/>
      <c r="F926" s="262"/>
    </row>
    <row r="927" spans="1:6">
      <c r="A927" s="262"/>
      <c r="B927" s="262"/>
      <c r="F927" s="262"/>
    </row>
    <row r="928" spans="1:6">
      <c r="A928" s="262"/>
      <c r="B928" s="262"/>
      <c r="F928" s="262"/>
    </row>
    <row r="929" spans="1:6">
      <c r="A929" s="262"/>
      <c r="B929" s="262"/>
      <c r="F929" s="262"/>
    </row>
    <row r="930" spans="1:6">
      <c r="A930" s="262"/>
      <c r="B930" s="262"/>
      <c r="F930" s="262"/>
    </row>
    <row r="931" spans="1:6">
      <c r="A931" s="262"/>
      <c r="B931" s="262"/>
      <c r="F931" s="262"/>
    </row>
    <row r="932" spans="1:6">
      <c r="A932" s="262"/>
      <c r="B932" s="262"/>
      <c r="F932" s="262"/>
    </row>
    <row r="933" spans="1:6">
      <c r="A933" s="262"/>
      <c r="B933" s="262"/>
      <c r="F933" s="262"/>
    </row>
    <row r="934" spans="1:6">
      <c r="A934" s="262"/>
      <c r="B934" s="262"/>
      <c r="F934" s="262"/>
    </row>
    <row r="935" spans="1:6">
      <c r="A935" s="262"/>
      <c r="B935" s="262"/>
      <c r="F935" s="262"/>
    </row>
    <row r="936" spans="1:6">
      <c r="A936" s="262"/>
      <c r="B936" s="262"/>
      <c r="F936" s="262"/>
    </row>
    <row r="937" spans="1:6">
      <c r="A937" s="262"/>
      <c r="B937" s="262"/>
      <c r="F937" s="262"/>
    </row>
    <row r="938" spans="1:6">
      <c r="A938" s="262"/>
      <c r="B938" s="262"/>
      <c r="F938" s="262"/>
    </row>
    <row r="939" spans="1:6">
      <c r="A939" s="262"/>
      <c r="B939" s="262"/>
      <c r="F939" s="262"/>
    </row>
    <row r="940" spans="1:6">
      <c r="A940" s="262"/>
      <c r="B940" s="262"/>
      <c r="F940" s="262"/>
    </row>
    <row r="941" spans="1:6">
      <c r="A941" s="262"/>
      <c r="B941" s="262"/>
      <c r="F941" s="262"/>
    </row>
    <row r="942" spans="1:6">
      <c r="A942" s="262"/>
      <c r="B942" s="262"/>
      <c r="F942" s="262"/>
    </row>
    <row r="943" spans="1:6">
      <c r="A943" s="262"/>
      <c r="B943" s="262"/>
      <c r="F943" s="262"/>
    </row>
    <row r="944" spans="1:6">
      <c r="A944" s="262"/>
      <c r="B944" s="262"/>
      <c r="F944" s="262"/>
    </row>
    <row r="945" spans="1:6">
      <c r="A945" s="262"/>
      <c r="B945" s="262"/>
      <c r="F945" s="262"/>
    </row>
    <row r="946" spans="1:6">
      <c r="A946" s="262"/>
      <c r="B946" s="262"/>
      <c r="F946" s="262"/>
    </row>
    <row r="947" spans="1:6">
      <c r="A947" s="262"/>
      <c r="B947" s="262"/>
      <c r="F947" s="262"/>
    </row>
    <row r="948" spans="1:6">
      <c r="A948" s="262"/>
      <c r="B948" s="262"/>
      <c r="F948" s="262"/>
    </row>
    <row r="949" spans="1:6">
      <c r="A949" s="262"/>
      <c r="B949" s="262"/>
      <c r="F949" s="262"/>
    </row>
    <row r="950" spans="1:6">
      <c r="A950" s="262"/>
      <c r="B950" s="262"/>
      <c r="F950" s="262"/>
    </row>
    <row r="951" spans="1:6">
      <c r="A951" s="262"/>
      <c r="B951" s="262"/>
      <c r="F951" s="262"/>
    </row>
    <row r="952" spans="1:6">
      <c r="A952" s="262"/>
      <c r="B952" s="262"/>
      <c r="F952" s="262"/>
    </row>
    <row r="953" spans="1:6">
      <c r="A953" s="262"/>
      <c r="B953" s="262"/>
      <c r="F953" s="262"/>
    </row>
    <row r="954" spans="1:6">
      <c r="A954" s="262"/>
      <c r="B954" s="262"/>
      <c r="F954" s="262"/>
    </row>
    <row r="955" spans="1:6">
      <c r="A955" s="262"/>
      <c r="B955" s="262"/>
      <c r="F955" s="262"/>
    </row>
    <row r="956" spans="1:6">
      <c r="A956" s="262"/>
      <c r="B956" s="262"/>
      <c r="F956" s="262"/>
    </row>
    <row r="957" spans="1:6">
      <c r="A957" s="262"/>
      <c r="B957" s="262"/>
      <c r="F957" s="262"/>
    </row>
    <row r="958" spans="1:6">
      <c r="A958" s="262"/>
      <c r="B958" s="262"/>
      <c r="F958" s="262"/>
    </row>
    <row r="959" spans="1:6">
      <c r="A959" s="262"/>
      <c r="B959" s="262"/>
      <c r="F959" s="262"/>
    </row>
    <row r="960" spans="1:6">
      <c r="A960" s="262"/>
      <c r="B960" s="262"/>
      <c r="F960" s="262"/>
    </row>
    <row r="961" spans="1:6">
      <c r="A961" s="262"/>
      <c r="B961" s="262"/>
      <c r="F961" s="262"/>
    </row>
    <row r="962" spans="1:6">
      <c r="A962" s="262"/>
      <c r="B962" s="262"/>
      <c r="F962" s="262"/>
    </row>
    <row r="963" spans="1:6">
      <c r="A963" s="262"/>
      <c r="B963" s="262"/>
      <c r="F963" s="262"/>
    </row>
    <row r="964" spans="1:6">
      <c r="A964" s="262"/>
      <c r="B964" s="262"/>
      <c r="F964" s="262"/>
    </row>
    <row r="965" spans="1:6">
      <c r="A965" s="262"/>
      <c r="B965" s="262"/>
      <c r="F965" s="262"/>
    </row>
    <row r="966" spans="1:6">
      <c r="A966" s="262"/>
      <c r="B966" s="262"/>
      <c r="F966" s="262"/>
    </row>
    <row r="967" spans="1:6">
      <c r="A967" s="262"/>
      <c r="B967" s="262"/>
      <c r="F967" s="262"/>
    </row>
    <row r="968" spans="1:6">
      <c r="A968" s="262"/>
      <c r="B968" s="262"/>
      <c r="F968" s="262"/>
    </row>
    <row r="969" spans="1:6">
      <c r="A969" s="262"/>
      <c r="B969" s="262"/>
      <c r="F969" s="262"/>
    </row>
    <row r="970" spans="1:6">
      <c r="A970" s="262"/>
      <c r="B970" s="262"/>
      <c r="F970" s="262"/>
    </row>
    <row r="971" spans="1:6">
      <c r="A971" s="262"/>
      <c r="B971" s="262"/>
      <c r="F971" s="262"/>
    </row>
    <row r="972" spans="1:6">
      <c r="A972" s="262"/>
      <c r="B972" s="262"/>
      <c r="F972" s="262"/>
    </row>
    <row r="973" spans="1:6">
      <c r="A973" s="262"/>
      <c r="B973" s="262"/>
      <c r="F973" s="262"/>
    </row>
    <row r="974" spans="1:6">
      <c r="A974" s="262"/>
      <c r="B974" s="262"/>
      <c r="F974" s="262"/>
    </row>
    <row r="975" spans="1:6">
      <c r="A975" s="262"/>
      <c r="B975" s="262"/>
      <c r="F975" s="262"/>
    </row>
    <row r="976" spans="1:6">
      <c r="A976" s="262"/>
      <c r="B976" s="262"/>
      <c r="F976" s="262"/>
    </row>
    <row r="977" spans="1:6">
      <c r="A977" s="262"/>
      <c r="B977" s="262"/>
      <c r="F977" s="262"/>
    </row>
    <row r="978" spans="1:6">
      <c r="A978" s="262"/>
      <c r="B978" s="262"/>
      <c r="F978" s="262"/>
    </row>
    <row r="979" spans="1:6">
      <c r="A979" s="262"/>
      <c r="B979" s="262"/>
      <c r="F979" s="262"/>
    </row>
    <row r="980" spans="1:6">
      <c r="A980" s="262"/>
      <c r="B980" s="262"/>
      <c r="F980" s="262"/>
    </row>
    <row r="981" spans="1:6">
      <c r="A981" s="262"/>
      <c r="B981" s="262"/>
      <c r="F981" s="262"/>
    </row>
    <row r="982" spans="1:6">
      <c r="A982" s="262"/>
      <c r="B982" s="262"/>
      <c r="F982" s="262"/>
    </row>
    <row r="983" spans="1:6">
      <c r="A983" s="262"/>
      <c r="B983" s="262"/>
      <c r="F983" s="262"/>
    </row>
    <row r="984" spans="1:6">
      <c r="A984" s="262"/>
      <c r="B984" s="262"/>
      <c r="F984" s="262"/>
    </row>
    <row r="985" spans="1:6">
      <c r="A985" s="262"/>
      <c r="B985" s="262"/>
      <c r="F985" s="262"/>
    </row>
    <row r="986" spans="1:6">
      <c r="A986" s="262"/>
      <c r="B986" s="262"/>
      <c r="F986" s="262"/>
    </row>
    <row r="987" spans="1:6">
      <c r="A987" s="262"/>
      <c r="B987" s="262"/>
      <c r="F987" s="262"/>
    </row>
    <row r="988" spans="1:6">
      <c r="A988" s="262"/>
      <c r="B988" s="262"/>
      <c r="F988" s="262"/>
    </row>
    <row r="989" spans="1:6">
      <c r="A989" s="262"/>
      <c r="B989" s="262"/>
      <c r="F989" s="262"/>
    </row>
    <row r="990" spans="1:6">
      <c r="A990" s="262"/>
      <c r="B990" s="262"/>
      <c r="F990" s="262"/>
    </row>
    <row r="991" spans="1:6">
      <c r="A991" s="262"/>
      <c r="B991" s="262"/>
      <c r="F991" s="262"/>
    </row>
    <row r="992" spans="1:6">
      <c r="A992" s="262"/>
      <c r="B992" s="262"/>
      <c r="F992" s="262"/>
    </row>
    <row r="993" spans="1:6">
      <c r="A993" s="262"/>
      <c r="B993" s="262"/>
      <c r="F993" s="262"/>
    </row>
    <row r="994" spans="1:6">
      <c r="A994" s="262"/>
      <c r="B994" s="262"/>
      <c r="F994" s="262"/>
    </row>
    <row r="995" spans="1:6">
      <c r="A995" s="262"/>
      <c r="B995" s="262"/>
      <c r="F995" s="262"/>
    </row>
    <row r="996" spans="1:6">
      <c r="A996" s="262"/>
      <c r="B996" s="262"/>
      <c r="F996" s="262"/>
    </row>
    <row r="997" spans="1:6">
      <c r="A997" s="262"/>
      <c r="B997" s="262"/>
      <c r="F997" s="262"/>
    </row>
    <row r="998" spans="1:6">
      <c r="A998" s="262"/>
      <c r="B998" s="262"/>
      <c r="F998" s="262"/>
    </row>
    <row r="999" spans="1:6">
      <c r="A999" s="262"/>
      <c r="B999" s="262"/>
      <c r="F999" s="262"/>
    </row>
    <row r="1000" spans="1:6">
      <c r="A1000" s="262"/>
      <c r="B1000" s="262"/>
      <c r="F1000" s="262"/>
    </row>
    <row r="1001" spans="1:6">
      <c r="A1001" s="262"/>
      <c r="B1001" s="262"/>
      <c r="F1001" s="262"/>
    </row>
  </sheetData>
  <mergeCells count="10">
    <mergeCell ref="B42:F42"/>
    <mergeCell ref="B43:F43"/>
    <mergeCell ref="B58:F58"/>
    <mergeCell ref="B1:F1"/>
    <mergeCell ref="B3:F3"/>
    <mergeCell ref="B8:F8"/>
    <mergeCell ref="B16:F16"/>
    <mergeCell ref="B21:F21"/>
    <mergeCell ref="B34:F34"/>
    <mergeCell ref="B35:F3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F5CC-60BD-4848-A2E3-858870F3C992}">
  <sheetPr>
    <tabColor theme="4"/>
  </sheetPr>
  <dimension ref="A1:W27"/>
  <sheetViews>
    <sheetView tabSelected="1" zoomScale="112" workbookViewId="0">
      <selection sqref="A1:XFD1048576"/>
    </sheetView>
  </sheetViews>
  <sheetFormatPr baseColWidth="10" defaultColWidth="10.3984375" defaultRowHeight="14"/>
  <cols>
    <col min="1" max="1" width="14.3984375" style="267" customWidth="1"/>
    <col min="2" max="2" width="12" style="267" customWidth="1"/>
    <col min="3" max="22" width="10.796875" style="267" customWidth="1"/>
    <col min="23" max="16384" width="10.3984375" style="267"/>
  </cols>
  <sheetData>
    <row r="1" spans="1:23" ht="18">
      <c r="A1" s="357" t="s">
        <v>403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  <c r="V1" s="357"/>
      <c r="W1" s="357"/>
    </row>
    <row r="2" spans="1:23" ht="18" customHeight="1">
      <c r="A2" s="389" t="s">
        <v>404</v>
      </c>
      <c r="B2" s="389"/>
      <c r="C2" s="389"/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89"/>
      <c r="V2" s="389"/>
    </row>
    <row r="3" spans="1:23" ht="15" thickBot="1"/>
    <row r="4" spans="1:23" ht="25.5" customHeight="1" thickBot="1">
      <c r="A4" s="284" t="s">
        <v>405</v>
      </c>
      <c r="B4" s="284" t="s">
        <v>406</v>
      </c>
      <c r="C4" s="293" t="s">
        <v>407</v>
      </c>
      <c r="D4" s="293" t="s">
        <v>408</v>
      </c>
      <c r="E4" s="293" t="s">
        <v>409</v>
      </c>
      <c r="F4" s="293" t="s">
        <v>410</v>
      </c>
      <c r="G4" s="293" t="s">
        <v>411</v>
      </c>
      <c r="H4" s="293" t="s">
        <v>412</v>
      </c>
      <c r="I4" s="293" t="s">
        <v>413</v>
      </c>
      <c r="J4" s="293" t="s">
        <v>414</v>
      </c>
      <c r="K4" s="293" t="s">
        <v>415</v>
      </c>
      <c r="L4" s="293" t="s">
        <v>416</v>
      </c>
      <c r="M4" s="293" t="s">
        <v>417</v>
      </c>
      <c r="N4" s="293" t="s">
        <v>418</v>
      </c>
      <c r="O4" s="293" t="s">
        <v>419</v>
      </c>
      <c r="P4" s="293" t="s">
        <v>420</v>
      </c>
      <c r="Q4" s="293" t="s">
        <v>421</v>
      </c>
      <c r="R4" s="293" t="s">
        <v>422</v>
      </c>
      <c r="S4" s="293" t="s">
        <v>423</v>
      </c>
      <c r="T4" s="293" t="s">
        <v>424</v>
      </c>
      <c r="U4" s="293" t="s">
        <v>425</v>
      </c>
      <c r="V4" s="293" t="s">
        <v>426</v>
      </c>
      <c r="W4" s="294">
        <v>0.75</v>
      </c>
    </row>
    <row r="5" spans="1:23" ht="48" customHeight="1">
      <c r="A5" s="390" t="s">
        <v>427</v>
      </c>
      <c r="B5" s="387" t="s">
        <v>428</v>
      </c>
      <c r="C5" s="299"/>
      <c r="D5" s="299"/>
      <c r="E5" s="299"/>
      <c r="F5" s="371" t="s">
        <v>429</v>
      </c>
      <c r="G5" s="372"/>
      <c r="H5" s="372"/>
      <c r="I5" s="372" t="s">
        <v>430</v>
      </c>
      <c r="J5" s="372"/>
      <c r="K5" s="373"/>
      <c r="L5" s="299"/>
      <c r="M5" s="377" t="s">
        <v>441</v>
      </c>
      <c r="N5" s="378"/>
      <c r="O5" s="379" t="s">
        <v>442</v>
      </c>
      <c r="P5" s="380"/>
      <c r="Q5" s="380"/>
      <c r="R5" s="380"/>
      <c r="S5" s="380"/>
      <c r="T5" s="380"/>
      <c r="U5" s="380"/>
      <c r="V5" s="381"/>
    </row>
    <row r="6" spans="1:23" ht="60" customHeight="1">
      <c r="A6" s="391"/>
      <c r="B6" s="388"/>
      <c r="C6" s="270"/>
      <c r="D6" s="270"/>
      <c r="E6" s="270"/>
      <c r="F6" s="270"/>
      <c r="G6" s="270"/>
      <c r="H6" s="270"/>
      <c r="I6" s="270"/>
      <c r="J6" s="270"/>
      <c r="K6" s="270"/>
      <c r="L6" s="271"/>
      <c r="M6" s="361" t="s">
        <v>464</v>
      </c>
      <c r="N6" s="362"/>
      <c r="O6" s="358" t="s">
        <v>465</v>
      </c>
      <c r="P6" s="394"/>
      <c r="Q6" s="359"/>
      <c r="R6" s="359"/>
      <c r="S6" s="359"/>
      <c r="T6" s="359"/>
      <c r="U6" s="359"/>
      <c r="V6" s="360"/>
    </row>
    <row r="7" spans="1:23" ht="60" customHeight="1">
      <c r="A7" s="391"/>
      <c r="B7" s="268" t="s">
        <v>431</v>
      </c>
      <c r="C7" s="339" t="s">
        <v>440</v>
      </c>
      <c r="D7" s="340"/>
      <c r="E7" s="363"/>
      <c r="F7" s="339" t="s">
        <v>443</v>
      </c>
      <c r="G7" s="340"/>
      <c r="H7" s="363"/>
      <c r="I7" s="270"/>
      <c r="J7" s="270"/>
      <c r="K7" s="270"/>
      <c r="L7" s="271"/>
      <c r="M7" s="285"/>
      <c r="N7" s="270"/>
      <c r="O7" s="271"/>
      <c r="P7" s="291"/>
      <c r="Q7" s="272"/>
      <c r="R7" s="270"/>
      <c r="S7" s="270"/>
      <c r="T7" s="270"/>
      <c r="U7" s="270"/>
      <c r="V7" s="286"/>
    </row>
    <row r="8" spans="1:23" ht="37" customHeight="1" thickBot="1">
      <c r="A8" s="391"/>
      <c r="B8" s="269" t="s">
        <v>432</v>
      </c>
      <c r="C8" s="270"/>
      <c r="D8" s="270"/>
      <c r="E8" s="270"/>
      <c r="F8" s="270"/>
      <c r="G8" s="270"/>
      <c r="H8" s="270"/>
      <c r="I8" s="270"/>
      <c r="J8" s="270"/>
      <c r="K8" s="270"/>
      <c r="L8" s="271"/>
      <c r="M8" s="346" t="s">
        <v>444</v>
      </c>
      <c r="N8" s="347"/>
      <c r="O8" s="347"/>
      <c r="P8" s="348"/>
      <c r="Q8" s="347"/>
      <c r="R8" s="347"/>
      <c r="S8" s="349"/>
      <c r="T8" s="287"/>
      <c r="U8" s="287"/>
      <c r="V8" s="288"/>
    </row>
    <row r="9" spans="1:23" ht="27" thickBot="1">
      <c r="A9" s="392"/>
      <c r="B9" s="303" t="s">
        <v>433</v>
      </c>
      <c r="C9" s="304"/>
      <c r="D9" s="304"/>
      <c r="E9" s="304"/>
      <c r="F9" s="304"/>
      <c r="G9" s="304"/>
      <c r="H9" s="304"/>
      <c r="I9" s="304"/>
      <c r="J9" s="304"/>
      <c r="K9" s="304"/>
      <c r="L9" s="304"/>
      <c r="M9" s="305"/>
      <c r="N9" s="305"/>
      <c r="O9" s="306"/>
      <c r="P9" s="325"/>
      <c r="Q9" s="307"/>
      <c r="R9" s="305"/>
      <c r="S9" s="305"/>
      <c r="T9" s="305"/>
      <c r="U9" s="305"/>
      <c r="V9" s="308"/>
    </row>
    <row r="10" spans="1:23" ht="49" customHeight="1" thickBot="1">
      <c r="A10" s="390" t="s">
        <v>434</v>
      </c>
      <c r="B10" s="309" t="s">
        <v>428</v>
      </c>
      <c r="C10" s="299"/>
      <c r="D10" s="299"/>
      <c r="E10" s="299"/>
      <c r="F10" s="371" t="s">
        <v>445</v>
      </c>
      <c r="G10" s="372"/>
      <c r="H10" s="373"/>
      <c r="I10" s="371" t="s">
        <v>435</v>
      </c>
      <c r="J10" s="372"/>
      <c r="K10" s="373"/>
      <c r="L10" s="299"/>
      <c r="M10" s="368" t="s">
        <v>446</v>
      </c>
      <c r="N10" s="369"/>
      <c r="O10" s="369"/>
      <c r="P10" s="369"/>
      <c r="Q10" s="369"/>
      <c r="R10" s="370"/>
      <c r="S10" s="310"/>
      <c r="T10" s="310"/>
      <c r="U10" s="310"/>
      <c r="V10" s="311"/>
    </row>
    <row r="11" spans="1:23" ht="48" customHeight="1">
      <c r="A11" s="391"/>
      <c r="B11" s="268" t="s">
        <v>431</v>
      </c>
      <c r="C11" s="270"/>
      <c r="D11" s="270"/>
      <c r="E11" s="270"/>
      <c r="F11" s="270"/>
      <c r="G11" s="270"/>
      <c r="H11" s="270"/>
      <c r="I11" s="344" t="s">
        <v>447</v>
      </c>
      <c r="J11" s="345"/>
      <c r="K11" s="345"/>
      <c r="L11" s="364"/>
      <c r="M11" s="365" t="s">
        <v>448</v>
      </c>
      <c r="N11" s="366"/>
      <c r="O11" s="366"/>
      <c r="P11" s="366"/>
      <c r="Q11" s="366"/>
      <c r="R11" s="366"/>
      <c r="S11" s="367"/>
      <c r="T11" s="296"/>
      <c r="U11" s="296"/>
      <c r="V11" s="312"/>
    </row>
    <row r="12" spans="1:23" ht="61" customHeight="1" thickBot="1">
      <c r="A12" s="391"/>
      <c r="B12" s="269" t="s">
        <v>432</v>
      </c>
      <c r="C12" s="333" t="s">
        <v>449</v>
      </c>
      <c r="D12" s="350"/>
      <c r="E12" s="333" t="s">
        <v>450</v>
      </c>
      <c r="F12" s="334"/>
      <c r="G12" s="334"/>
      <c r="H12" s="334"/>
      <c r="I12" s="334"/>
      <c r="J12" s="334"/>
      <c r="K12" s="334"/>
      <c r="L12" s="351"/>
      <c r="M12" s="331" t="s">
        <v>451</v>
      </c>
      <c r="N12" s="332"/>
      <c r="O12" s="352" t="s">
        <v>452</v>
      </c>
      <c r="P12" s="353"/>
      <c r="Q12" s="353"/>
      <c r="R12" s="353"/>
      <c r="S12" s="353"/>
      <c r="T12" s="353"/>
      <c r="U12" s="353"/>
      <c r="V12" s="354"/>
    </row>
    <row r="13" spans="1:23" ht="27" thickBot="1">
      <c r="A13" s="392"/>
      <c r="B13" s="303" t="s">
        <v>433</v>
      </c>
      <c r="C13" s="304"/>
      <c r="D13" s="304"/>
      <c r="E13" s="304"/>
      <c r="F13" s="304"/>
      <c r="G13" s="304"/>
      <c r="H13" s="304"/>
      <c r="I13" s="304"/>
      <c r="J13" s="304"/>
      <c r="K13" s="304"/>
      <c r="L13" s="304"/>
      <c r="M13" s="305"/>
      <c r="N13" s="305"/>
      <c r="O13" s="305"/>
      <c r="P13" s="330"/>
      <c r="Q13" s="307"/>
      <c r="R13" s="305"/>
      <c r="S13" s="305"/>
      <c r="T13" s="305"/>
      <c r="U13" s="305"/>
      <c r="V13" s="308"/>
    </row>
    <row r="14" spans="1:23" ht="26">
      <c r="A14" s="390" t="s">
        <v>436</v>
      </c>
      <c r="B14" s="309" t="s">
        <v>428</v>
      </c>
      <c r="C14" s="299"/>
      <c r="D14" s="299"/>
      <c r="E14" s="299"/>
      <c r="F14" s="299"/>
      <c r="G14" s="299"/>
      <c r="H14" s="299"/>
      <c r="I14" s="299"/>
      <c r="J14" s="299"/>
      <c r="K14" s="299"/>
      <c r="L14" s="299"/>
      <c r="M14" s="299"/>
      <c r="N14" s="299"/>
      <c r="O14" s="300"/>
      <c r="P14" s="313"/>
      <c r="Q14" s="301"/>
      <c r="R14" s="299"/>
      <c r="S14" s="299"/>
      <c r="T14" s="299"/>
      <c r="U14" s="299"/>
      <c r="V14" s="314"/>
    </row>
    <row r="15" spans="1:23" ht="26">
      <c r="A15" s="391"/>
      <c r="B15" s="268" t="s">
        <v>431</v>
      </c>
      <c r="C15" s="270"/>
      <c r="D15" s="270"/>
      <c r="E15" s="270"/>
      <c r="F15" s="270"/>
      <c r="G15" s="270"/>
      <c r="H15" s="270"/>
      <c r="I15" s="270"/>
      <c r="J15" s="270"/>
      <c r="K15" s="270"/>
      <c r="L15" s="270"/>
      <c r="M15" s="270"/>
      <c r="N15" s="270"/>
      <c r="O15" s="271"/>
      <c r="P15" s="291"/>
      <c r="Q15" s="272"/>
      <c r="R15" s="270"/>
      <c r="S15" s="270"/>
      <c r="T15" s="270"/>
      <c r="U15" s="270"/>
      <c r="V15" s="302"/>
    </row>
    <row r="16" spans="1:23" ht="60" customHeight="1">
      <c r="A16" s="391"/>
      <c r="B16" s="269" t="s">
        <v>432</v>
      </c>
      <c r="C16" s="270"/>
      <c r="D16" s="270"/>
      <c r="E16" s="344" t="s">
        <v>453</v>
      </c>
      <c r="F16" s="345"/>
      <c r="G16" s="345"/>
      <c r="H16" s="345"/>
      <c r="I16" s="345"/>
      <c r="J16" s="355"/>
      <c r="K16" s="270"/>
      <c r="L16" s="270"/>
      <c r="M16" s="270"/>
      <c r="N16" s="270"/>
      <c r="O16" s="271"/>
      <c r="P16" s="291"/>
      <c r="Q16" s="272"/>
      <c r="R16" s="270"/>
      <c r="S16" s="270"/>
      <c r="T16" s="270"/>
      <c r="U16" s="270"/>
      <c r="V16" s="302"/>
    </row>
    <row r="17" spans="1:22" ht="27" thickBot="1">
      <c r="A17" s="392"/>
      <c r="B17" s="303" t="s">
        <v>433</v>
      </c>
      <c r="C17" s="304"/>
      <c r="D17" s="304"/>
      <c r="E17" s="304"/>
      <c r="F17" s="304"/>
      <c r="G17" s="304"/>
      <c r="H17" s="304"/>
      <c r="I17" s="304"/>
      <c r="J17" s="304"/>
      <c r="K17" s="304"/>
      <c r="L17" s="304"/>
      <c r="M17" s="273"/>
      <c r="N17" s="273"/>
      <c r="O17" s="290"/>
      <c r="P17" s="317"/>
      <c r="Q17" s="295"/>
      <c r="R17" s="273"/>
      <c r="S17" s="273"/>
      <c r="T17" s="273"/>
      <c r="U17" s="273"/>
      <c r="V17" s="321"/>
    </row>
    <row r="18" spans="1:22" ht="48" customHeight="1">
      <c r="A18" s="390" t="s">
        <v>437</v>
      </c>
      <c r="B18" s="387" t="s">
        <v>428</v>
      </c>
      <c r="C18" s="299"/>
      <c r="D18" s="299"/>
      <c r="E18" s="299"/>
      <c r="F18" s="371" t="s">
        <v>429</v>
      </c>
      <c r="G18" s="372"/>
      <c r="H18" s="373"/>
      <c r="I18" s="371" t="s">
        <v>430</v>
      </c>
      <c r="J18" s="372"/>
      <c r="K18" s="373"/>
      <c r="L18" s="300"/>
      <c r="M18" s="377" t="s">
        <v>454</v>
      </c>
      <c r="N18" s="378"/>
      <c r="O18" s="379" t="s">
        <v>455</v>
      </c>
      <c r="P18" s="380"/>
      <c r="Q18" s="380"/>
      <c r="R18" s="380"/>
      <c r="S18" s="380"/>
      <c r="T18" s="380"/>
      <c r="U18" s="380"/>
      <c r="V18" s="381"/>
    </row>
    <row r="19" spans="1:22" ht="60" customHeight="1">
      <c r="A19" s="391"/>
      <c r="B19" s="388"/>
      <c r="C19" s="270"/>
      <c r="D19" s="270"/>
      <c r="E19" s="270"/>
      <c r="F19" s="270"/>
      <c r="G19" s="270"/>
      <c r="H19" s="270"/>
      <c r="I19" s="270"/>
      <c r="J19" s="270"/>
      <c r="K19" s="270"/>
      <c r="L19" s="271"/>
      <c r="M19" s="361" t="s">
        <v>466</v>
      </c>
      <c r="N19" s="362"/>
      <c r="O19" s="358" t="s">
        <v>467</v>
      </c>
      <c r="P19" s="359"/>
      <c r="Q19" s="359"/>
      <c r="R19" s="359"/>
      <c r="S19" s="359"/>
      <c r="T19" s="359"/>
      <c r="U19" s="359"/>
      <c r="V19" s="360"/>
    </row>
    <row r="20" spans="1:22" ht="72" customHeight="1">
      <c r="A20" s="391"/>
      <c r="B20" s="268" t="s">
        <v>431</v>
      </c>
      <c r="C20" s="344" t="s">
        <v>440</v>
      </c>
      <c r="D20" s="345"/>
      <c r="E20" s="355"/>
      <c r="F20" s="344" t="s">
        <v>443</v>
      </c>
      <c r="G20" s="345"/>
      <c r="H20" s="355"/>
      <c r="I20" s="270"/>
      <c r="J20" s="270"/>
      <c r="K20" s="270"/>
      <c r="L20" s="271"/>
      <c r="M20" s="382" t="s">
        <v>456</v>
      </c>
      <c r="N20" s="363"/>
      <c r="O20" s="339" t="s">
        <v>457</v>
      </c>
      <c r="P20" s="340"/>
      <c r="Q20" s="340"/>
      <c r="R20" s="340"/>
      <c r="S20" s="340"/>
      <c r="T20" s="340"/>
      <c r="U20" s="340"/>
      <c r="V20" s="341"/>
    </row>
    <row r="21" spans="1:22" ht="61" customHeight="1" thickBot="1">
      <c r="A21" s="391"/>
      <c r="B21" s="269" t="s">
        <v>432</v>
      </c>
      <c r="C21" s="270"/>
      <c r="D21" s="270"/>
      <c r="E21" s="270"/>
      <c r="F21" s="270"/>
      <c r="G21" s="270"/>
      <c r="H21" s="270"/>
      <c r="I21" s="270"/>
      <c r="J21" s="270"/>
      <c r="K21" s="270"/>
      <c r="L21" s="271"/>
      <c r="M21" s="331" t="s">
        <v>458</v>
      </c>
      <c r="N21" s="332"/>
      <c r="O21" s="352" t="s">
        <v>459</v>
      </c>
      <c r="P21" s="353"/>
      <c r="Q21" s="353"/>
      <c r="R21" s="353"/>
      <c r="S21" s="353"/>
      <c r="T21" s="353"/>
      <c r="U21" s="353"/>
      <c r="V21" s="356"/>
    </row>
    <row r="22" spans="1:22" ht="27" thickBot="1">
      <c r="A22" s="393"/>
      <c r="B22" s="274" t="s">
        <v>433</v>
      </c>
      <c r="C22" s="273"/>
      <c r="D22" s="273"/>
      <c r="E22" s="273"/>
      <c r="F22" s="273"/>
      <c r="G22" s="273"/>
      <c r="H22" s="273"/>
      <c r="I22" s="273"/>
      <c r="J22" s="273"/>
      <c r="K22" s="273"/>
      <c r="L22" s="273"/>
      <c r="M22" s="280"/>
      <c r="N22" s="280"/>
      <c r="O22" s="315"/>
      <c r="P22" s="322"/>
      <c r="Q22" s="316"/>
      <c r="R22" s="280"/>
      <c r="S22" s="280"/>
      <c r="T22" s="280"/>
      <c r="U22" s="280"/>
      <c r="V22" s="318"/>
    </row>
    <row r="23" spans="1:22" ht="49" customHeight="1" thickBot="1">
      <c r="A23" s="383" t="s">
        <v>438</v>
      </c>
      <c r="B23" s="281" t="s">
        <v>428</v>
      </c>
      <c r="C23" s="275"/>
      <c r="D23" s="275"/>
      <c r="E23" s="275"/>
      <c r="F23" s="374" t="s">
        <v>445</v>
      </c>
      <c r="G23" s="375"/>
      <c r="H23" s="376"/>
      <c r="I23" s="374" t="s">
        <v>435</v>
      </c>
      <c r="J23" s="375"/>
      <c r="K23" s="376"/>
      <c r="L23" s="275"/>
      <c r="M23" s="282"/>
      <c r="N23" s="282"/>
      <c r="O23" s="297"/>
      <c r="P23" s="323"/>
      <c r="Q23" s="319"/>
      <c r="R23" s="282"/>
      <c r="S23" s="282"/>
      <c r="T23" s="282"/>
      <c r="U23" s="282"/>
      <c r="V23" s="283"/>
    </row>
    <row r="24" spans="1:22" ht="48" customHeight="1">
      <c r="A24" s="384"/>
      <c r="B24" s="268" t="s">
        <v>431</v>
      </c>
      <c r="C24" s="270"/>
      <c r="D24" s="270"/>
      <c r="E24" s="270"/>
      <c r="F24" s="270"/>
      <c r="G24" s="270"/>
      <c r="H24" s="270"/>
      <c r="I24" s="344" t="s">
        <v>447</v>
      </c>
      <c r="J24" s="345"/>
      <c r="K24" s="345"/>
      <c r="L24" s="345"/>
      <c r="M24" s="342" t="s">
        <v>439</v>
      </c>
      <c r="N24" s="343"/>
      <c r="O24" s="343"/>
      <c r="P24" s="343"/>
      <c r="Q24" s="343"/>
      <c r="R24" s="343"/>
      <c r="S24" s="326"/>
      <c r="T24" s="326"/>
      <c r="U24" s="326"/>
      <c r="V24" s="292"/>
    </row>
    <row r="25" spans="1:22" ht="60" customHeight="1">
      <c r="A25" s="384"/>
      <c r="B25" s="269" t="s">
        <v>432</v>
      </c>
      <c r="C25" s="333" t="s">
        <v>460</v>
      </c>
      <c r="D25" s="334"/>
      <c r="E25" s="334"/>
      <c r="F25" s="334"/>
      <c r="G25" s="334"/>
      <c r="H25" s="334"/>
      <c r="I25" s="334"/>
      <c r="J25" s="334"/>
      <c r="K25" s="334"/>
      <c r="L25" s="334"/>
      <c r="M25" s="335" t="s">
        <v>462</v>
      </c>
      <c r="N25" s="336"/>
      <c r="O25" s="336" t="s">
        <v>461</v>
      </c>
      <c r="P25" s="336"/>
      <c r="Q25" s="336"/>
      <c r="R25" s="336"/>
      <c r="S25" s="336"/>
      <c r="T25" s="336"/>
      <c r="U25" s="336"/>
      <c r="V25" s="337"/>
    </row>
    <row r="26" spans="1:22" ht="61" customHeight="1" thickBot="1">
      <c r="A26" s="385"/>
      <c r="B26" s="289" t="s">
        <v>432</v>
      </c>
      <c r="C26" s="273"/>
      <c r="D26" s="273"/>
      <c r="E26" s="273"/>
      <c r="F26" s="273"/>
      <c r="G26" s="273"/>
      <c r="H26" s="273"/>
      <c r="I26" s="273"/>
      <c r="J26" s="273"/>
      <c r="K26" s="273"/>
      <c r="L26" s="290"/>
      <c r="M26" s="327"/>
      <c r="N26" s="338" t="s">
        <v>468</v>
      </c>
      <c r="O26" s="338"/>
      <c r="P26" s="338"/>
      <c r="Q26" s="338"/>
      <c r="R26" s="338"/>
      <c r="S26" s="338"/>
      <c r="T26" s="328"/>
      <c r="U26" s="328"/>
      <c r="V26" s="329"/>
    </row>
    <row r="27" spans="1:22" ht="27" thickBot="1">
      <c r="A27" s="386"/>
      <c r="B27" s="276" t="s">
        <v>433</v>
      </c>
      <c r="C27" s="277"/>
      <c r="D27" s="277"/>
      <c r="E27" s="277"/>
      <c r="F27" s="277"/>
      <c r="G27" s="277"/>
      <c r="H27" s="277"/>
      <c r="I27" s="277"/>
      <c r="J27" s="277"/>
      <c r="K27" s="277"/>
      <c r="L27" s="277"/>
      <c r="M27" s="278"/>
      <c r="N27" s="278"/>
      <c r="O27" s="298"/>
      <c r="P27" s="324"/>
      <c r="Q27" s="320"/>
      <c r="R27" s="278"/>
      <c r="S27" s="278"/>
      <c r="T27" s="278"/>
      <c r="U27" s="278"/>
      <c r="V27" s="279"/>
    </row>
  </sheetData>
  <mergeCells count="48">
    <mergeCell ref="M6:N6"/>
    <mergeCell ref="A23:A27"/>
    <mergeCell ref="B5:B6"/>
    <mergeCell ref="B18:B19"/>
    <mergeCell ref="F5:H5"/>
    <mergeCell ref="I5:K5"/>
    <mergeCell ref="F10:H10"/>
    <mergeCell ref="I10:K10"/>
    <mergeCell ref="C20:E20"/>
    <mergeCell ref="A5:A9"/>
    <mergeCell ref="A10:A13"/>
    <mergeCell ref="A14:A17"/>
    <mergeCell ref="A18:A22"/>
    <mergeCell ref="A1:W1"/>
    <mergeCell ref="O19:V19"/>
    <mergeCell ref="M19:N19"/>
    <mergeCell ref="C7:E7"/>
    <mergeCell ref="F7:H7"/>
    <mergeCell ref="I11:L11"/>
    <mergeCell ref="M11:S11"/>
    <mergeCell ref="M10:R10"/>
    <mergeCell ref="F18:H18"/>
    <mergeCell ref="I18:K18"/>
    <mergeCell ref="M18:N18"/>
    <mergeCell ref="O18:V18"/>
    <mergeCell ref="A2:V2"/>
    <mergeCell ref="O5:V5"/>
    <mergeCell ref="M5:N5"/>
    <mergeCell ref="O6:V6"/>
    <mergeCell ref="O20:V20"/>
    <mergeCell ref="M24:R24"/>
    <mergeCell ref="I24:L24"/>
    <mergeCell ref="M8:S8"/>
    <mergeCell ref="C12:D12"/>
    <mergeCell ref="E12:L12"/>
    <mergeCell ref="M12:N12"/>
    <mergeCell ref="O12:V12"/>
    <mergeCell ref="E16:J16"/>
    <mergeCell ref="O21:V21"/>
    <mergeCell ref="F23:H23"/>
    <mergeCell ref="I23:K23"/>
    <mergeCell ref="F20:H20"/>
    <mergeCell ref="M20:N20"/>
    <mergeCell ref="M21:N21"/>
    <mergeCell ref="C25:L25"/>
    <mergeCell ref="M25:N25"/>
    <mergeCell ref="O25:V25"/>
    <mergeCell ref="N26:S26"/>
  </mergeCells>
  <phoneticPr fontId="7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ปี1 (รหัส69) เทอม1-69 (56)</vt:lpstr>
      <vt:lpstr>ปี2 (รหัส68) เทอม1-69 (55)</vt:lpstr>
      <vt:lpstr>ปี3 (รหัส67) เทอม1-69 (56)</vt:lpstr>
      <vt:lpstr>ปี4 (รหัส66) เทอม1-69 (48)</vt:lpstr>
      <vt:lpstr>Workload</vt:lpstr>
      <vt:lpstr>DG2562V1.2Courses</vt:lpstr>
      <vt:lpstr>DG2562V1.1Courses</vt:lpstr>
      <vt:lpstr>ตารางเปรียบเทียบเวลาเรียน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2026-05-26T02:34:36Z</dcterms:modified>
</cp:coreProperties>
</file>