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ขื่ออาจารย์" sheetId="1" r:id="rId4"/>
    <sheet state="hidden" name="ภาระงานสอน" sheetId="2" r:id="rId5"/>
    <sheet state="visible" name="รายวิชาที่เปิดสอน" sheetId="3" r:id="rId6"/>
    <sheet state="visible" name="Year 1- 69 (ไทย=130 Inter=40)" sheetId="4" r:id="rId7"/>
    <sheet state="visible" name="Year 2-68 (ไทย=98 Inter=46) " sheetId="5" r:id="rId8"/>
    <sheet state="visible" name=" Year 3-67 (ไทย=70 Inter=31)" sheetId="6" r:id="rId9"/>
    <sheet state="visible" name="ปี 4 -66 (ไทย=107 Inter=19) " sheetId="7" r:id="rId10"/>
  </sheets>
  <definedNames>
    <definedName hidden="1" localSheetId="2" name="_xlnm._FilterDatabase">'รายวิชาที่เปิดสอน'!$E$1:$E$983</definedName>
  </definedNames>
  <calcPr/>
  <extLst>
    <ext uri="GoogleSheetsCustomDataVersion2">
      <go:sheetsCustomData xmlns:go="http://customooxmlschemas.google.com/" r:id="rId11" roundtripDataChecksum="tWtFdcD6BT4gYBRJ3nW6EPWECkbSzSYo4MTgfNjdNJc="/>
    </ext>
  </extLst>
</workbook>
</file>

<file path=xl/sharedStrings.xml><?xml version="1.0" encoding="utf-8"?>
<sst xmlns="http://schemas.openxmlformats.org/spreadsheetml/2006/main" count="789" uniqueCount="379">
  <si>
    <t>ลำดับ</t>
  </si>
  <si>
    <t>ชื่อ-สกุล</t>
  </si>
  <si>
    <t>กชณิช วรรณโกษฐ</t>
  </si>
  <si>
    <t>กรรณิกาณ์ ด้วงเจริญ</t>
  </si>
  <si>
    <t>กฤตวยาน์ ทองคู่</t>
  </si>
  <si>
    <t>คณิตา ตุมพสุวรรณ</t>
  </si>
  <si>
    <t>จิรพัฒน์ วาณิชวัฒนะโกศล</t>
  </si>
  <si>
    <t>จิราวิทย์ ญาณจินดา</t>
  </si>
  <si>
    <t>ดนัยธัญ พงษ์พัชราธรเทพ</t>
  </si>
  <si>
    <t>นภาพร รีวีระกุล</t>
  </si>
  <si>
    <t>บุณฑริกา ปภาวสิทธิ์</t>
  </si>
  <si>
    <t>พชร ตินะมาส</t>
  </si>
  <si>
    <t>พรธิดา แก้วกมล</t>
  </si>
  <si>
    <t>ภคินี อริยะ</t>
  </si>
  <si>
    <t>ภัทรพร คูวุฒยากร</t>
  </si>
  <si>
    <t>ภาสิทธิ์ เจริญขวัญ</t>
  </si>
  <si>
    <t>รัฐพล วุฒิการณ์</t>
  </si>
  <si>
    <t>รัศมิ์ลภัส สุตีคา</t>
  </si>
  <si>
    <t>วรวิชญ์ จันทร์ฉาย</t>
  </si>
  <si>
    <t>วรธมณ จีระผานุกร</t>
  </si>
  <si>
    <t>สมเกียรติ น่วมนา</t>
  </si>
  <si>
    <t>สิริกร สันติโรจนกุล</t>
  </si>
  <si>
    <t>อรวิชย์ ถิ่นนุกูล</t>
  </si>
  <si>
    <t>อฬิญญา พงษ์วาท</t>
  </si>
  <si>
    <t>จิรพิพัฒน์ ธัญพงษ์ภัทร</t>
  </si>
  <si>
    <t>นัยน์รัตน์ กันยะมี</t>
  </si>
  <si>
    <t>นพชัย วงค์สาย</t>
  </si>
  <si>
    <t>สุรักษ์ อุดมสม</t>
  </si>
  <si>
    <t>พงษ์ตะวัน</t>
  </si>
  <si>
    <t>เก่ง</t>
  </si>
  <si>
    <t>วิจิตร</t>
  </si>
  <si>
    <t>นพพร</t>
  </si>
  <si>
    <t>สอนเดี่ยว</t>
  </si>
  <si>
    <t>สอนร่วม</t>
  </si>
  <si>
    <t>สอนนอกหลักสูตร โท-เอก (ระบุวิชา สอนคนเดียวหรืออย่างไร)</t>
  </si>
  <si>
    <t>รวมภาระงานสอน</t>
  </si>
  <si>
    <t>+953111</t>
  </si>
  <si>
    <t>IE/IT</t>
  </si>
  <si>
    <t>IT</t>
  </si>
  <si>
    <t>MM</t>
  </si>
  <si>
    <t>IE</t>
  </si>
  <si>
    <t>KM</t>
  </si>
  <si>
    <t>IE/KM</t>
  </si>
  <si>
    <t>IE/IT/MM</t>
  </si>
  <si>
    <t>KM/IE</t>
  </si>
  <si>
    <t>27+ประสานงาน</t>
  </si>
  <si>
    <t>MM/IT</t>
  </si>
  <si>
    <t>อาจารย์นอกหลักสูตร</t>
  </si>
  <si>
    <t>อาจารย์พิเศษ</t>
  </si>
  <si>
    <t xml:space="preserve">  </t>
  </si>
  <si>
    <t>วิชา</t>
  </si>
  <si>
    <t>ตอนเรียน</t>
  </si>
  <si>
    <t>หน่วยกิต</t>
  </si>
  <si>
    <t>ผู้สอน</t>
  </si>
  <si>
    <t>Note</t>
  </si>
  <si>
    <t xml:space="preserve">midterm </t>
  </si>
  <si>
    <t xml:space="preserve">Final </t>
  </si>
  <si>
    <t>Room.</t>
  </si>
  <si>
    <t>24 - 30 Aug 2026</t>
  </si>
  <si>
    <t>1-69</t>
  </si>
  <si>
    <t>954100</t>
  </si>
  <si>
    <t>001</t>
  </si>
  <si>
    <t>หลักสูตร 65</t>
  </si>
  <si>
    <t>12:00-15:00</t>
  </si>
  <si>
    <t>002</t>
  </si>
  <si>
    <t>ตารางสอบ</t>
  </si>
  <si>
    <t>Final Exam</t>
  </si>
  <si>
    <t>701</t>
  </si>
  <si>
    <t>PATTERN :</t>
  </si>
  <si>
    <t>702</t>
  </si>
  <si>
    <t>เปิดสำหรับ econ เรียนร่วม mmit-inter</t>
  </si>
  <si>
    <t>954140</t>
  </si>
  <si>
    <t>08:00-11:00</t>
  </si>
  <si>
    <t>003</t>
  </si>
  <si>
    <t>004</t>
  </si>
  <si>
    <t>954142</t>
  </si>
  <si>
    <t>ขอ 20-22/10</t>
  </si>
  <si>
    <t>2-68</t>
  </si>
  <si>
    <t>954230</t>
  </si>
  <si>
    <t>15:30-18:30</t>
  </si>
  <si>
    <t>954231</t>
  </si>
  <si>
    <t>954241</t>
  </si>
  <si>
    <t>954244</t>
  </si>
  <si>
    <t>954340</t>
  </si>
  <si>
    <t>3-67</t>
  </si>
  <si>
    <t>954365</t>
  </si>
  <si>
    <t>4-66</t>
  </si>
  <si>
    <t>เอกเลือก</t>
  </si>
  <si>
    <t>25 AUG 2025  15:30-18:30</t>
  </si>
  <si>
    <t>ปี 3 - 3</t>
  </si>
  <si>
    <t>25 August 2025 15:30-18:30</t>
  </si>
  <si>
    <t>ปี 4/IS - 1</t>
  </si>
  <si>
    <t>25 August 2025 12:00-15:00</t>
  </si>
  <si>
    <t>No exam</t>
  </si>
  <si>
    <t>29 August 2025 15:30-18:30</t>
  </si>
  <si>
    <t>31 August 2025 12:00-15:00</t>
  </si>
  <si>
    <t>29 August 2025 12:00-15:00</t>
  </si>
  <si>
    <t>28 August 2025 12:00-15:00</t>
  </si>
  <si>
    <t>28 August 2025 15:30-1830</t>
  </si>
  <si>
    <t>Responsible Consumers and Global Warming Impacts of Waste to Modern Management and Information Technology</t>
  </si>
  <si>
    <t>26 August 2026 12:00-15:00 (cf)</t>
  </si>
  <si>
    <t>อ ภายนอกสอน / อ ปอ ดูแล</t>
  </si>
  <si>
    <t>26 August 2025 15:30-1830</t>
  </si>
  <si>
    <t>ชั้นปีที่ 1  หลักสูตรปรับปรุง พ.ศ.2565
MMIT Year 1 Semester 1/2025 (Curriculum 2022)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</si>
  <si>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</si>
  <si>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</si>
  <si>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</si>
  <si>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</si>
  <si>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</si>
  <si>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</si>
  <si>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</si>
  <si>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</si>
  <si>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</si>
  <si>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</si>
  <si>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จำนวน Seat (Lab)</t>
  </si>
  <si>
    <t>Monday</t>
  </si>
  <si>
    <t>954140 / 001 / 25/ อ.พรธิดา</t>
  </si>
  <si>
    <t>954140 / 001 / 25 / C207</t>
  </si>
  <si>
    <t>140104/ Sec.000</t>
  </si>
  <si>
    <t>001101 Sec.00X</t>
  </si>
  <si>
    <t>C307</t>
  </si>
  <si>
    <t>*** note</t>
  </si>
  <si>
    <t>954140 / 002 / 25 / อ.อฬิญญา</t>
  </si>
  <si>
    <t>954140 / 002/ 30 / C302</t>
  </si>
  <si>
    <t>C308</t>
  </si>
  <si>
    <t>รหัส 61/60/59  ใช้หลักสูตร 57</t>
  </si>
  <si>
    <t>C309</t>
  </si>
  <si>
    <t>รหัส 62 ใช้หลักสูตร 62</t>
  </si>
  <si>
    <t xml:space="preserve"> </t>
  </si>
  <si>
    <t>C202</t>
  </si>
  <si>
    <t>รหัส 63/64 ใช้หลักสูตร 62 GE Transformation</t>
  </si>
  <si>
    <t>Tuesday</t>
  </si>
  <si>
    <t>954100 sec.001 อ.อรวิชย์ (IT)</t>
  </si>
  <si>
    <t>954100 sec.002 อ.คณิตา (MM)</t>
  </si>
  <si>
    <t>954142 / 001/ 25 / อ.พรธิดา</t>
  </si>
  <si>
    <t>954142 / 001 / 25</t>
  </si>
  <si>
    <t>C305</t>
  </si>
  <si>
    <t>C203</t>
  </si>
  <si>
    <t>รหัส 65/66 ใช้หลักสูตร 65</t>
  </si>
  <si>
    <t>65 คน/CAMT113</t>
  </si>
  <si>
    <t>954142 / 002 / 25 / อ.กฤตวยาน์</t>
  </si>
  <si>
    <t>954142 / 002 / 25 / C307</t>
  </si>
  <si>
    <t>C204 + 206</t>
  </si>
  <si>
    <t>953111/701</t>
  </si>
  <si>
    <t>954142 / 701 / 20 / อ.กรรณิกาณ์</t>
  </si>
  <si>
    <t>954142 / 701 / 20 /C304</t>
  </si>
  <si>
    <t>หาก inter รับ &gt;=40 คน ขอแตก 2 sec</t>
  </si>
  <si>
    <t>C207</t>
  </si>
  <si>
    <t>954142 / 702 / 20 / อ.พิเศษ</t>
  </si>
  <si>
    <t>954142 / 702 / 20 /C203</t>
  </si>
  <si>
    <t>C208</t>
  </si>
  <si>
    <t>C209</t>
  </si>
  <si>
    <t>Wednesday</t>
  </si>
  <si>
    <t>Thursday</t>
  </si>
  <si>
    <t>954140 / 003 / 25 / อ.รัศมิ์ลภัส</t>
  </si>
  <si>
    <t>954140 / 003/ 25 / C307</t>
  </si>
  <si>
    <t>954140 / 004 / 25 / อ.กชณิช</t>
  </si>
  <si>
    <t>954140 / 004 / 25 /C308</t>
  </si>
  <si>
    <t>954140 / 701 / 20 / อ.นพชัย</t>
  </si>
  <si>
    <t>954140 / 701/ 20 / C207</t>
  </si>
  <si>
    <t>954140 / 702 / 20 / อ.นพชัย</t>
  </si>
  <si>
    <t>954140 / 702/ 20 / C205</t>
  </si>
  <si>
    <t>Friday</t>
  </si>
  <si>
    <t>954142 / 003 / 25 / อ.กรรณิกาณ์</t>
  </si>
  <si>
    <t>50 คน/CAMT113</t>
  </si>
  <si>
    <t>954142 / 004 / 25 / อ.พรธิดา</t>
  </si>
  <si>
    <t>954142 / 004 / 25 / C305</t>
  </si>
  <si>
    <t>954100 sec.701 /40+10   อ.อรวิชย์/ อ.คณิตา (IT+MM)</t>
  </si>
  <si>
    <t>เปิด 954100 sec702 ให้ econ-inter 10 seats เรียนควบ inter</t>
  </si>
  <si>
    <t>B303 -- MMIT(40) + Econ (10)</t>
  </si>
  <si>
    <t>course</t>
  </si>
  <si>
    <t>name</t>
  </si>
  <si>
    <t>sec</t>
  </si>
  <si>
    <t>credit</t>
  </si>
  <si>
    <t>001101</t>
  </si>
  <si>
    <t>ภาษาอังกฤษพื้นฐาน 1</t>
  </si>
  <si>
    <t>xxx</t>
  </si>
  <si>
    <t>ยังไม่ CF</t>
  </si>
  <si>
    <t>Fundamental English 1</t>
  </si>
  <si>
    <t>000</t>
  </si>
  <si>
    <t>การเป็นพลเมือง</t>
  </si>
  <si>
    <t>Citizenship</t>
  </si>
  <si>
    <t>พื้นฐานเทคโนโลยีสารสนเทศ</t>
  </si>
  <si>
    <t>001-004</t>
  </si>
  <si>
    <t>Information Technology Literacy</t>
  </si>
  <si>
    <t>การเขียนโปรแกรมคอมพิวเตอร์พื้นฐาน</t>
  </si>
  <si>
    <t>Fundamental Computer Prog for MM</t>
  </si>
  <si>
    <t>ระบบสารสนเทศเพื่อการบริหารและจัดการองค์กร</t>
  </si>
  <si>
    <t>001-002</t>
  </si>
  <si>
    <t>Information Ssytem for OM</t>
  </si>
  <si>
    <t>..............</t>
  </si>
  <si>
    <t>วิชาศึกษาทั่วไปเลือก (GE Elective Course)</t>
  </si>
  <si>
    <t>Date/Time : TBA</t>
  </si>
  <si>
    <t>รวมจำนวนหน่วยกิต</t>
  </si>
  <si>
    <t>Total Unit</t>
  </si>
  <si>
    <t>อ.โหน่ง DII ขอสอน 140 เพื่อขอตำแหน่งวิชการ</t>
  </si>
  <si>
    <t>ช้นปีที่ 2  หลักสูตรปรับปรุง พ.ศ.2565
MMIT Year 2 Semester 1/2025 (Curriculum 2022)</t>
  </si>
  <si>
    <t>954230 / 701 / อ.ภคินี</t>
  </si>
  <si>
    <t>954231 / 701 /อ.บุณฑริกา</t>
  </si>
  <si>
    <t>001229 Sec.701</t>
  </si>
  <si>
    <t>50 คน / B302</t>
  </si>
  <si>
    <t>นศ.inter</t>
  </si>
  <si>
    <t>954231 / 001 /อ.บุณฑริกา</t>
  </si>
  <si>
    <t>954230 / 001 / อ.ภคินี</t>
  </si>
  <si>
    <t>50 คน / B303</t>
  </si>
  <si>
    <t>50 คน /  B303</t>
  </si>
  <si>
    <t>954231 / 002 /อ.วรธมณ</t>
  </si>
  <si>
    <t>954230 / 002 / อ.วรธมณ</t>
  </si>
  <si>
    <t>954340 / 003 / 25 / อ.สิริกร</t>
  </si>
  <si>
    <t>954340 / 003 / 25 / C207</t>
  </si>
  <si>
    <t>50 คน / CAMT  113</t>
  </si>
  <si>
    <t>50 คน /CAMT  113</t>
  </si>
  <si>
    <t>954340 / 004 / 25 / อ.พชร</t>
  </si>
  <si>
    <t>954340 / 004 / 25 / C205</t>
  </si>
  <si>
    <t>208262/001</t>
  </si>
  <si>
    <t>208262/002</t>
  </si>
  <si>
    <t>954241/701/50/ B302/อ.นัยน์รัตน์</t>
  </si>
  <si>
    <t>เปิดสำหรับ Inter รหัส &lt;=68</t>
  </si>
  <si>
    <t>นศ.ไทย</t>
  </si>
  <si>
    <t>954340 / 701 / 25/ อ.ภาสิทธิ์</t>
  </si>
  <si>
    <t>954340 / 701 / 25/ C201</t>
  </si>
  <si>
    <t>954340 / 001 / 25 / อ.ภาสิทธิ์</t>
  </si>
  <si>
    <t>954340 / 001 / 25 /C307</t>
  </si>
  <si>
    <t>954340 / 702 / 25/  อ.สิริกร</t>
  </si>
  <si>
    <t>954340 / 702 / 25/ C202</t>
  </si>
  <si>
    <t>954340 / 002 / 25 / อ.จิรพิพัฒน์</t>
  </si>
  <si>
    <t>954340 / 002 / 25 /C309</t>
  </si>
  <si>
    <t>888102/705</t>
  </si>
  <si>
    <t>954244 / 001 / 35 / อ.กฤตวยาน์ / B206</t>
  </si>
  <si>
    <t>954244 / 002 / 35 / อ.กรรณิกาณ์ / B207</t>
  </si>
  <si>
    <t>954244 / 003 / 35 / อ.สมเกียรติ  / B208</t>
  </si>
  <si>
    <t>954244 / 701 / 48 / อ.อ๊อฟ  / B303 (อ. คนใหม่)</t>
  </si>
  <si>
    <t>954241/701/50/ C204 /อ.นัยน์รัตน์</t>
  </si>
  <si>
    <t>สลับจากเทอม 2</t>
  </si>
  <si>
    <t>001229</t>
  </si>
  <si>
    <t>ภาษาอังกฤษสำหรับศิลปะ สื่อ</t>
  </si>
  <si>
    <t>เลือกลงตาม sec ว่างได้เลย</t>
  </si>
  <si>
    <t>English for Media Arts</t>
  </si>
  <si>
    <t>ลงได้ทั้ง 001 และ 002</t>
  </si>
  <si>
    <t>สถิติเบื้องต้นสำหรับวิทยาศาสตร์และเทคโนโลยี</t>
  </si>
  <si>
    <t>001/002</t>
  </si>
  <si>
    <t>Introduction to Computational Thinking and Programming</t>
  </si>
  <si>
    <t xml:space="preserve">CF อ จอยแล้ว </t>
  </si>
  <si>
    <t>การติดตามทางการเงินในธุรกิจดิจิทัล</t>
  </si>
  <si>
    <t>FI TRACKING IN DIG BUS</t>
  </si>
  <si>
    <t>ระบบงานการจัดการทุนมนุษย์ในธุรกิจดิจิทัล</t>
  </si>
  <si>
    <t xml:space="preserve">Human Capital Management in Digital Business </t>
  </si>
  <si>
    <t>การอ่อกแบบและวิเคราะห์ระบบ</t>
  </si>
  <si>
    <t>001-003</t>
  </si>
  <si>
    <t>SYS ANALYSIS &amp; DESIGN FOR MM</t>
  </si>
  <si>
    <t>การออกแบบฐานข้อมูลองค์กรและการประยุกต์</t>
  </si>
  <si>
    <t>Enterprise Database Design and Applications</t>
  </si>
  <si>
    <t>วิชาศึกษาทั่วไป (กลุ่มผู้ร่วมสร้างสรรค์นวัตกรรม)</t>
  </si>
  <si>
    <t>GE  course</t>
  </si>
  <si>
    <t>ลิ้งสำหรับเช็ค</t>
  </si>
  <si>
    <t>https://mmit.camt.cmu.ac.th/detail/28</t>
  </si>
  <si>
    <t>Link to check the GE course.</t>
  </si>
  <si>
    <t>กลุ่มวิชา GE</t>
  </si>
  <si>
    <t>Study plan</t>
  </si>
  <si>
    <t>001201</t>
  </si>
  <si>
    <t xml:space="preserve">การอ่านเชิงวิเคราะห์และการเขียนอย่างมีประสิทธิผล </t>
  </si>
  <si>
    <t>(For International students)</t>
  </si>
  <si>
    <t>(GE - innovative Co-creative)</t>
  </si>
  <si>
    <t>GE - innovative Co-creative</t>
  </si>
  <si>
    <t>*011151</t>
  </si>
  <si>
    <t>Reasoning</t>
  </si>
  <si>
    <t>*013110</t>
  </si>
  <si>
    <t>Psychology and Daily Life</t>
  </si>
  <si>
    <t>*159100</t>
  </si>
  <si>
    <t>Modern World in Everyday Life</t>
  </si>
  <si>
    <t>*571111</t>
  </si>
  <si>
    <t>Crititcal Thinking and Creative Thinking</t>
  </si>
  <si>
    <t>*703103</t>
  </si>
  <si>
    <t>Introduction to Entrepreneurship and Business</t>
  </si>
  <si>
    <t>ปี 3 MMIT ภาคปกติ ภาคการศึกษา 1/68 (หลักสูตรปรับปรุง พ.ศ.2565)
MMIT Year 3 Semester 1/2025 (Curriculum 2022)</t>
  </si>
  <si>
    <t>18.00</t>
  </si>
  <si>
    <t>954410/001 /25 คน / อ.จิรพัฒน์ / B206</t>
  </si>
  <si>
    <t>954310 / 001 / อ.จิรพัฒน์</t>
  </si>
  <si>
    <t>954310 / 701 / อ.จิรพัฒน์</t>
  </si>
  <si>
    <t>954423 / 001 / 25 / อ.คณิตา / B201</t>
  </si>
  <si>
    <t>35  คน/B201</t>
  </si>
  <si>
    <t>35 คน/ B201</t>
  </si>
  <si>
    <t>954310 / 002 / อ. กชณิช</t>
  </si>
  <si>
    <t>954365 / 001 / อ.จิราวิทย์</t>
  </si>
  <si>
    <t>35 คน/ B202</t>
  </si>
  <si>
    <t>35 คน/B202</t>
  </si>
  <si>
    <t>954365 / 701 / อ. จิราวิทย์</t>
  </si>
  <si>
    <t>954365 / 002 / อ.วรวิชญ์</t>
  </si>
  <si>
    <t>35 คน/ B203</t>
  </si>
  <si>
    <t>35 คน/B205</t>
  </si>
  <si>
    <t>159151/701 (Inter)/SB 4107</t>
  </si>
  <si>
    <t>954477/ 001 / 25 / อ.สมเกียรติ/B202</t>
  </si>
  <si>
    <t>954443 / 001 / 25 / อ.รัศมิ์ลภัส</t>
  </si>
  <si>
    <t>954443 / 001 / 25 /C207</t>
  </si>
  <si>
    <t>954425/001 /25 คน / อ.อฬิญญา /B206</t>
  </si>
  <si>
    <t>954417 / 701 / 35/ อ.ภัทรพร /C208</t>
  </si>
  <si>
    <t>954417 / 001 / 19/ อ.ภัทรพร /C208</t>
  </si>
  <si>
    <t>954381 / 001,701 / คณาจารย์ / B304</t>
  </si>
  <si>
    <t>253372 / 701 / 25 / อ.อรวิชย์ /B202</t>
  </si>
  <si>
    <t xml:space="preserve">954491 / 701 / 25 / อ.อรวิชย์ /B201 </t>
  </si>
  <si>
    <t>954413/001 /25 / อ.รัฐพล/B202</t>
  </si>
  <si>
    <t>954430/ 701 / 30/ อ.นภาพร / B206</t>
  </si>
  <si>
    <t>954450/001 /อ.อรวิชย์ / 25 คน /  C304</t>
  </si>
  <si>
    <t>954413/701 / 30 / อ.รัฐพล/ B202</t>
  </si>
  <si>
    <t>954348 / 001 / 25 / อ.พชร</t>
  </si>
  <si>
    <t>954348 / 001 / 25 /C201</t>
  </si>
  <si>
    <t>954430/ 001 / 25 / อ.นภาพร /B203</t>
  </si>
  <si>
    <t>954347 / 001 / 25 / อ.สิริกร B201</t>
  </si>
  <si>
    <t>954347 / 001 / 25 /C202</t>
  </si>
  <si>
    <t>954491 / 001/ / 25 / อ.ภัทรพร /B206</t>
  </si>
  <si>
    <t>253371 / 001 / 25 /B209</t>
  </si>
  <si>
    <t>ระบบสารสนเทศเพื่อการวางแผนทรัพยากรองค์กร</t>
  </si>
  <si>
    <t>Info System for Enterprise Resource Planning</t>
  </si>
  <si>
    <t>ระบบการจัดการความรู้</t>
  </si>
  <si>
    <t>Knowledge Management System</t>
  </si>
  <si>
    <t>การเตรียมความพร้อมสำหรับการเรียนรู้ร่วมกับการทำงาน</t>
  </si>
  <si>
    <t>Pre for Work Integrated Learning</t>
  </si>
  <si>
    <t>วิชาเอกเลือก</t>
  </si>
  <si>
    <t>MAJOR ELECTIVE</t>
  </si>
  <si>
    <t>Total Credit</t>
  </si>
  <si>
    <t>List of Major Electives (3rd - 4th Year)</t>
  </si>
  <si>
    <t>Major Electives  Number of Seats (3rd - 4th Year)</t>
  </si>
  <si>
    <t>No</t>
  </si>
  <si>
    <t>Type</t>
  </si>
  <si>
    <t>Course</t>
  </si>
  <si>
    <t>Name</t>
  </si>
  <si>
    <t>Seat</t>
  </si>
  <si>
    <t>Lecturer</t>
  </si>
  <si>
    <t>Remark</t>
  </si>
  <si>
    <t>3rd Year</t>
  </si>
  <si>
    <t>COOP</t>
  </si>
  <si>
    <t>Total</t>
  </si>
  <si>
    <t>4th Year</t>
  </si>
  <si>
    <t>IS</t>
  </si>
  <si>
    <t>E-Com</t>
  </si>
  <si>
    <t>Lab</t>
  </si>
  <si>
    <t>Estimate Seat</t>
  </si>
  <si>
    <t>Web</t>
  </si>
  <si>
    <t>Thai</t>
  </si>
  <si>
    <t>Inno</t>
  </si>
  <si>
    <t>Lect</t>
  </si>
  <si>
    <t>Inter</t>
  </si>
  <si>
    <t>Digi Mk</t>
  </si>
  <si>
    <t>Need (subjects)</t>
  </si>
  <si>
    <t>Need</t>
  </si>
  <si>
    <t>IT PP</t>
  </si>
  <si>
    <t>Total Seats</t>
  </si>
  <si>
    <t>Lean</t>
  </si>
  <si>
    <t>ยอด coop - update 5/5/69</t>
  </si>
  <si>
    <t>Decision making</t>
  </si>
  <si>
    <t>Multi</t>
  </si>
  <si>
    <t xml:space="preserve">Lab </t>
  </si>
  <si>
    <t>Total Section (Approx)</t>
  </si>
  <si>
    <t>&gt;= 15</t>
  </si>
  <si>
    <t>จำนวนยืดหยุ่นตามจำนวนที่นังของแต่ละ section</t>
  </si>
  <si>
    <t>EIA</t>
  </si>
  <si>
    <t>sec ขั้นต่ำ (25/sec)</t>
  </si>
  <si>
    <t>Locodization</t>
  </si>
  <si>
    <t>Maintenance Management</t>
  </si>
  <si>
    <t>เรียนควบ inter</t>
  </si>
  <si>
    <t>ทุกคนสอน 3 sec/เทอม</t>
  </si>
  <si>
    <t>All Total Seat (Thai)</t>
  </si>
  <si>
    <t>ยอดเปิดเกิน</t>
  </si>
  <si>
    <t>แต่ละปี ทุกคนต้องสอนวิชาบังคับอย่างน้อย 1 section ไม่สอนเฉพาะวิชาเอกเลือก</t>
  </si>
  <si>
    <t>วิชาเอกเลือกเปิดได้ปีละ 1 ครั้ง เทอมละ 1 section ยกเว้นเปิด ไทย 1 sec / Inter 1 sec</t>
  </si>
  <si>
    <t>จำนวนที่นั่งของวิชาเอกเลือก lect 40-45 / lab 25-30</t>
  </si>
  <si>
    <t>เรียนควบ Thai</t>
  </si>
  <si>
    <t>Responsible Consumers and Global Warming Impacts of Waste for MMIT</t>
  </si>
  <si>
    <t>อาจารย์คณะวิศวะ</t>
  </si>
  <si>
    <t>Project Managment</t>
  </si>
  <si>
    <t>รอเปิด 11 พค</t>
  </si>
  <si>
    <t>All Total Seat (Inter)</t>
  </si>
  <si>
    <t>ปี 4 MMIT ภาคปกติ ภาคการศึกษา 1/65 (หลักสูตรปรับปรุง พ.ศ.2562:Ge Transformation)
MMIT Year 4 Semester 1/2023 (Curriculum 2019 &amp; Ge Transformation)</t>
  </si>
  <si>
    <t>การเรียนรู้ร่วมการทำงาน 1</t>
  </si>
  <si>
    <t>Work Integrated Learning 1</t>
  </si>
  <si>
    <t>การฝึกงาน</t>
  </si>
  <si>
    <t>Job Training</t>
  </si>
  <si>
    <t>............</t>
  </si>
  <si>
    <t>Major Elective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</si>
</sst>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 mmm yyyy"/>
  </numFmts>
  <fonts count="60">
    <font>
      <sz val="11.0"/>
      <color rgb="FF000000"/>
      <name val="Calibri"/>
      <scheme val="minor"/>
    </font>
    <font>
      <sz val="11.0"/>
      <color theme="1"/>
      <name val="Tahoma"/>
    </font>
    <font>
      <color theme="1"/>
      <name val="Calibri"/>
    </font>
    <font>
      <sz val="11.0"/>
      <color theme="1"/>
      <name val="Calibri"/>
    </font>
    <font>
      <sz val="11.0"/>
      <color rgb="FF000000"/>
      <name val="Tahoma"/>
    </font>
    <font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1.0"/>
      <color rgb="FF434343"/>
      <name val="Arial"/>
    </font>
    <font>
      <sz val="11.0"/>
      <color rgb="FFFF0000"/>
      <name val="Arial"/>
    </font>
    <font>
      <color rgb="FFFF0000"/>
      <name val="Calibri"/>
    </font>
    <font>
      <sz val="11.0"/>
      <color rgb="FF000000"/>
      <name val="Arial"/>
    </font>
    <font>
      <sz val="10.0"/>
      <color theme="1"/>
      <name val="Arial"/>
    </font>
    <font>
      <sz val="11.0"/>
      <color rgb="FF999999"/>
      <name val="Arial"/>
    </font>
    <font>
      <strike/>
      <sz val="11.0"/>
      <color rgb="FFFF0000"/>
      <name val="Arial"/>
    </font>
    <font>
      <color rgb="FF999999"/>
      <name val="Calibri"/>
    </font>
    <font>
      <strike/>
      <sz val="11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color theme="1"/>
      <name val="Arial"/>
    </font>
    <font>
      <sz val="11.0"/>
      <color rgb="FFFF0000"/>
      <name val="Calibri"/>
    </font>
    <font>
      <sz val="9.0"/>
      <color rgb="FFFF0000"/>
      <name val="Arial"/>
    </font>
    <font>
      <sz val="10.0"/>
      <color rgb="FFFF0000"/>
      <name val="Arial"/>
    </font>
    <font>
      <strike/>
      <sz val="9.0"/>
      <color rgb="FFFF0000"/>
      <name val="Arial"/>
    </font>
    <font>
      <sz val="10.0"/>
      <color rgb="FF000000"/>
      <name val="Arial"/>
    </font>
    <font>
      <color rgb="FFFF0000"/>
      <name val="Calibri"/>
      <scheme val="minor"/>
    </font>
    <font>
      <b/>
      <sz val="11.0"/>
      <color theme="1"/>
      <name val="Calibri"/>
    </font>
    <font>
      <b/>
      <sz val="9.0"/>
      <color theme="1"/>
      <name val="Arial"/>
    </font>
    <font>
      <b/>
      <sz val="11.0"/>
      <color rgb="FF000000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color rgb="FF000000"/>
      <name val="Calibri"/>
      <scheme val="minor"/>
    </font>
    <font>
      <sz val="9.0"/>
      <color theme="1"/>
      <name val="Calibri"/>
    </font>
    <font>
      <sz val="9.0"/>
      <color rgb="FFFF0000"/>
      <name val="Calibri"/>
    </font>
    <font>
      <b/>
      <i/>
      <sz val="9.0"/>
      <color rgb="FF000000"/>
      <name val="Arial"/>
    </font>
    <font>
      <b/>
      <color rgb="FF000000"/>
      <name val="Calibri"/>
    </font>
    <font>
      <sz val="10.0"/>
      <color rgb="FFFF0000"/>
      <name val="Calibri"/>
      <scheme val="minor"/>
    </font>
    <font>
      <b/>
      <sz val="9.0"/>
      <color rgb="FFFF0000"/>
      <name val="Arial"/>
    </font>
    <font>
      <sz val="10.0"/>
      <color theme="1"/>
      <name val="Calibri"/>
    </font>
    <font>
      <color rgb="FFFCE5CD"/>
      <name val="Calibri"/>
    </font>
    <font>
      <b/>
      <sz val="8.0"/>
      <color rgb="FFFF0000"/>
      <name val="Arial"/>
    </font>
    <font>
      <sz val="9.0"/>
      <color rgb="FF000000"/>
      <name val="Bai Jamjuree"/>
    </font>
    <font>
      <i/>
      <sz val="9.0"/>
      <color theme="1"/>
      <name val="Arial"/>
    </font>
    <font>
      <strike/>
      <sz val="9.0"/>
      <color rgb="FF000000"/>
      <name val="Arial"/>
    </font>
    <font>
      <i/>
      <sz val="9.0"/>
      <color rgb="FFC00000"/>
      <name val="Arial"/>
    </font>
    <font>
      <u/>
      <sz val="9.0"/>
      <color rgb="FFFF0000"/>
      <name val="Arial"/>
    </font>
    <font>
      <b/>
      <color theme="1"/>
      <name val="Calibri"/>
      <scheme val="minor"/>
    </font>
    <font>
      <strike/>
      <sz val="9.0"/>
      <color theme="1"/>
      <name val="Arial"/>
    </font>
    <font>
      <b/>
      <color theme="1"/>
      <name val="Calibri"/>
    </font>
    <font>
      <sz val="9.0"/>
      <color rgb="FFFF0000"/>
      <name val="Calibri"/>
      <scheme val="minor"/>
    </font>
    <font>
      <sz val="9.0"/>
      <color rgb="FF1155CC"/>
      <name val="Arial"/>
    </font>
    <font>
      <color rgb="FF1155CC"/>
      <name val="Calibri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rgb="FF000000"/>
      <name val="Arial"/>
    </font>
    <font>
      <sz val="10.0"/>
      <color rgb="FFC00000"/>
      <name val="Arial"/>
    </font>
    <font>
      <i/>
      <sz val="10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9FAFC"/>
        <bgColor rgb="FFF9FAF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</fills>
  <borders count="56">
    <border/>
    <border>
      <left/>
      <right/>
      <top/>
      <bottom/>
    </border>
    <border>
      <left style="thick">
        <color rgb="FF0000FF"/>
      </left>
      <top style="thick">
        <color rgb="FF0000FF"/>
      </top>
    </border>
    <border>
      <right style="medium">
        <color rgb="FF0000FF"/>
      </right>
      <top style="thick">
        <color rgb="FF0000FF"/>
      </top>
    </border>
    <border>
      <right style="thick">
        <color rgb="FFFF0000"/>
      </right>
      <top style="thick">
        <color rgb="FFFF0000"/>
      </top>
    </border>
    <border>
      <left style="thick">
        <color rgb="FF0000FF"/>
      </left>
    </border>
    <border>
      <right style="medium">
        <color rgb="FF0000FF"/>
      </right>
    </border>
    <border>
      <right style="thick">
        <color rgb="FFFF0000"/>
      </right>
    </border>
    <border>
      <left style="medium">
        <color rgb="FF0000FF"/>
      </left>
      <right style="medium">
        <color rgb="FF0000FF"/>
      </right>
    </border>
    <border>
      <left style="thick">
        <color rgb="FF0000FF"/>
      </left>
      <bottom style="thick">
        <color rgb="FF0000FF"/>
      </bottom>
    </border>
    <border>
      <left style="medium">
        <color rgb="FF0000FF"/>
      </left>
      <right style="medium">
        <color rgb="FF0000FF"/>
      </right>
      <bottom style="medium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</border>
  </borders>
  <cellStyleXfs count="1">
    <xf borderId="0" fillId="0" fontId="0" numFmtId="0" applyAlignment="1" applyFont="1"/>
  </cellStyleXfs>
  <cellXfs count="4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2" numFmtId="0" xfId="0" applyFont="1"/>
    <xf borderId="1" fillId="2" fontId="1" numFmtId="0" xfId="0" applyAlignment="1" applyBorder="1" applyFont="1">
      <alignment horizontal="left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4" fontId="3" numFmtId="0" xfId="0" applyBorder="1" applyFill="1" applyFont="1"/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4" numFmtId="0" xfId="0" applyFill="1" applyFont="1"/>
    <xf borderId="1" fillId="2" fontId="1" numFmtId="0" xfId="0" applyAlignment="1" applyBorder="1" applyFont="1">
      <alignment horizontal="left" readingOrder="0"/>
    </xf>
    <xf borderId="0" fillId="0" fontId="5" numFmtId="0" xfId="0" applyAlignment="1" applyFont="1">
      <alignment horizontal="center"/>
    </xf>
    <xf borderId="1" fillId="2" fontId="6" numFmtId="49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/>
    </xf>
    <xf borderId="0" fillId="0" fontId="6" numFmtId="0" xfId="0" applyFont="1"/>
    <xf borderId="0" fillId="2" fontId="2" numFmtId="0" xfId="0" applyAlignment="1" applyFont="1">
      <alignment horizontal="center"/>
    </xf>
    <xf borderId="2" fillId="6" fontId="7" numFmtId="0" xfId="0" applyAlignment="1" applyBorder="1" applyFill="1" applyFont="1">
      <alignment horizontal="center" vertical="bottom"/>
    </xf>
    <xf borderId="3" fillId="0" fontId="8" numFmtId="0" xfId="0" applyBorder="1" applyFont="1"/>
    <xf borderId="4" fillId="7" fontId="7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0" fillId="0" fontId="6" numFmtId="49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2" fontId="7" numFmtId="0" xfId="0" applyAlignment="1" applyFont="1">
      <alignment horizontal="center" vertical="bottom"/>
    </xf>
    <xf borderId="5" fillId="6" fontId="6" numFmtId="0" xfId="0" applyAlignment="1" applyBorder="1" applyFont="1">
      <alignment horizontal="center" readingOrder="0"/>
    </xf>
    <xf borderId="6" fillId="0" fontId="8" numFmtId="0" xfId="0" applyBorder="1" applyFont="1"/>
    <xf borderId="7" fillId="7" fontId="9" numFmtId="0" xfId="0" applyAlignment="1" applyBorder="1" applyFont="1">
      <alignment horizontal="center"/>
    </xf>
    <xf borderId="1" fillId="8" fontId="6" numFmtId="49" xfId="0" applyAlignment="1" applyBorder="1" applyFill="1" applyFont="1" applyNumberFormat="1">
      <alignment horizontal="center" readingOrder="0"/>
    </xf>
    <xf quotePrefix="1" borderId="0" fillId="0" fontId="6" numFmtId="49" xfId="0" applyAlignment="1" applyFont="1" applyNumberFormat="1">
      <alignment horizontal="center"/>
    </xf>
    <xf borderId="5" fillId="0" fontId="10" numFmtId="164" xfId="0" applyAlignment="1" applyBorder="1" applyFont="1" applyNumberFormat="1">
      <alignment horizontal="left" readingOrder="0"/>
    </xf>
    <xf borderId="8" fillId="0" fontId="6" numFmtId="0" xfId="0" applyAlignment="1" applyBorder="1" applyFont="1">
      <alignment horizontal="left"/>
    </xf>
    <xf borderId="7" fillId="0" fontId="6" numFmtId="0" xfId="0" applyBorder="1" applyFont="1"/>
    <xf borderId="5" fillId="0" fontId="10" numFmtId="0" xfId="0" applyAlignment="1" applyBorder="1" applyFont="1">
      <alignment horizontal="left"/>
    </xf>
    <xf borderId="7" fillId="0" fontId="2" numFmtId="0" xfId="0" applyBorder="1" applyFont="1"/>
    <xf borderId="0" fillId="9" fontId="6" numFmtId="0" xfId="0" applyAlignment="1" applyFill="1" applyFont="1">
      <alignment horizontal="left"/>
    </xf>
    <xf borderId="0" fillId="9" fontId="6" numFmtId="0" xfId="0" applyFont="1"/>
    <xf borderId="5" fillId="0" fontId="11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7" fillId="0" fontId="10" numFmtId="0" xfId="0" applyAlignment="1" applyBorder="1" applyFont="1">
      <alignment readingOrder="0"/>
    </xf>
    <xf borderId="0" fillId="0" fontId="6" numFmtId="0" xfId="0" applyAlignment="1" applyFont="1">
      <alignment horizontal="left" readingOrder="0"/>
    </xf>
    <xf borderId="0" fillId="0" fontId="10" numFmtId="0" xfId="0" applyFont="1"/>
    <xf borderId="0" fillId="0" fontId="12" numFmtId="49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3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quotePrefix="1" borderId="0" fillId="0" fontId="12" numFmtId="49" xfId="0" applyAlignment="1" applyFont="1" applyNumberFormat="1">
      <alignment horizontal="center"/>
    </xf>
    <xf borderId="0" fillId="0" fontId="12" numFmtId="0" xfId="0" applyAlignment="1" applyFont="1">
      <alignment horizontal="left" readingOrder="0"/>
    </xf>
    <xf borderId="7" fillId="0" fontId="6" numFmtId="0" xfId="0" applyAlignment="1" applyBorder="1" applyFont="1">
      <alignment readingOrder="0"/>
    </xf>
    <xf borderId="7" fillId="0" fontId="12" numFmtId="0" xfId="0" applyBorder="1" applyFont="1"/>
    <xf borderId="5" fillId="0" fontId="10" numFmtId="0" xfId="0" applyAlignment="1" applyBorder="1" applyFont="1">
      <alignment horizontal="left" readingOrder="0"/>
    </xf>
    <xf borderId="7" fillId="0" fontId="10" numFmtId="0" xfId="0" applyBorder="1" applyFont="1"/>
    <xf borderId="0" fillId="0" fontId="6" numFmtId="49" xfId="0" applyAlignment="1" applyFont="1" applyNumberFormat="1">
      <alignment horizontal="center" vertical="top"/>
    </xf>
    <xf borderId="0" fillId="0" fontId="12" numFmtId="49" xfId="0" applyAlignment="1" applyFont="1" applyNumberFormat="1">
      <alignment horizontal="center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vertical="top"/>
    </xf>
    <xf borderId="0" fillId="0" fontId="10" numFmtId="0" xfId="0" applyAlignment="1" applyFont="1">
      <alignment vertical="top"/>
    </xf>
    <xf borderId="8" fillId="0" fontId="6" numFmtId="0" xfId="0" applyAlignment="1" applyBorder="1" applyFont="1">
      <alignment horizontal="left" vertical="top"/>
    </xf>
    <xf borderId="7" fillId="0" fontId="10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3" fontId="6" numFmtId="0" xfId="0" applyAlignment="1" applyFont="1">
      <alignment horizontal="left" readingOrder="0"/>
    </xf>
    <xf borderId="0" fillId="0" fontId="10" numFmtId="49" xfId="0" applyAlignment="1" applyFont="1" applyNumberFormat="1">
      <alignment horizontal="center"/>
    </xf>
    <xf borderId="8" fillId="0" fontId="10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2" fontId="6" numFmtId="0" xfId="0" applyAlignment="1" applyFont="1">
      <alignment horizontal="left"/>
    </xf>
    <xf borderId="0" fillId="0" fontId="12" numFmtId="0" xfId="0" applyAlignment="1" applyFont="1">
      <alignment horizontal="center" vertical="center"/>
    </xf>
    <xf borderId="1" fillId="8" fontId="12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/>
    </xf>
    <xf borderId="8" fillId="0" fontId="14" numFmtId="0" xfId="0" applyAlignment="1" applyBorder="1" applyFont="1">
      <alignment horizontal="left"/>
    </xf>
    <xf borderId="7" fillId="0" fontId="15" numFmtId="0" xfId="0" applyBorder="1" applyFont="1"/>
    <xf borderId="0" fillId="0" fontId="5" numFmtId="0" xfId="0" applyAlignment="1" applyFont="1">
      <alignment horizontal="left" readingOrder="0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horizontal="left" readingOrder="0"/>
    </xf>
    <xf borderId="0" fillId="0" fontId="14" numFmtId="0" xfId="0" applyAlignment="1" applyFont="1">
      <alignment horizontal="left"/>
    </xf>
    <xf borderId="8" fillId="0" fontId="16" numFmtId="0" xfId="0" applyAlignment="1" applyBorder="1" applyFont="1">
      <alignment horizontal="left"/>
    </xf>
    <xf borderId="0" fillId="0" fontId="12" numFmtId="0" xfId="0" applyAlignment="1" applyFont="1">
      <alignment horizontal="center" readingOrder="0" vertical="center"/>
    </xf>
    <xf borderId="0" fillId="0" fontId="12" numFmtId="49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 vertical="bottom"/>
    </xf>
    <xf borderId="5" fillId="0" fontId="12" numFmtId="0" xfId="0" applyAlignment="1" applyBorder="1" applyFont="1">
      <alignment horizontal="left" readingOrder="0"/>
    </xf>
    <xf borderId="0" fillId="0" fontId="10" numFmtId="0" xfId="0" applyAlignment="1" applyFont="1">
      <alignment horizontal="center"/>
    </xf>
    <xf borderId="9" fillId="0" fontId="14" numFmtId="0" xfId="0" applyAlignment="1" applyBorder="1" applyFont="1">
      <alignment horizontal="left"/>
    </xf>
    <xf borderId="10" fillId="0" fontId="14" numFmtId="0" xfId="0" applyAlignment="1" applyBorder="1" applyFont="1">
      <alignment horizontal="left"/>
    </xf>
    <xf borderId="0" fillId="0" fontId="17" numFmtId="0" xfId="0" applyAlignment="1" applyFont="1">
      <alignment horizontal="center" vertical="center"/>
    </xf>
    <xf borderId="0" fillId="0" fontId="17" numFmtId="4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11" fillId="0" fontId="19" numFmtId="0" xfId="0" applyAlignment="1" applyBorder="1" applyFont="1">
      <alignment vertical="center"/>
    </xf>
    <xf borderId="12" fillId="0" fontId="18" numFmtId="0" xfId="0" applyAlignment="1" applyBorder="1" applyFont="1">
      <alignment horizontal="center" vertical="center"/>
    </xf>
    <xf borderId="13" fillId="0" fontId="8" numFmtId="0" xfId="0" applyBorder="1" applyFont="1"/>
    <xf quotePrefix="1" borderId="12" fillId="0" fontId="18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center" vertical="center"/>
    </xf>
    <xf borderId="15" fillId="0" fontId="8" numFmtId="0" xfId="0" applyBorder="1" applyFont="1"/>
    <xf borderId="14" fillId="10" fontId="20" numFmtId="0" xfId="0" applyAlignment="1" applyBorder="1" applyFill="1" applyFont="1">
      <alignment horizontal="center" readingOrder="0" vertical="center"/>
    </xf>
    <xf borderId="16" fillId="0" fontId="8" numFmtId="0" xfId="0" applyBorder="1" applyFont="1"/>
    <xf borderId="14" fillId="10" fontId="19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vertical="center"/>
    </xf>
    <xf borderId="17" fillId="0" fontId="21" numFmtId="0" xfId="0" applyBorder="1" applyFont="1"/>
    <xf borderId="14" fillId="3" fontId="19" numFmtId="0" xfId="0" applyAlignment="1" applyBorder="1" applyFont="1">
      <alignment horizontal="center" vertical="center"/>
    </xf>
    <xf quotePrefix="1" borderId="14" fillId="3" fontId="19" numFmtId="0" xfId="0" applyAlignment="1" applyBorder="1" applyFont="1">
      <alignment horizontal="center" vertical="center"/>
    </xf>
    <xf borderId="17" fillId="0" fontId="19" numFmtId="0" xfId="0" applyBorder="1" applyFont="1"/>
    <xf borderId="13" fillId="0" fontId="19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0" fillId="11" fontId="22" numFmtId="0" xfId="0" applyFill="1" applyFont="1"/>
    <xf borderId="0" fillId="11" fontId="2" numFmtId="0" xfId="0" applyFont="1"/>
    <xf borderId="18" fillId="0" fontId="8" numFmtId="0" xfId="0" applyBorder="1" applyFont="1"/>
    <xf borderId="0" fillId="0" fontId="21" numFmtId="0" xfId="0" applyFont="1"/>
    <xf borderId="19" fillId="0" fontId="21" numFmtId="0" xfId="0" applyBorder="1" applyFont="1"/>
    <xf borderId="0" fillId="11" fontId="23" numFmtId="0" xfId="0" applyAlignment="1" applyFont="1">
      <alignment vertical="center"/>
    </xf>
    <xf borderId="0" fillId="11" fontId="19" numFmtId="0" xfId="0" applyAlignment="1" applyFont="1">
      <alignment vertical="center"/>
    </xf>
    <xf borderId="18" fillId="0" fontId="23" numFmtId="0" xfId="0" applyAlignment="1" applyBorder="1" applyFont="1">
      <alignment horizontal="left" vertical="center"/>
    </xf>
    <xf borderId="0" fillId="0" fontId="23" numFmtId="0" xfId="0" applyAlignment="1" applyFont="1">
      <alignment horizontal="center" vertical="center"/>
    </xf>
    <xf borderId="20" fillId="0" fontId="8" numFmtId="0" xfId="0" applyBorder="1" applyFont="1"/>
    <xf borderId="20" fillId="0" fontId="23" numFmtId="0" xfId="0" applyAlignment="1" applyBorder="1" applyFont="1">
      <alignment horizontal="center" vertical="center"/>
    </xf>
    <xf borderId="21" fillId="0" fontId="23" numFmtId="0" xfId="0" applyAlignment="1" applyBorder="1" applyFont="1">
      <alignment horizontal="center" vertical="center"/>
    </xf>
    <xf borderId="21" fillId="0" fontId="21" numFmtId="0" xfId="0" applyBorder="1" applyFont="1"/>
    <xf borderId="21" fillId="0" fontId="23" numFmtId="0" xfId="0" applyAlignment="1" applyBorder="1" applyFont="1">
      <alignment horizontal="center" readingOrder="0" vertical="center"/>
    </xf>
    <xf borderId="22" fillId="0" fontId="23" numFmtId="0" xfId="0" applyAlignment="1" applyBorder="1" applyFont="1">
      <alignment horizontal="center" vertical="center"/>
    </xf>
    <xf borderId="23" fillId="0" fontId="18" numFmtId="0" xfId="0" applyAlignment="1" applyBorder="1" applyFont="1">
      <alignment horizontal="center" vertical="center"/>
    </xf>
    <xf borderId="12" fillId="12" fontId="20" numFmtId="0" xfId="0" applyAlignment="1" applyBorder="1" applyFill="1" applyFont="1">
      <alignment horizontal="center" readingOrder="0"/>
    </xf>
    <xf borderId="17" fillId="0" fontId="8" numFmtId="0" xfId="0" applyBorder="1" applyFont="1"/>
    <xf borderId="17" fillId="0" fontId="19" numFmtId="0" xfId="0" applyAlignment="1" applyBorder="1" applyFont="1">
      <alignment horizontal="center" vertical="center"/>
    </xf>
    <xf borderId="14" fillId="13" fontId="19" numFmtId="0" xfId="0" applyAlignment="1" applyBorder="1" applyFill="1" applyFont="1">
      <alignment horizontal="center" readingOrder="0" vertical="center"/>
    </xf>
    <xf borderId="17" fillId="0" fontId="20" numFmtId="0" xfId="0" applyAlignment="1" applyBorder="1" applyFont="1">
      <alignment horizontal="left" readingOrder="0" vertical="center"/>
    </xf>
    <xf borderId="13" fillId="0" fontId="19" numFmtId="0" xfId="0" applyBorder="1" applyFont="1"/>
    <xf borderId="0" fillId="11" fontId="23" numFmtId="0" xfId="0" applyFont="1"/>
    <xf borderId="0" fillId="11" fontId="19" numFmtId="0" xfId="0" applyFont="1"/>
    <xf borderId="0" fillId="0" fontId="19" numFmtId="0" xfId="0" applyFont="1"/>
    <xf borderId="24" fillId="0" fontId="8" numFmtId="0" xfId="0" applyBorder="1" applyFont="1"/>
    <xf borderId="18" fillId="0" fontId="19" numFmtId="0" xfId="0" applyBorder="1" applyFont="1"/>
    <xf borderId="20" fillId="12" fontId="20" numFmtId="0" xfId="0" applyAlignment="1" applyBorder="1" applyFont="1">
      <alignment horizontal="center" readingOrder="0"/>
    </xf>
    <xf borderId="21" fillId="0" fontId="8" numFmtId="0" xfId="0" applyBorder="1" applyFont="1"/>
    <xf borderId="22" fillId="0" fontId="8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readingOrder="0" vertical="center"/>
    </xf>
    <xf borderId="19" fillId="0" fontId="6" numFmtId="0" xfId="0" applyBorder="1" applyFont="1"/>
    <xf borderId="14" fillId="3" fontId="23" numFmtId="0" xfId="0" applyAlignment="1" applyBorder="1" applyFont="1">
      <alignment horizontal="center" vertical="center"/>
    </xf>
    <xf borderId="14" fillId="13" fontId="2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left" readingOrder="0" vertical="center"/>
    </xf>
    <xf borderId="19" fillId="0" fontId="19" numFmtId="0" xfId="0" applyAlignment="1" applyBorder="1" applyFont="1">
      <alignment vertical="center"/>
    </xf>
    <xf borderId="25" fillId="0" fontId="8" numFmtId="0" xfId="0" applyBorder="1" applyFont="1"/>
    <xf borderId="21" fillId="0" fontId="2" numFmtId="0" xfId="0" applyBorder="1" applyFont="1"/>
    <xf borderId="21" fillId="0" fontId="18" numFmtId="0" xfId="0" applyAlignment="1" applyBorder="1" applyFont="1">
      <alignment horizontal="center" vertical="center"/>
    </xf>
    <xf borderId="22" fillId="0" fontId="19" numFmtId="0" xfId="0" applyAlignment="1" applyBorder="1" applyFont="1">
      <alignment vertical="center"/>
    </xf>
    <xf borderId="12" fillId="0" fontId="19" numFmtId="0" xfId="0" applyAlignment="1" applyBorder="1" applyFont="1">
      <alignment vertical="center"/>
    </xf>
    <xf borderId="20" fillId="0" fontId="19" numFmtId="0" xfId="0" applyAlignment="1" applyBorder="1" applyFont="1">
      <alignment vertical="center"/>
    </xf>
    <xf borderId="21" fillId="0" fontId="19" numFmtId="0" xfId="0" applyAlignment="1" applyBorder="1" applyFont="1">
      <alignment vertical="center"/>
    </xf>
    <xf borderId="17" fillId="0" fontId="23" numFmtId="0" xfId="0" applyAlignment="1" applyBorder="1" applyFont="1">
      <alignment horizontal="left" vertical="center"/>
    </xf>
    <xf borderId="17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19" fillId="0" fontId="25" numFmtId="0" xfId="0" applyAlignment="1" applyBorder="1" applyFont="1">
      <alignment horizontal="center" vertical="center"/>
    </xf>
    <xf borderId="14" fillId="10" fontId="23" numFmtId="0" xfId="0" applyAlignment="1" applyBorder="1" applyFont="1">
      <alignment horizontal="center" readingOrder="0" vertical="center"/>
    </xf>
    <xf borderId="22" fillId="0" fontId="25" numFmtId="0" xfId="0" applyAlignment="1" applyBorder="1" applyFont="1">
      <alignment horizontal="center" vertical="center"/>
    </xf>
    <xf borderId="12" fillId="12" fontId="26" numFmtId="0" xfId="0" applyAlignment="1" applyBorder="1" applyFont="1">
      <alignment horizontal="center" readingOrder="0"/>
    </xf>
    <xf borderId="17" fillId="0" fontId="19" numFmtId="0" xfId="0" applyAlignment="1" applyBorder="1" applyFont="1">
      <alignment readingOrder="0" vertical="center"/>
    </xf>
    <xf borderId="13" fillId="0" fontId="2" numFmtId="0" xfId="0" applyBorder="1" applyFont="1"/>
    <xf borderId="18" fillId="0" fontId="19" numFmtId="0" xfId="0" applyAlignment="1" applyBorder="1" applyFont="1">
      <alignment vertical="center"/>
    </xf>
    <xf borderId="19" fillId="14" fontId="19" numFmtId="0" xfId="0" applyAlignment="1" applyBorder="1" applyFill="1" applyFont="1">
      <alignment vertical="center"/>
    </xf>
    <xf borderId="12" fillId="12" fontId="24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19" fillId="0" fontId="2" numFmtId="0" xfId="0" applyBorder="1" applyFont="1"/>
    <xf borderId="21" fillId="0" fontId="2" numFmtId="0" xfId="0" applyAlignment="1" applyBorder="1" applyFont="1">
      <alignment readingOrder="0"/>
    </xf>
    <xf borderId="21" fillId="0" fontId="19" numFmtId="0" xfId="0" applyAlignment="1" applyBorder="1" applyFont="1">
      <alignment horizontal="center" vertical="center"/>
    </xf>
    <xf borderId="20" fillId="12" fontId="24" numFmtId="0" xfId="0" applyAlignment="1" applyBorder="1" applyFont="1">
      <alignment horizontal="center" readingOrder="0"/>
    </xf>
    <xf borderId="22" fillId="0" fontId="2" numFmtId="0" xfId="0" applyBorder="1" applyFont="1"/>
    <xf borderId="18" fillId="0" fontId="18" numFmtId="0" xfId="0" applyAlignment="1" applyBorder="1" applyFont="1">
      <alignment horizontal="right" vertical="center"/>
    </xf>
    <xf borderId="18" fillId="0" fontId="18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1" fillId="15" fontId="28" numFmtId="0" xfId="0" applyAlignment="1" applyBorder="1" applyFill="1" applyFont="1">
      <alignment horizontal="center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center" vertical="center"/>
    </xf>
    <xf borderId="1" fillId="15" fontId="30" numFmtId="0" xfId="0" applyAlignment="1" applyBorder="1" applyFont="1">
      <alignment horizontal="center"/>
    </xf>
    <xf quotePrefix="1" borderId="0" fillId="0" fontId="20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readingOrder="0" vertical="center"/>
    </xf>
    <xf borderId="0" fillId="0" fontId="31" numFmtId="0" xfId="0" applyAlignment="1" applyFont="1">
      <alignment horizontal="left" vertical="center"/>
    </xf>
    <xf borderId="0" fillId="0" fontId="32" numFmtId="0" xfId="0" applyFont="1"/>
    <xf borderId="0" fillId="0" fontId="33" numFmtId="0" xfId="0" applyFont="1"/>
    <xf borderId="0" fillId="0" fontId="34" numFmtId="0" xfId="0" applyFont="1"/>
    <xf quotePrefix="1" borderId="0" fillId="0" fontId="32" numFmtId="0" xfId="0" applyAlignment="1" applyFont="1">
      <alignment horizontal="center"/>
    </xf>
    <xf borderId="0" fillId="0" fontId="35" numFmtId="0" xfId="0" applyFont="1"/>
    <xf borderId="0" fillId="0" fontId="20" numFmtId="0" xfId="0" applyAlignment="1" applyFont="1">
      <alignment horizontal="left" vertical="center"/>
    </xf>
    <xf borderId="0" fillId="0" fontId="32" numFmtId="0" xfId="0" applyAlignment="1" applyFont="1">
      <alignment horizontal="center"/>
    </xf>
    <xf borderId="0" fillId="0" fontId="36" numFmtId="0" xfId="0" applyFont="1"/>
    <xf borderId="0" fillId="0" fontId="37" numFmtId="0" xfId="0" applyAlignment="1" applyFont="1">
      <alignment horizontal="left" vertical="center"/>
    </xf>
    <xf borderId="0" fillId="0" fontId="20" numFmtId="0" xfId="0" applyAlignment="1" applyFont="1">
      <alignment horizontal="right" vertical="center"/>
    </xf>
    <xf borderId="0" fillId="0" fontId="18" numFmtId="0" xfId="0" applyAlignment="1" applyFont="1">
      <alignment vertical="center"/>
    </xf>
    <xf borderId="26" fillId="0" fontId="18" numFmtId="0" xfId="0" applyAlignment="1" applyBorder="1" applyFont="1">
      <alignment horizontal="right" vertical="center"/>
    </xf>
    <xf borderId="0" fillId="0" fontId="38" numFmtId="0" xfId="0" applyFont="1"/>
    <xf borderId="0" fillId="11" fontId="5" numFmtId="0" xfId="0" applyAlignment="1" applyFont="1">
      <alignment readingOrder="0"/>
    </xf>
    <xf borderId="0" fillId="11" fontId="5" numFmtId="0" xfId="0" applyFont="1"/>
    <xf borderId="0" fillId="0" fontId="23" numFmtId="0" xfId="0" applyAlignment="1" applyFont="1">
      <alignment horizontal="center"/>
    </xf>
    <xf quotePrefix="1" borderId="14" fillId="0" fontId="18" numFmtId="0" xfId="0" applyAlignment="1" applyBorder="1" applyFont="1">
      <alignment horizontal="center" vertical="center"/>
    </xf>
    <xf borderId="12" fillId="15" fontId="23" numFmtId="0" xfId="0" applyAlignment="1" applyBorder="1" applyFont="1">
      <alignment horizontal="center"/>
    </xf>
    <xf borderId="12" fillId="16" fontId="23" numFmtId="0" xfId="0" applyAlignment="1" applyBorder="1" applyFill="1" applyFont="1">
      <alignment horizontal="center"/>
    </xf>
    <xf quotePrefix="1" borderId="27" fillId="17" fontId="23" numFmtId="0" xfId="0" applyAlignment="1" applyBorder="1" applyFill="1" applyFont="1">
      <alignment horizontal="center" readingOrder="0" vertical="center"/>
    </xf>
    <xf borderId="28" fillId="0" fontId="8" numFmtId="0" xfId="0" applyBorder="1" applyFont="1"/>
    <xf borderId="29" fillId="0" fontId="8" numFmtId="0" xfId="0" applyBorder="1" applyFont="1"/>
    <xf borderId="20" fillId="15" fontId="11" numFmtId="0" xfId="0" applyAlignment="1" applyBorder="1" applyFont="1">
      <alignment horizontal="center" readingOrder="0"/>
    </xf>
    <xf borderId="20" fillId="16" fontId="11" numFmtId="0" xfId="0" applyAlignment="1" applyBorder="1" applyFont="1">
      <alignment horizontal="center" readingOrder="0"/>
    </xf>
    <xf borderId="30" fillId="17" fontId="23" numFmtId="0" xfId="0" applyAlignment="1" applyBorder="1" applyFont="1">
      <alignment horizontal="center" vertical="center"/>
    </xf>
    <xf borderId="31" fillId="0" fontId="8" numFmtId="0" xfId="0" applyBorder="1" applyFont="1"/>
    <xf borderId="32" fillId="0" fontId="8" numFmtId="0" xfId="0" applyBorder="1" applyFont="1"/>
    <xf borderId="19" fillId="0" fontId="19" numFmtId="0" xfId="0" applyBorder="1" applyFont="1"/>
    <xf borderId="12" fillId="16" fontId="19" numFmtId="0" xfId="0" applyAlignment="1" applyBorder="1" applyFont="1">
      <alignment horizontal="center" readingOrder="0"/>
    </xf>
    <xf borderId="12" fillId="15" fontId="19" numFmtId="0" xfId="0" applyAlignment="1" applyBorder="1" applyFont="1">
      <alignment horizontal="center"/>
    </xf>
    <xf borderId="0" fillId="0" fontId="19" numFmtId="0" xfId="0" applyAlignment="1" applyFont="1">
      <alignment horizontal="center" readingOrder="0" vertical="center"/>
    </xf>
    <xf borderId="0" fillId="0" fontId="18" numFmtId="0" xfId="0" applyAlignment="1" applyFont="1">
      <alignment horizontal="left" vertical="center"/>
    </xf>
    <xf borderId="20" fillId="16" fontId="2" numFmtId="0" xfId="0" applyAlignment="1" applyBorder="1" applyFont="1">
      <alignment horizontal="center" readingOrder="0"/>
    </xf>
    <xf borderId="20" fillId="15" fontId="19" numFmtId="0" xfId="0" applyAlignment="1" applyBorder="1" applyFont="1">
      <alignment horizontal="center" readingOrder="0"/>
    </xf>
    <xf borderId="12" fillId="15" fontId="19" numFmtId="0" xfId="0" applyAlignment="1" applyBorder="1" applyFont="1">
      <alignment horizontal="center" readingOrder="0"/>
    </xf>
    <xf borderId="14" fillId="18" fontId="19" numFmtId="0" xfId="0" applyAlignment="1" applyBorder="1" applyFill="1" applyFont="1">
      <alignment horizontal="center" readingOrder="0" vertical="center"/>
    </xf>
    <xf borderId="21" fillId="0" fontId="19" numFmtId="0" xfId="0" applyBorder="1" applyFont="1"/>
    <xf borderId="21" fillId="0" fontId="19" numFmtId="0" xfId="0" applyAlignment="1" applyBorder="1" applyFont="1">
      <alignment horizontal="center"/>
    </xf>
    <xf borderId="22" fillId="0" fontId="19" numFmtId="0" xfId="0" applyBorder="1" applyFont="1"/>
    <xf borderId="12" fillId="19" fontId="19" numFmtId="0" xfId="0" applyAlignment="1" applyBorder="1" applyFill="1" applyFont="1">
      <alignment horizontal="center" readingOrder="0"/>
    </xf>
    <xf borderId="17" fillId="0" fontId="23" numFmtId="0" xfId="0" applyAlignment="1" applyBorder="1" applyFont="1">
      <alignment horizontal="center" vertical="center"/>
    </xf>
    <xf borderId="12" fillId="19" fontId="19" numFmtId="0" xfId="0" applyAlignment="1" applyBorder="1" applyFont="1">
      <alignment horizontal="center"/>
    </xf>
    <xf borderId="14" fillId="11" fontId="11" numFmtId="0" xfId="0" applyAlignment="1" applyBorder="1" applyFont="1">
      <alignment horizontal="center" readingOrder="0"/>
    </xf>
    <xf borderId="0" fillId="0" fontId="39" numFmtId="0" xfId="0" applyAlignment="1" applyFont="1">
      <alignment readingOrder="0"/>
    </xf>
    <xf borderId="0" fillId="0" fontId="19" numFmtId="0" xfId="0" applyAlignment="1" applyFont="1">
      <alignment readingOrder="0"/>
    </xf>
    <xf borderId="18" fillId="0" fontId="2" numFmtId="0" xfId="0" applyBorder="1" applyFont="1"/>
    <xf borderId="20" fillId="19" fontId="19" numFmtId="0" xfId="0" applyAlignment="1" applyBorder="1" applyFont="1">
      <alignment horizontal="center"/>
    </xf>
    <xf borderId="14" fillId="18" fontId="23" numFmtId="0" xfId="0" applyAlignment="1" applyBorder="1" applyFont="1">
      <alignment horizontal="center" readingOrder="0" vertical="center"/>
    </xf>
    <xf borderId="14" fillId="18" fontId="20" numFmtId="0" xfId="0" applyAlignment="1" applyBorder="1" applyFont="1">
      <alignment horizontal="center" readingOrder="0" vertical="center"/>
    </xf>
    <xf borderId="0" fillId="0" fontId="40" numFmtId="0" xfId="0" applyFont="1"/>
    <xf borderId="20" fillId="0" fontId="2" numFmtId="0" xfId="0" applyBorder="1" applyFont="1"/>
    <xf borderId="14" fillId="20" fontId="2" numFmtId="0" xfId="0" applyAlignment="1" applyBorder="1" applyFill="1" applyFont="1">
      <alignment readingOrder="0"/>
    </xf>
    <xf borderId="12" fillId="0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center" vertical="center"/>
    </xf>
    <xf borderId="21" fillId="0" fontId="5" numFmtId="0" xfId="0" applyBorder="1" applyFont="1"/>
    <xf borderId="20" fillId="13" fontId="19" numFmtId="0" xfId="0" applyAlignment="1" applyBorder="1" applyFont="1">
      <alignment horizontal="center" readingOrder="0"/>
    </xf>
    <xf borderId="14" fillId="13" fontId="19" numFmtId="0" xfId="0" applyAlignment="1" applyBorder="1" applyFont="1">
      <alignment horizontal="center" readingOrder="0"/>
    </xf>
    <xf borderId="14" fillId="13" fontId="20" numFmtId="0" xfId="0" applyAlignment="1" applyBorder="1" applyFont="1">
      <alignment horizontal="center" readingOrder="0"/>
    </xf>
    <xf borderId="14" fillId="13" fontId="23" numFmtId="0" xfId="0" applyAlignment="1" applyBorder="1" applyFont="1">
      <alignment horizontal="center" readingOrder="0"/>
    </xf>
    <xf borderId="19" fillId="0" fontId="23" numFmtId="0" xfId="0" applyAlignment="1" applyBorder="1" applyFont="1">
      <alignment readingOrder="0"/>
    </xf>
    <xf borderId="20" fillId="16" fontId="41" numFmtId="0" xfId="0" applyAlignment="1" applyBorder="1" applyFont="1">
      <alignment horizontal="center" readingOrder="0"/>
    </xf>
    <xf borderId="12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" fillId="15" fontId="19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1" fillId="15" fontId="19" numFmtId="0" xfId="0" applyBorder="1" applyFont="1"/>
    <xf borderId="0" fillId="2" fontId="42" numFmtId="0" xfId="0" applyFont="1"/>
    <xf borderId="18" fillId="0" fontId="40" numFmtId="0" xfId="0" applyAlignment="1" applyBorder="1" applyFont="1">
      <alignment horizontal="right" vertical="center"/>
    </xf>
    <xf quotePrefix="1" borderId="0" fillId="0" fontId="23" numFmtId="0" xfId="0" applyAlignment="1" applyFont="1">
      <alignment horizontal="left"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Font="1"/>
    <xf quotePrefix="1" borderId="0" fillId="0" fontId="19" numFmtId="0" xfId="0" applyFont="1"/>
    <xf borderId="0" fillId="0" fontId="19" numFmtId="0" xfId="0" applyAlignment="1" applyFont="1">
      <alignment horizontal="right" readingOrder="0"/>
    </xf>
    <xf borderId="0" fillId="0" fontId="31" numFmtId="0" xfId="0" applyAlignment="1" applyFont="1">
      <alignment horizontal="left" readingOrder="0" vertical="center"/>
    </xf>
    <xf borderId="18" fillId="0" fontId="43" numFmtId="0" xfId="0" applyAlignment="1" applyBorder="1" applyFont="1">
      <alignment horizontal="right" readingOrder="0" vertical="center"/>
    </xf>
    <xf borderId="0" fillId="13" fontId="20" numFmtId="0" xfId="0" applyAlignment="1" applyFont="1">
      <alignment horizontal="left" vertical="center"/>
    </xf>
    <xf borderId="0" fillId="14" fontId="44" numFmtId="0" xfId="0" applyFont="1"/>
    <xf borderId="0" fillId="0" fontId="20" numFmtId="0" xfId="0" applyAlignment="1" applyFont="1">
      <alignment vertical="top"/>
    </xf>
    <xf quotePrefix="1" borderId="0" fillId="0" fontId="20" numFmtId="0" xfId="0" applyAlignment="1" applyFont="1">
      <alignment horizontal="center" readingOrder="0" vertical="top"/>
    </xf>
    <xf borderId="0" fillId="0" fontId="20" numFmtId="0" xfId="0" applyAlignment="1" applyFont="1">
      <alignment horizontal="center" vertical="top"/>
    </xf>
    <xf borderId="18" fillId="0" fontId="18" numFmtId="0" xfId="0" applyAlignment="1" applyBorder="1" applyFont="1">
      <alignment horizontal="right" readingOrder="0" shrinkToFit="0" vertical="center" wrapText="1"/>
    </xf>
    <xf borderId="33" fillId="0" fontId="45" numFmtId="0" xfId="0" applyAlignment="1" applyBorder="1" applyFont="1">
      <alignment horizontal="left" readingOrder="0" vertical="center"/>
    </xf>
    <xf borderId="33" fillId="0" fontId="8" numFmtId="0" xfId="0" applyBorder="1" applyFont="1"/>
    <xf borderId="0" fillId="0" fontId="46" numFmtId="0" xfId="0" applyAlignment="1" applyFont="1">
      <alignment vertical="top"/>
    </xf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11" numFmtId="0" xfId="0" applyFont="1"/>
    <xf borderId="0" fillId="0" fontId="45" numFmtId="0" xfId="0" applyAlignment="1" applyFont="1">
      <alignment readingOrder="0" vertical="center"/>
    </xf>
    <xf borderId="0" fillId="0" fontId="47" numFmtId="0" xfId="0" applyFont="1"/>
    <xf borderId="0" fillId="0" fontId="18" numFmtId="0" xfId="0" applyAlignment="1" applyFont="1">
      <alignment horizontal="right" readingOrder="0" vertical="center"/>
    </xf>
    <xf borderId="0" fillId="0" fontId="48" numFmtId="0" xfId="0" applyAlignment="1" applyFont="1">
      <alignment readingOrder="0" vertical="center"/>
    </xf>
    <xf borderId="0" fillId="0" fontId="49" numFmtId="0" xfId="0" applyAlignment="1" applyFont="1">
      <alignment readingOrder="0"/>
    </xf>
    <xf borderId="1" fillId="11" fontId="29" numFmtId="0" xfId="0" applyAlignment="1" applyBorder="1" applyFont="1">
      <alignment horizontal="left"/>
    </xf>
    <xf borderId="1" fillId="11" fontId="19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0" fillId="0" fontId="20" numFmtId="0" xfId="0" applyAlignment="1" applyFont="1">
      <alignment horizontal="left" shrinkToFit="0" vertical="center" wrapText="1"/>
    </xf>
    <xf borderId="0" fillId="0" fontId="20" numFmtId="0" xfId="0" applyAlignment="1" applyFont="1">
      <alignment shrinkToFit="0" vertical="center" wrapText="1"/>
    </xf>
    <xf borderId="0" fillId="0" fontId="2" numFmtId="165" xfId="0" applyAlignment="1" applyFont="1" applyNumberFormat="1">
      <alignment horizontal="left"/>
    </xf>
    <xf borderId="0" fillId="0" fontId="19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45" numFmtId="0" xfId="0" applyFont="1"/>
    <xf borderId="0" fillId="0" fontId="23" numFmtId="0" xfId="0" applyAlignment="1" applyFont="1">
      <alignment horizontal="right" vertical="center"/>
    </xf>
    <xf borderId="0" fillId="0" fontId="23" numFmtId="0" xfId="0" applyAlignment="1" applyFont="1">
      <alignment vertical="center"/>
    </xf>
    <xf borderId="0" fillId="0" fontId="19" numFmtId="165" xfId="0" applyAlignment="1" applyFont="1" applyNumberFormat="1">
      <alignment horizontal="left"/>
    </xf>
    <xf borderId="0" fillId="0" fontId="19" numFmtId="165" xfId="0" applyAlignment="1" applyFont="1" applyNumberFormat="1">
      <alignment horizontal="left" vertical="center"/>
    </xf>
    <xf borderId="0" fillId="0" fontId="23" numFmtId="0" xfId="0" applyAlignment="1" applyFont="1">
      <alignment horizontal="left" vertical="center"/>
    </xf>
    <xf borderId="33" fillId="0" fontId="50" numFmtId="0" xfId="0" applyAlignment="1" applyBorder="1" applyFont="1">
      <alignment horizontal="left" vertical="center"/>
    </xf>
    <xf borderId="0" fillId="0" fontId="23" numFmtId="0" xfId="0" applyAlignment="1" applyFont="1">
      <alignment horizontal="left"/>
    </xf>
    <xf borderId="0" fillId="11" fontId="51" numFmtId="0" xfId="0" applyFont="1"/>
    <xf borderId="0" fillId="0" fontId="23" numFmtId="0" xfId="0" applyAlignment="1" applyFont="1">
      <alignment shrinkToFit="0" vertical="top" wrapText="1"/>
    </xf>
    <xf borderId="0" fillId="0" fontId="19" numFmtId="0" xfId="0" applyAlignment="1" applyFont="1">
      <alignment vertical="top"/>
    </xf>
    <xf borderId="0" fillId="0" fontId="20" numFmtId="0" xfId="0" applyAlignment="1" applyFont="1">
      <alignment horizontal="left" vertical="top"/>
    </xf>
    <xf borderId="0" fillId="0" fontId="20" numFmtId="0" xfId="0" applyFont="1"/>
    <xf borderId="0" fillId="0" fontId="18" numFmtId="0" xfId="0" applyAlignment="1" applyFont="1">
      <alignment horizontal="center"/>
    </xf>
    <xf borderId="34" fillId="0" fontId="20" numFmtId="0" xfId="0" applyBorder="1" applyFont="1"/>
    <xf borderId="35" fillId="15" fontId="18" numFmtId="0" xfId="0" applyAlignment="1" applyBorder="1" applyFont="1">
      <alignment horizontal="center" vertical="center"/>
    </xf>
    <xf borderId="36" fillId="0" fontId="8" numFmtId="0" xfId="0" applyBorder="1" applyFont="1"/>
    <xf borderId="37" fillId="0" fontId="8" numFmtId="0" xfId="0" applyBorder="1" applyFont="1"/>
    <xf borderId="0" fillId="0" fontId="20" numFmtId="0" xfId="0" applyAlignment="1" applyFont="1">
      <alignment horizontal="center"/>
    </xf>
    <xf borderId="38" fillId="15" fontId="18" numFmtId="0" xfId="0" applyAlignment="1" applyBorder="1" applyFont="1">
      <alignment horizontal="center" vertical="center"/>
    </xf>
    <xf borderId="35" fillId="0" fontId="23" numFmtId="0" xfId="0" applyAlignment="1" applyBorder="1" applyFont="1">
      <alignment horizontal="left" readingOrder="0" vertical="center"/>
    </xf>
    <xf borderId="39" fillId="0" fontId="19" numFmtId="0" xfId="0" applyAlignment="1" applyBorder="1" applyFont="1">
      <alignment horizontal="center" vertical="center"/>
    </xf>
    <xf borderId="40" fillId="18" fontId="2" numFmtId="0" xfId="0" applyAlignment="1" applyBorder="1" applyFont="1">
      <alignment horizontal="center" readingOrder="0"/>
    </xf>
    <xf borderId="41" fillId="0" fontId="8" numFmtId="0" xfId="0" applyBorder="1" applyFont="1"/>
    <xf borderId="42" fillId="0" fontId="8" numFmtId="0" xfId="0" applyBorder="1" applyFont="1"/>
    <xf borderId="35" fillId="12" fontId="19" numFmtId="0" xfId="0" applyAlignment="1" applyBorder="1" applyFont="1">
      <alignment horizontal="center" vertical="center"/>
    </xf>
    <xf borderId="39" fillId="0" fontId="8" numFmtId="0" xfId="0" applyBorder="1" applyFont="1"/>
    <xf borderId="35" fillId="12" fontId="23" numFmtId="0" xfId="0" applyAlignment="1" applyBorder="1" applyFont="1">
      <alignment horizontal="center" vertical="center"/>
    </xf>
    <xf borderId="39" fillId="0" fontId="23" numFmtId="0" xfId="0" applyAlignment="1" applyBorder="1" applyFont="1">
      <alignment horizontal="left" vertical="center"/>
    </xf>
    <xf borderId="37" fillId="0" fontId="19" numFmtId="0" xfId="0" applyAlignment="1" applyBorder="1" applyFont="1">
      <alignment horizontal="center" vertical="center"/>
    </xf>
    <xf borderId="43" fillId="0" fontId="8" numFmtId="0" xfId="0" applyBorder="1" applyFont="1"/>
    <xf borderId="18" fillId="0" fontId="19" numFmtId="0" xfId="0" applyAlignment="1" applyBorder="1" applyFont="1">
      <alignment horizontal="center" vertical="center"/>
    </xf>
    <xf borderId="20" fillId="18" fontId="13" numFmtId="0" xfId="0" applyAlignment="1" applyBorder="1" applyFont="1">
      <alignment horizontal="center" readingOrder="0" vertical="center"/>
    </xf>
    <xf borderId="20" fillId="12" fontId="19" numFmtId="0" xfId="0" applyAlignment="1" applyBorder="1" applyFont="1">
      <alignment horizontal="center" readingOrder="0" vertical="center"/>
    </xf>
    <xf borderId="20" fillId="12" fontId="23" numFmtId="0" xfId="0" applyAlignment="1" applyBorder="1" applyFont="1">
      <alignment horizontal="center" readingOrder="0" vertical="center"/>
    </xf>
    <xf borderId="44" fillId="0" fontId="19" numFmtId="0" xfId="0" applyAlignment="1" applyBorder="1" applyFont="1">
      <alignment horizontal="center" vertical="center"/>
    </xf>
    <xf borderId="12" fillId="12" fontId="19" numFmtId="0" xfId="0" applyAlignment="1" applyBorder="1" applyFont="1">
      <alignment horizontal="center" vertical="center"/>
    </xf>
    <xf borderId="12" fillId="21" fontId="19" numFmtId="0" xfId="0" applyAlignment="1" applyBorder="1" applyFill="1" applyFont="1">
      <alignment horizontal="center" vertical="center"/>
    </xf>
    <xf borderId="20" fillId="21" fontId="19" numFmtId="0" xfId="0" applyAlignment="1" applyBorder="1" applyFont="1">
      <alignment horizontal="center" readingOrder="0" vertical="center"/>
    </xf>
    <xf borderId="12" fillId="21" fontId="23" numFmtId="0" xfId="0" applyAlignment="1" applyBorder="1" applyFont="1">
      <alignment horizontal="center" vertical="center"/>
    </xf>
    <xf borderId="20" fillId="21" fontId="23" numFmtId="0" xfId="0" applyAlignment="1" applyBorder="1" applyFont="1">
      <alignment horizontal="center" readingOrder="0" vertical="center"/>
    </xf>
    <xf borderId="45" fillId="0" fontId="8" numFmtId="0" xfId="0" applyBorder="1" applyFont="1"/>
    <xf borderId="46" fillId="0" fontId="19" numFmtId="0" xfId="0" applyAlignment="1" applyBorder="1" applyFont="1">
      <alignment horizontal="center" vertical="center"/>
    </xf>
    <xf borderId="47" fillId="0" fontId="19" numFmtId="0" xfId="0" applyAlignment="1" applyBorder="1" applyFont="1">
      <alignment horizontal="center" vertical="center"/>
    </xf>
    <xf borderId="47" fillId="0" fontId="19" numFmtId="0" xfId="0" applyBorder="1" applyFont="1"/>
    <xf borderId="47" fillId="0" fontId="5" numFmtId="0" xfId="0" applyBorder="1" applyFont="1"/>
    <xf borderId="48" fillId="0" fontId="19" numFmtId="0" xfId="0" applyAlignment="1" applyBorder="1" applyFont="1">
      <alignment horizontal="center" vertical="center"/>
    </xf>
    <xf borderId="43" fillId="15" fontId="18" numFmtId="0" xfId="0" applyAlignment="1" applyBorder="1" applyFont="1">
      <alignment horizontal="center" vertical="center"/>
    </xf>
    <xf borderId="18" fillId="22" fontId="19" numFmtId="0" xfId="0" applyAlignment="1" applyBorder="1" applyFill="1" applyFont="1">
      <alignment horizontal="center"/>
    </xf>
    <xf borderId="19" fillId="0" fontId="8" numFmtId="0" xfId="0" applyBorder="1" applyFont="1"/>
    <xf borderId="20" fillId="18" fontId="19" numFmtId="0" xfId="0" applyAlignment="1" applyBorder="1" applyFont="1">
      <alignment horizontal="center" readingOrder="0" vertical="center"/>
    </xf>
    <xf borderId="20" fillId="18" fontId="20" numFmtId="0" xfId="0" applyAlignment="1" applyBorder="1" applyFont="1">
      <alignment horizontal="center" readingOrder="0" vertical="center"/>
    </xf>
    <xf borderId="12" fillId="18" fontId="41" numFmtId="0" xfId="0" applyAlignment="1" applyBorder="1" applyFont="1">
      <alignment horizontal="center" readingOrder="0"/>
    </xf>
    <xf borderId="0" fillId="0" fontId="19" numFmtId="0" xfId="0" applyAlignment="1" applyFont="1">
      <alignment horizontal="left" readingOrder="0"/>
    </xf>
    <xf borderId="49" fillId="0" fontId="8" numFmtId="0" xfId="0" applyBorder="1" applyFont="1"/>
    <xf borderId="18" fillId="0" fontId="19" numFmtId="0" xfId="0" applyAlignment="1" applyBorder="1" applyFont="1">
      <alignment horizontal="center"/>
    </xf>
    <xf borderId="12" fillId="18" fontId="20" numFmtId="0" xfId="0" applyAlignment="1" applyBorder="1" applyFont="1">
      <alignment horizontal="center" readingOrder="0" vertical="center"/>
    </xf>
    <xf borderId="40" fillId="6" fontId="19" numFmtId="0" xfId="0" applyAlignment="1" applyBorder="1" applyFont="1">
      <alignment horizontal="center" vertical="center"/>
    </xf>
    <xf borderId="39" fillId="0" fontId="20" numFmtId="0" xfId="0" applyAlignment="1" applyBorder="1" applyFont="1">
      <alignment horizontal="center" vertical="center"/>
    </xf>
    <xf borderId="40" fillId="11" fontId="23" numFmtId="0" xfId="0" applyAlignment="1" applyBorder="1" applyFont="1">
      <alignment horizontal="center" readingOrder="0" vertical="center"/>
    </xf>
    <xf borderId="39" fillId="0" fontId="52" numFmtId="0" xfId="0" applyAlignment="1" applyBorder="1" applyFont="1">
      <alignment readingOrder="0"/>
    </xf>
    <xf borderId="39" fillId="0" fontId="5" numFmtId="0" xfId="0" applyBorder="1" applyFont="1"/>
    <xf borderId="39" fillId="0" fontId="19" numFmtId="0" xfId="0" applyAlignment="1" applyBorder="1" applyFont="1">
      <alignment horizontal="center" readingOrder="0" vertical="center"/>
    </xf>
    <xf borderId="46" fillId="0" fontId="20" numFmtId="0" xfId="0" applyAlignment="1" applyBorder="1" applyFont="1">
      <alignment horizontal="center" vertical="center"/>
    </xf>
    <xf borderId="47" fillId="0" fontId="20" numFmtId="0" xfId="0" applyAlignment="1" applyBorder="1" applyFont="1">
      <alignment horizontal="center" vertical="center"/>
    </xf>
    <xf borderId="50" fillId="18" fontId="20" numFmtId="0" xfId="0" applyAlignment="1" applyBorder="1" applyFont="1">
      <alignment horizontal="center" readingOrder="0" vertical="center"/>
    </xf>
    <xf borderId="51" fillId="0" fontId="8" numFmtId="0" xfId="0" applyBorder="1" applyFont="1"/>
    <xf borderId="52" fillId="0" fontId="8" numFmtId="0" xfId="0" applyBorder="1" applyFont="1"/>
    <xf borderId="48" fillId="0" fontId="20" numFmtId="0" xfId="0" applyAlignment="1" applyBorder="1" applyFont="1">
      <alignment horizontal="center" vertical="center"/>
    </xf>
    <xf borderId="20" fillId="18" fontId="2" numFmtId="0" xfId="0" applyAlignment="1" applyBorder="1" applyFont="1">
      <alignment horizontal="center" readingOrder="0"/>
    </xf>
    <xf borderId="18" fillId="12" fontId="19" numFmtId="0" xfId="0" applyAlignment="1" applyBorder="1" applyFont="1">
      <alignment horizontal="center" vertical="center"/>
    </xf>
    <xf borderId="18" fillId="12" fontId="23" numFmtId="0" xfId="0" applyAlignment="1" applyBorder="1" applyFont="1">
      <alignment horizontal="center" vertical="center"/>
    </xf>
    <xf borderId="20" fillId="18" fontId="23" numFmtId="0" xfId="0" applyAlignment="1" applyBorder="1" applyFont="1">
      <alignment horizontal="center" readingOrder="0" vertical="center"/>
    </xf>
    <xf borderId="14" fillId="10" fontId="2" numFmtId="0" xfId="0" applyAlignment="1" applyBorder="1" applyFont="1">
      <alignment horizontal="center" readingOrder="0"/>
    </xf>
    <xf borderId="35" fillId="22" fontId="19" numFmtId="0" xfId="0" applyAlignment="1" applyBorder="1" applyFont="1">
      <alignment horizontal="center"/>
    </xf>
    <xf borderId="40" fillId="18" fontId="11" numFmtId="0" xfId="0" applyAlignment="1" applyBorder="1" applyFont="1">
      <alignment horizontal="center" readingOrder="0"/>
    </xf>
    <xf borderId="39" fillId="0" fontId="19" numFmtId="0" xfId="0" applyAlignment="1" applyBorder="1" applyFont="1">
      <alignment horizontal="center"/>
    </xf>
    <xf borderId="40" fillId="18" fontId="20" numFmtId="0" xfId="0" applyAlignment="1" applyBorder="1" applyFont="1">
      <alignment horizontal="center" readingOrder="0" vertical="center"/>
    </xf>
    <xf borderId="40" fillId="18" fontId="19" numFmtId="0" xfId="0" applyAlignment="1" applyBorder="1" applyFont="1">
      <alignment horizontal="center" readingOrder="0" vertical="center"/>
    </xf>
    <xf borderId="37" fillId="0" fontId="19" numFmtId="0" xfId="0" applyAlignment="1" applyBorder="1" applyFont="1">
      <alignment horizontal="center"/>
    </xf>
    <xf borderId="44" fillId="0" fontId="19" numFmtId="0" xfId="0" applyAlignment="1" applyBorder="1" applyFont="1">
      <alignment horizontal="center"/>
    </xf>
    <xf borderId="46" fillId="0" fontId="19" numFmtId="0" xfId="0" applyAlignment="1" applyBorder="1" applyFont="1">
      <alignment horizontal="center"/>
    </xf>
    <xf borderId="47" fillId="0" fontId="19" numFmtId="0" xfId="0" applyAlignment="1" applyBorder="1" applyFont="1">
      <alignment horizontal="center"/>
    </xf>
    <xf borderId="50" fillId="11" fontId="23" numFmtId="0" xfId="0" applyAlignment="1" applyBorder="1" applyFont="1">
      <alignment horizontal="center" readingOrder="0" vertical="center"/>
    </xf>
    <xf borderId="48" fillId="0" fontId="19" numFmtId="0" xfId="0" applyAlignment="1" applyBorder="1" applyFont="1">
      <alignment horizontal="center"/>
    </xf>
    <xf borderId="1" fillId="15" fontId="29" numFmtId="0" xfId="0" applyAlignment="1" applyBorder="1" applyFont="1">
      <alignment horizontal="center"/>
    </xf>
    <xf borderId="0" fillId="0" fontId="46" numFmtId="0" xfId="0" applyAlignment="1" applyFont="1">
      <alignment vertical="center"/>
    </xf>
    <xf quotePrefix="1" borderId="0" fillId="0" fontId="20" numFmtId="0" xfId="0" applyAlignment="1" applyFont="1">
      <alignment horizontal="center" vertical="center"/>
    </xf>
    <xf borderId="33" fillId="0" fontId="25" numFmtId="0" xfId="0" applyAlignment="1" applyBorder="1" applyFont="1">
      <alignment horizontal="left" vertical="center"/>
    </xf>
    <xf borderId="0" fillId="0" fontId="19" numFmtId="0" xfId="0" applyAlignment="1" applyFont="1">
      <alignment shrinkToFit="0" wrapText="1"/>
    </xf>
    <xf borderId="0" fillId="0" fontId="18" numFmtId="0" xfId="0" applyAlignment="1" applyFont="1">
      <alignment horizontal="right" vertical="center"/>
    </xf>
    <xf borderId="0" fillId="0" fontId="20" numFmtId="0" xfId="0" applyAlignment="1" applyFont="1">
      <alignment horizontal="center" shrinkToFit="0" vertical="center" wrapText="1"/>
    </xf>
    <xf borderId="53" fillId="0" fontId="18" numFmtId="0" xfId="0" applyAlignment="1" applyBorder="1" applyFont="1">
      <alignment horizontal="center" vertical="center"/>
    </xf>
    <xf borderId="0" fillId="0" fontId="18" numFmtId="0" xfId="0" applyFont="1"/>
    <xf borderId="0" fillId="12" fontId="20" numFmtId="0" xfId="0" applyAlignment="1" applyFont="1">
      <alignment readingOrder="0" vertical="center"/>
    </xf>
    <xf borderId="0" fillId="12" fontId="19" numFmtId="0" xfId="0" applyAlignment="1" applyFont="1">
      <alignment vertical="center"/>
    </xf>
    <xf borderId="0" fillId="12" fontId="19" numFmtId="0" xfId="0" applyFont="1"/>
    <xf borderId="0" fillId="0" fontId="20" numFmtId="0" xfId="0" applyAlignment="1" applyFont="1">
      <alignment readingOrder="0" vertical="center"/>
    </xf>
    <xf borderId="0" fillId="0" fontId="51" numFmtId="0" xfId="0" applyAlignment="1" applyFont="1">
      <alignment horizontal="center"/>
    </xf>
    <xf borderId="0" fillId="0" fontId="29" numFmtId="0" xfId="0" applyAlignment="1" applyFont="1">
      <alignment vertical="center"/>
    </xf>
    <xf borderId="0" fillId="0" fontId="53" numFmtId="0" xfId="0" applyAlignment="1" applyFont="1">
      <alignment horizontal="center"/>
    </xf>
    <xf borderId="0" fillId="0" fontId="20" numFmtId="0" xfId="0" applyAlignment="1" applyFont="1">
      <alignment horizontal="left"/>
    </xf>
    <xf quotePrefix="1" borderId="0" fillId="0" fontId="20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left" shrinkToFit="0" wrapText="0"/>
    </xf>
    <xf borderId="0" fillId="0" fontId="40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19" numFmtId="0" xfId="0" applyAlignment="1" applyFont="1">
      <alignment horizontal="right" readingOrder="0" vertical="center"/>
    </xf>
    <xf borderId="0" fillId="0" fontId="40" numFmtId="0" xfId="0" applyAlignment="1" applyFont="1">
      <alignment horizontal="center" vertical="center"/>
    </xf>
    <xf borderId="0" fillId="0" fontId="33" numFmtId="0" xfId="0" applyAlignment="1" applyFont="1">
      <alignment horizontal="center" readingOrder="0"/>
    </xf>
    <xf borderId="0" fillId="0" fontId="54" numFmtId="0" xfId="0" applyAlignment="1" applyFont="1">
      <alignment horizontal="center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right" vertical="center"/>
    </xf>
    <xf borderId="0" fillId="0" fontId="23" numFmtId="0" xfId="0" applyAlignment="1" applyFont="1">
      <alignment readingOrder="0" vertical="center"/>
    </xf>
    <xf borderId="0" fillId="0" fontId="3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0" numFmtId="0" xfId="0" applyAlignment="1" applyFont="1">
      <alignment horizontal="left" vertical="bottom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53" numFmtId="0" xfId="0" applyAlignment="1" applyFont="1">
      <alignment horizontal="center" vertical="bottom"/>
    </xf>
    <xf borderId="0" fillId="0" fontId="53" numFmtId="0" xfId="0" applyAlignment="1" applyFont="1">
      <alignment horizontal="center" vertical="center"/>
    </xf>
    <xf borderId="0" fillId="11" fontId="20" numFmtId="0" xfId="0" applyAlignment="1" applyFont="1">
      <alignment readingOrder="0" vertical="center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left" readingOrder="0"/>
    </xf>
    <xf quotePrefix="1" borderId="0" fillId="0" fontId="20" numFmtId="0" xfId="0" applyAlignment="1" applyFont="1">
      <alignment horizontal="center" readingOrder="0"/>
    </xf>
    <xf borderId="0" fillId="11" fontId="19" numFmtId="0" xfId="0" applyAlignment="1" applyFont="1">
      <alignment horizontal="right" vertical="center"/>
    </xf>
    <xf borderId="0" fillId="0" fontId="2" numFmtId="0" xfId="0" applyAlignment="1" applyFont="1">
      <alignment horizontal="center" readingOrder="0"/>
    </xf>
    <xf borderId="0" fillId="23" fontId="5" numFmtId="0" xfId="0" applyAlignment="1" applyFill="1" applyFont="1">
      <alignment horizontal="center" readingOrder="0"/>
    </xf>
    <xf borderId="0" fillId="23" fontId="26" numFmtId="0" xfId="0" applyAlignment="1" applyFont="1">
      <alignment horizontal="left"/>
    </xf>
    <xf borderId="0" fillId="0" fontId="26" numFmtId="0" xfId="0" applyFont="1"/>
    <xf borderId="0" fillId="0" fontId="26" numFmtId="0" xfId="0" applyAlignment="1" applyFont="1">
      <alignment vertical="center"/>
    </xf>
    <xf quotePrefix="1"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left" readingOrder="0" shrinkToFit="0" wrapText="0"/>
    </xf>
    <xf borderId="0" fillId="11" fontId="23" numFmtId="0" xfId="0" applyAlignment="1" applyFont="1">
      <alignment horizontal="left" shrinkToFit="0" vertical="bottom" wrapText="0"/>
    </xf>
    <xf borderId="0" fillId="18" fontId="2" numFmtId="0" xfId="0" applyAlignment="1" applyFont="1">
      <alignment horizontal="center"/>
    </xf>
    <xf borderId="0" fillId="18" fontId="19" numFmtId="0" xfId="0" applyAlignment="1" applyFont="1">
      <alignment horizontal="center"/>
    </xf>
    <xf borderId="0" fillId="18" fontId="20" numFmtId="0" xfId="0" applyAlignment="1" applyFont="1">
      <alignment horizontal="left"/>
    </xf>
    <xf borderId="0" fillId="18" fontId="20" numFmtId="0" xfId="0" applyFont="1"/>
    <xf borderId="0" fillId="18" fontId="18" numFmtId="0" xfId="0" applyAlignment="1" applyFont="1">
      <alignment vertical="center"/>
    </xf>
    <xf borderId="0" fillId="18" fontId="2" numFmtId="0" xfId="0" applyFont="1"/>
    <xf borderId="0" fillId="18" fontId="20" numFmtId="0" xfId="0" applyAlignment="1" applyFont="1">
      <alignment vertical="center"/>
    </xf>
    <xf borderId="0" fillId="18" fontId="18" numFmtId="0" xfId="0" applyAlignment="1" applyFont="1">
      <alignment horizontal="center" vertical="center"/>
    </xf>
    <xf borderId="0" fillId="18" fontId="20" numFmtId="0" xfId="0" applyAlignment="1" applyFont="1">
      <alignment horizontal="left" shrinkToFit="0" wrapText="0"/>
    </xf>
    <xf borderId="0" fillId="0" fontId="13" numFmtId="0" xfId="0" applyFont="1"/>
    <xf borderId="0" fillId="0" fontId="13" numFmtId="0" xfId="0" applyFont="1"/>
    <xf borderId="0" fillId="23" fontId="26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27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left" readingOrder="0" vertical="bottom"/>
    </xf>
    <xf borderId="0" fillId="0" fontId="24" numFmtId="0" xfId="0" applyAlignment="1" applyFont="1">
      <alignment readingOrder="0"/>
    </xf>
    <xf borderId="0" fillId="0" fontId="24" numFmtId="0" xfId="0" applyAlignment="1" applyFont="1">
      <alignment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11" fontId="5" numFmtId="0" xfId="0" applyAlignment="1" applyFont="1">
      <alignment horizontal="center"/>
    </xf>
    <xf borderId="0" fillId="11" fontId="5" numFmtId="0" xfId="0" applyAlignment="1" applyFont="1">
      <alignment horizontal="center" readingOrder="0"/>
    </xf>
    <xf borderId="0" fillId="11" fontId="20" numFmtId="0" xfId="0" applyAlignment="1" applyFont="1">
      <alignment horizontal="left" readingOrder="0" shrinkToFit="0" wrapText="0"/>
    </xf>
    <xf borderId="0" fillId="11" fontId="23" numFmtId="0" xfId="0" applyAlignment="1" applyFont="1">
      <alignment readingOrder="0"/>
    </xf>
    <xf borderId="0" fillId="18" fontId="19" numFmtId="0" xfId="0" applyFont="1"/>
    <xf borderId="0" fillId="18" fontId="19" numFmtId="0" xfId="0" applyAlignment="1" applyFont="1">
      <alignment vertical="center"/>
    </xf>
    <xf borderId="54" fillId="15" fontId="29" numFmtId="0" xfId="0" applyAlignment="1" applyBorder="1" applyFont="1">
      <alignment horizontal="center" vertical="center"/>
    </xf>
    <xf borderId="55" fillId="15" fontId="29" numFmtId="0" xfId="0" applyAlignment="1" applyBorder="1" applyFont="1">
      <alignment horizontal="center" vertical="center"/>
    </xf>
    <xf borderId="23" fillId="15" fontId="29" numFmtId="0" xfId="0" applyAlignment="1" applyBorder="1" applyFont="1">
      <alignment horizontal="center" vertical="center"/>
    </xf>
    <xf borderId="12" fillId="0" fontId="29" numFmtId="0" xfId="0" applyBorder="1" applyFont="1"/>
    <xf borderId="17" fillId="0" fontId="29" numFmtId="0" xfId="0" applyAlignment="1" applyBorder="1" applyFont="1">
      <alignment horizontal="center" vertical="center"/>
    </xf>
    <xf borderId="17" fillId="0" fontId="29" numFmtId="0" xfId="0" applyAlignment="1" applyBorder="1" applyFont="1">
      <alignment vertical="center"/>
    </xf>
    <xf borderId="18" fillId="0" fontId="29" numFmtId="0" xfId="0" applyBorder="1" applyFont="1"/>
    <xf borderId="20" fillId="0" fontId="29" numFmtId="0" xfId="0" applyBorder="1" applyFont="1"/>
    <xf borderId="21" fillId="0" fontId="29" numFmtId="0" xfId="0" applyAlignment="1" applyBorder="1" applyFont="1">
      <alignment horizontal="center" vertical="center"/>
    </xf>
    <xf borderId="21" fillId="0" fontId="29" numFmtId="0" xfId="0" applyAlignment="1" applyBorder="1" applyFont="1">
      <alignment vertical="center"/>
    </xf>
    <xf borderId="0" fillId="0" fontId="29" numFmtId="0" xfId="0" applyFont="1"/>
    <xf borderId="0" fillId="0" fontId="13" numFmtId="0" xfId="0" applyAlignment="1" applyFont="1">
      <alignment vertical="center"/>
    </xf>
    <xf borderId="1" fillId="15" fontId="55" numFmtId="0" xfId="0" applyAlignment="1" applyBorder="1" applyFont="1">
      <alignment horizontal="center" vertical="center"/>
    </xf>
    <xf borderId="0" fillId="0" fontId="41" numFmtId="0" xfId="0" applyFont="1"/>
    <xf borderId="0" fillId="0" fontId="56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left" vertical="center"/>
    </xf>
    <xf borderId="0" fillId="0" fontId="55" numFmtId="0" xfId="0" applyAlignment="1" applyFont="1">
      <alignment horizontal="center" vertical="center"/>
    </xf>
    <xf borderId="0" fillId="0" fontId="57" numFmtId="0" xfId="0" applyAlignment="1" applyFont="1">
      <alignment horizontal="right" vertical="center"/>
    </xf>
    <xf borderId="0" fillId="0" fontId="26" numFmtId="0" xfId="0" applyAlignment="1" applyFont="1">
      <alignment horizontal="center" shrinkToFit="0" vertical="center" wrapText="1"/>
    </xf>
    <xf borderId="53" fillId="0" fontId="57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58" numFmtId="0" xfId="0" applyAlignment="1" applyFont="1">
      <alignment vertical="center"/>
    </xf>
    <xf borderId="0" fillId="0" fontId="59" numFmtId="0" xfId="0" applyAlignment="1" applyFont="1">
      <alignment vertical="center"/>
    </xf>
    <xf borderId="0" fillId="0" fontId="57" numFmtId="0" xfId="0" applyAlignment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20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mit.camt.cmu.ac.th/detail/2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mit.camt.cmu.ac.th/detail/2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9.0"/>
  </cols>
  <sheetData>
    <row r="1" ht="15.0" customHeight="1">
      <c r="A1" s="1" t="s">
        <v>0</v>
      </c>
      <c r="B1" s="1" t="s">
        <v>1</v>
      </c>
    </row>
    <row r="2" ht="15.0" customHeight="1">
      <c r="A2" s="2">
        <v>1.0</v>
      </c>
      <c r="B2" s="3" t="s">
        <v>2</v>
      </c>
    </row>
    <row r="3" ht="15.0" customHeight="1">
      <c r="A3" s="2">
        <v>2.0</v>
      </c>
      <c r="B3" s="3" t="s">
        <v>3</v>
      </c>
    </row>
    <row r="4" ht="15.0" customHeight="1">
      <c r="A4" s="2">
        <v>3.0</v>
      </c>
      <c r="B4" s="3" t="s">
        <v>4</v>
      </c>
    </row>
    <row r="5" ht="15.0" customHeight="1">
      <c r="A5" s="2">
        <v>4.0</v>
      </c>
      <c r="B5" s="3" t="s">
        <v>5</v>
      </c>
    </row>
    <row r="6" ht="15.0" customHeight="1">
      <c r="A6" s="2">
        <v>5.0</v>
      </c>
      <c r="B6" s="3" t="s">
        <v>6</v>
      </c>
    </row>
    <row r="7" ht="15.0" customHeight="1">
      <c r="A7" s="2">
        <v>6.0</v>
      </c>
      <c r="B7" s="3" t="s">
        <v>7</v>
      </c>
    </row>
    <row r="8" ht="15.0" customHeight="1">
      <c r="A8" s="2">
        <v>7.0</v>
      </c>
      <c r="B8" s="3" t="s">
        <v>8</v>
      </c>
    </row>
    <row r="9" ht="15.0" customHeight="1">
      <c r="A9" s="2">
        <v>8.0</v>
      </c>
      <c r="B9" s="4" t="s">
        <v>9</v>
      </c>
    </row>
    <row r="10" ht="15.0" customHeight="1">
      <c r="A10" s="2">
        <v>9.0</v>
      </c>
      <c r="B10" s="3" t="s">
        <v>10</v>
      </c>
    </row>
    <row r="11" ht="15.0" customHeight="1">
      <c r="A11" s="2">
        <v>10.0</v>
      </c>
      <c r="B11" s="3" t="s">
        <v>11</v>
      </c>
    </row>
    <row r="12" ht="15.0" customHeight="1">
      <c r="A12" s="2">
        <v>11.0</v>
      </c>
      <c r="B12" s="3" t="s">
        <v>12</v>
      </c>
    </row>
    <row r="13" ht="15.0" customHeight="1">
      <c r="A13" s="2">
        <v>12.0</v>
      </c>
      <c r="B13" s="3" t="s">
        <v>13</v>
      </c>
    </row>
    <row r="14" ht="15.0" customHeight="1">
      <c r="A14" s="2">
        <v>13.0</v>
      </c>
      <c r="B14" s="3" t="s">
        <v>14</v>
      </c>
    </row>
    <row r="15" ht="15.0" customHeight="1">
      <c r="A15" s="2">
        <v>14.0</v>
      </c>
      <c r="B15" s="3" t="s">
        <v>15</v>
      </c>
    </row>
    <row r="16" ht="15.0" customHeight="1">
      <c r="A16" s="2">
        <v>15.0</v>
      </c>
      <c r="B16" s="3" t="s">
        <v>16</v>
      </c>
    </row>
    <row r="17" ht="15.0" customHeight="1">
      <c r="A17" s="2">
        <v>16.0</v>
      </c>
      <c r="B17" s="3" t="s">
        <v>17</v>
      </c>
    </row>
    <row r="18" ht="15.0" customHeight="1">
      <c r="A18" s="2">
        <v>17.0</v>
      </c>
      <c r="B18" s="3" t="s">
        <v>18</v>
      </c>
    </row>
    <row r="19" ht="15.0" customHeight="1">
      <c r="A19" s="2">
        <v>18.0</v>
      </c>
      <c r="B19" s="3" t="s">
        <v>19</v>
      </c>
    </row>
    <row r="20" ht="15.0" customHeight="1">
      <c r="A20" s="2">
        <v>19.0</v>
      </c>
      <c r="B20" s="3" t="s">
        <v>20</v>
      </c>
    </row>
    <row r="21" ht="15.0" customHeight="1">
      <c r="A21" s="2">
        <v>20.0</v>
      </c>
      <c r="B21" s="3" t="s">
        <v>21</v>
      </c>
    </row>
    <row r="22" ht="15.0" customHeight="1">
      <c r="A22" s="2">
        <v>21.0</v>
      </c>
      <c r="B22" s="3" t="s">
        <v>22</v>
      </c>
    </row>
    <row r="23" ht="15.0" customHeight="1">
      <c r="A23" s="2">
        <v>22.0</v>
      </c>
      <c r="B23" s="3" t="s">
        <v>23</v>
      </c>
    </row>
    <row r="24" ht="15.0" customHeight="1">
      <c r="A24" s="2"/>
      <c r="B24" s="3"/>
    </row>
    <row r="25" ht="15.0" customHeight="1">
      <c r="A25" s="2"/>
      <c r="B25" s="3" t="s">
        <v>24</v>
      </c>
    </row>
    <row r="26" ht="15.0" customHeight="1">
      <c r="A26" s="2"/>
      <c r="B26" s="3" t="s">
        <v>25</v>
      </c>
    </row>
    <row r="27" ht="15.0" customHeight="1">
      <c r="A27" s="2"/>
      <c r="B27" s="5" t="s">
        <v>26</v>
      </c>
    </row>
    <row r="28" ht="15.0" customHeight="1">
      <c r="A28" s="2"/>
      <c r="B28" s="5" t="s">
        <v>27</v>
      </c>
    </row>
    <row r="29" ht="15.0" customHeight="1">
      <c r="A29" s="2"/>
      <c r="B29" s="6"/>
    </row>
    <row r="30" ht="15.0" customHeight="1">
      <c r="A30" s="2"/>
      <c r="B30" s="3"/>
    </row>
    <row r="31" ht="15.0" customHeight="1">
      <c r="A31" s="2"/>
      <c r="B31" s="3" t="s">
        <v>28</v>
      </c>
    </row>
    <row r="32" ht="15.0" customHeight="1">
      <c r="A32" s="2"/>
      <c r="B32" s="3" t="s">
        <v>29</v>
      </c>
    </row>
    <row r="33" ht="15.0" customHeight="1">
      <c r="A33" s="2"/>
      <c r="B33" s="3" t="s">
        <v>30</v>
      </c>
    </row>
    <row r="34" ht="15.0" customHeight="1">
      <c r="A34" s="2"/>
      <c r="B34" s="3" t="s">
        <v>31</v>
      </c>
    </row>
    <row r="35" ht="15.0" customHeight="1">
      <c r="A35" s="2"/>
    </row>
    <row r="36" ht="15.0" customHeight="1">
      <c r="A36" s="2"/>
      <c r="B36" s="3"/>
    </row>
    <row r="37" ht="15.0" customHeight="1">
      <c r="A37" s="2"/>
      <c r="B37" s="3"/>
    </row>
    <row r="38" ht="15.0" customHeight="1">
      <c r="A38" s="2"/>
      <c r="B38" s="3"/>
    </row>
    <row r="39" ht="15.0" customHeight="1">
      <c r="A39" s="2"/>
      <c r="B39" s="3"/>
    </row>
    <row r="40" ht="15.0" customHeight="1">
      <c r="A40" s="2"/>
      <c r="B40" s="3"/>
    </row>
    <row r="41" ht="15.75" customHeight="1">
      <c r="A41" s="2"/>
      <c r="B41" s="3"/>
    </row>
    <row r="42" ht="15.75" customHeight="1">
      <c r="A42" s="2"/>
      <c r="B42" s="3"/>
    </row>
    <row r="43" ht="15.75" customHeight="1">
      <c r="A43" s="2"/>
      <c r="B43" s="3"/>
    </row>
    <row r="44" ht="15.75" customHeight="1">
      <c r="A44" s="2"/>
      <c r="B44" s="3"/>
    </row>
    <row r="45" ht="15.75" customHeight="1">
      <c r="A45" s="2"/>
      <c r="B45" s="3"/>
    </row>
    <row r="46" ht="15.75" customHeight="1">
      <c r="A46" s="2"/>
      <c r="B46" s="3"/>
    </row>
    <row r="47" ht="15.75" customHeight="1">
      <c r="A47" s="2"/>
      <c r="B47" s="3"/>
    </row>
    <row r="48" ht="15.75" customHeight="1">
      <c r="A48" s="2"/>
      <c r="B48" s="3"/>
    </row>
    <row r="49" ht="15.75" customHeight="1">
      <c r="A49" s="2"/>
      <c r="B49" s="3"/>
    </row>
    <row r="50" ht="15.75" customHeight="1">
      <c r="A50" s="2"/>
      <c r="B50" s="3"/>
    </row>
    <row r="51" ht="15.75" customHeight="1">
      <c r="A51" s="2"/>
      <c r="B51" s="3"/>
    </row>
    <row r="52" ht="15.75" customHeight="1">
      <c r="A52" s="2"/>
      <c r="B52" s="3"/>
    </row>
    <row r="53" ht="15.75" customHeight="1">
      <c r="A53" s="2"/>
      <c r="B53" s="3"/>
    </row>
    <row r="54" ht="15.75" customHeight="1">
      <c r="A54" s="2"/>
      <c r="B54" s="3"/>
    </row>
    <row r="55" ht="15.75" customHeight="1">
      <c r="A55" s="2"/>
      <c r="B55" s="3"/>
    </row>
    <row r="56" ht="15.75" customHeight="1">
      <c r="A56" s="2"/>
      <c r="B56" s="3"/>
    </row>
    <row r="57" ht="15.75" customHeight="1">
      <c r="A57" s="2"/>
      <c r="B57" s="3"/>
    </row>
    <row r="58" ht="15.75" customHeight="1">
      <c r="A58" s="2"/>
      <c r="B58" s="3"/>
    </row>
    <row r="59" ht="15.75" customHeight="1">
      <c r="A59" s="2"/>
      <c r="B59" s="3"/>
    </row>
    <row r="60" ht="15.75" customHeight="1">
      <c r="A60" s="2"/>
      <c r="B60" s="3"/>
    </row>
    <row r="61" ht="15.75" customHeight="1">
      <c r="A61" s="2"/>
      <c r="B61" s="3"/>
    </row>
    <row r="62" ht="15.75" customHeight="1">
      <c r="A62" s="2"/>
      <c r="B62" s="3"/>
    </row>
    <row r="63" ht="15.75" customHeight="1">
      <c r="A63" s="2"/>
      <c r="B63" s="3"/>
    </row>
    <row r="64" ht="15.75" customHeight="1">
      <c r="A64" s="2"/>
      <c r="B64" s="3"/>
    </row>
    <row r="65" ht="15.75" customHeight="1">
      <c r="A65" s="2"/>
      <c r="B65" s="3"/>
    </row>
    <row r="66" ht="15.75" customHeight="1">
      <c r="A66" s="2"/>
      <c r="B66" s="3"/>
    </row>
    <row r="67" ht="15.75" customHeight="1">
      <c r="A67" s="2"/>
      <c r="B67" s="3"/>
    </row>
    <row r="68" ht="15.75" customHeight="1">
      <c r="A68" s="2"/>
      <c r="B68" s="3"/>
    </row>
    <row r="69" ht="15.75" customHeight="1">
      <c r="A69" s="2"/>
      <c r="B69" s="3"/>
    </row>
    <row r="70" ht="15.75" customHeight="1">
      <c r="A70" s="2"/>
      <c r="B70" s="3"/>
    </row>
    <row r="71" ht="15.75" customHeight="1">
      <c r="A71" s="2"/>
      <c r="B71" s="3"/>
    </row>
    <row r="72" ht="15.75" customHeight="1">
      <c r="A72" s="2"/>
      <c r="B72" s="3"/>
    </row>
    <row r="73" ht="15.75" customHeight="1">
      <c r="A73" s="2"/>
      <c r="B73" s="3"/>
    </row>
    <row r="74" ht="15.75" customHeight="1">
      <c r="A74" s="2"/>
      <c r="B74" s="3"/>
    </row>
    <row r="75" ht="15.75" customHeight="1">
      <c r="A75" s="2"/>
      <c r="B75" s="3"/>
    </row>
    <row r="76" ht="15.75" customHeight="1">
      <c r="A76" s="2"/>
      <c r="B76" s="3"/>
    </row>
    <row r="77" ht="15.75" customHeight="1">
      <c r="A77" s="2"/>
      <c r="B77" s="3"/>
    </row>
    <row r="78" ht="15.75" customHeight="1">
      <c r="A78" s="2"/>
      <c r="B78" s="3"/>
    </row>
    <row r="79" ht="15.75" customHeight="1">
      <c r="A79" s="2"/>
      <c r="B79" s="3"/>
    </row>
    <row r="80" ht="15.75" customHeight="1">
      <c r="A80" s="2"/>
      <c r="B80" s="3"/>
    </row>
    <row r="81" ht="15.75" customHeight="1">
      <c r="A81" s="2"/>
      <c r="B81" s="3"/>
    </row>
    <row r="82" ht="15.75" customHeight="1">
      <c r="A82" s="2"/>
      <c r="B82" s="3"/>
    </row>
    <row r="83" ht="15.75" customHeight="1">
      <c r="A83" s="2"/>
      <c r="B83" s="3"/>
    </row>
    <row r="84" ht="15.75" customHeight="1">
      <c r="A84" s="2"/>
      <c r="B84" s="3"/>
    </row>
    <row r="85" ht="15.75" customHeight="1">
      <c r="A85" s="2"/>
      <c r="B85" s="3"/>
    </row>
    <row r="86" ht="15.75" customHeight="1">
      <c r="A86" s="2"/>
      <c r="B86" s="3"/>
    </row>
    <row r="87" ht="15.75" customHeight="1">
      <c r="A87" s="2"/>
      <c r="B87" s="3"/>
    </row>
    <row r="88" ht="15.75" customHeight="1">
      <c r="A88" s="2"/>
      <c r="B88" s="3"/>
    </row>
    <row r="89" ht="15.75" customHeight="1">
      <c r="A89" s="2"/>
      <c r="B89" s="3"/>
    </row>
    <row r="90" ht="15.75" customHeight="1">
      <c r="A90" s="2"/>
      <c r="B90" s="3"/>
    </row>
    <row r="91" ht="15.75" customHeight="1">
      <c r="A91" s="2"/>
      <c r="B91" s="3"/>
    </row>
    <row r="92" ht="15.75" customHeight="1">
      <c r="A92" s="2"/>
      <c r="B92" s="3"/>
    </row>
    <row r="93" ht="15.75" customHeight="1">
      <c r="A93" s="2"/>
      <c r="B93" s="3"/>
    </row>
    <row r="94" ht="15.75" customHeight="1">
      <c r="A94" s="2"/>
      <c r="B94" s="3"/>
    </row>
    <row r="95" ht="15.75" customHeight="1">
      <c r="A95" s="2"/>
      <c r="B95" s="3"/>
    </row>
    <row r="96" ht="15.75" customHeight="1">
      <c r="A96" s="2"/>
      <c r="B96" s="3"/>
    </row>
    <row r="97" ht="15.75" customHeight="1">
      <c r="A97" s="2"/>
      <c r="B97" s="3"/>
    </row>
    <row r="98" ht="15.75" customHeight="1">
      <c r="A98" s="2"/>
      <c r="B98" s="3"/>
    </row>
    <row r="99" ht="15.75" customHeight="1">
      <c r="A99" s="2"/>
      <c r="B99" s="3"/>
    </row>
    <row r="100" ht="15.75" customHeight="1">
      <c r="A100" s="2"/>
      <c r="B100" s="3"/>
    </row>
    <row r="101" ht="15.75" customHeight="1">
      <c r="A101" s="2"/>
      <c r="B101" s="3"/>
    </row>
    <row r="102" ht="15.75" customHeight="1">
      <c r="A102" s="2"/>
      <c r="B102" s="3"/>
    </row>
    <row r="103" ht="15.75" customHeight="1">
      <c r="A103" s="2"/>
      <c r="B103" s="3"/>
    </row>
    <row r="104" ht="15.75" customHeight="1">
      <c r="A104" s="2"/>
      <c r="B104" s="3"/>
    </row>
    <row r="105" ht="15.75" customHeight="1">
      <c r="A105" s="2"/>
      <c r="B105" s="3"/>
    </row>
    <row r="106" ht="15.75" customHeight="1">
      <c r="A106" s="2"/>
      <c r="B106" s="3"/>
    </row>
    <row r="107" ht="15.75" customHeight="1">
      <c r="A107" s="2"/>
      <c r="B107" s="3"/>
    </row>
    <row r="108" ht="15.75" customHeight="1">
      <c r="A108" s="2"/>
      <c r="B108" s="3"/>
    </row>
    <row r="109" ht="15.75" customHeight="1">
      <c r="A109" s="2"/>
      <c r="B109" s="3"/>
    </row>
    <row r="110" ht="15.75" customHeight="1">
      <c r="A110" s="2"/>
      <c r="B110" s="3"/>
    </row>
    <row r="111" ht="15.75" customHeight="1">
      <c r="A111" s="2"/>
      <c r="B111" s="3"/>
    </row>
    <row r="112" ht="15.75" customHeight="1">
      <c r="A112" s="2"/>
      <c r="B112" s="3"/>
    </row>
    <row r="113" ht="15.75" customHeight="1">
      <c r="A113" s="2"/>
      <c r="B113" s="3"/>
    </row>
    <row r="114" ht="15.75" customHeight="1">
      <c r="A114" s="2"/>
      <c r="B114" s="3"/>
    </row>
    <row r="115" ht="15.75" customHeight="1">
      <c r="A115" s="2"/>
      <c r="B115" s="3"/>
    </row>
    <row r="116" ht="15.75" customHeight="1">
      <c r="A116" s="2"/>
      <c r="B116" s="3"/>
    </row>
    <row r="117" ht="15.75" customHeight="1">
      <c r="A117" s="2"/>
      <c r="B117" s="3"/>
    </row>
    <row r="118" ht="15.75" customHeight="1">
      <c r="A118" s="2"/>
      <c r="B118" s="3"/>
    </row>
    <row r="119" ht="15.75" customHeight="1">
      <c r="A119" s="2"/>
      <c r="B119" s="3"/>
    </row>
    <row r="120" ht="15.75" customHeight="1">
      <c r="A120" s="2"/>
      <c r="B120" s="3"/>
    </row>
    <row r="121" ht="15.75" customHeight="1">
      <c r="A121" s="2"/>
      <c r="B121" s="3"/>
    </row>
    <row r="122" ht="15.75" customHeight="1">
      <c r="A122" s="2"/>
      <c r="B122" s="3"/>
    </row>
    <row r="123" ht="15.75" customHeight="1">
      <c r="A123" s="2"/>
      <c r="B123" s="3"/>
    </row>
    <row r="124" ht="15.75" customHeight="1">
      <c r="A124" s="2"/>
      <c r="B124" s="3"/>
    </row>
    <row r="125" ht="15.75" customHeight="1">
      <c r="A125" s="2"/>
      <c r="B125" s="3"/>
    </row>
    <row r="126" ht="15.75" customHeight="1">
      <c r="A126" s="2"/>
      <c r="B126" s="3"/>
    </row>
    <row r="127" ht="15.75" customHeight="1">
      <c r="A127" s="2"/>
      <c r="B127" s="3"/>
    </row>
    <row r="128" ht="15.75" customHeight="1">
      <c r="A128" s="2"/>
      <c r="B128" s="3"/>
    </row>
    <row r="129" ht="15.75" customHeight="1">
      <c r="A129" s="2"/>
      <c r="B129" s="3"/>
    </row>
    <row r="130" ht="15.75" customHeight="1">
      <c r="A130" s="2"/>
      <c r="B130" s="3"/>
    </row>
    <row r="131" ht="15.75" customHeight="1">
      <c r="A131" s="2"/>
      <c r="B131" s="3"/>
    </row>
    <row r="132" ht="15.75" customHeight="1">
      <c r="A132" s="2"/>
      <c r="B132" s="3"/>
    </row>
    <row r="133" ht="15.75" customHeight="1">
      <c r="A133" s="2"/>
      <c r="B133" s="3"/>
    </row>
    <row r="134" ht="15.75" customHeight="1">
      <c r="A134" s="2"/>
      <c r="B134" s="3"/>
    </row>
    <row r="135" ht="15.75" customHeight="1">
      <c r="A135" s="2"/>
      <c r="B135" s="3"/>
    </row>
    <row r="136" ht="15.75" customHeight="1">
      <c r="A136" s="2"/>
      <c r="B136" s="3"/>
    </row>
    <row r="137" ht="15.75" customHeight="1">
      <c r="A137" s="2"/>
      <c r="B137" s="3"/>
    </row>
    <row r="138" ht="15.75" customHeight="1">
      <c r="A138" s="2"/>
      <c r="B138" s="3"/>
    </row>
    <row r="139" ht="15.75" customHeight="1">
      <c r="A139" s="2"/>
      <c r="B139" s="3"/>
    </row>
    <row r="140" ht="15.75" customHeight="1">
      <c r="A140" s="2"/>
      <c r="B140" s="3"/>
    </row>
    <row r="141" ht="15.75" customHeight="1">
      <c r="A141" s="2"/>
      <c r="B141" s="3"/>
    </row>
    <row r="142" ht="15.75" customHeight="1">
      <c r="A142" s="2"/>
      <c r="B142" s="3"/>
    </row>
    <row r="143" ht="15.75" customHeight="1">
      <c r="A143" s="2"/>
      <c r="B143" s="3"/>
    </row>
    <row r="144" ht="15.75" customHeight="1">
      <c r="A144" s="2"/>
      <c r="B144" s="3"/>
    </row>
    <row r="145" ht="15.75" customHeight="1">
      <c r="A145" s="2"/>
      <c r="B145" s="3"/>
    </row>
    <row r="146" ht="15.75" customHeight="1">
      <c r="A146" s="2"/>
      <c r="B146" s="3"/>
    </row>
    <row r="147" ht="15.75" customHeight="1">
      <c r="A147" s="2"/>
      <c r="B147" s="3"/>
    </row>
    <row r="148" ht="15.75" customHeight="1">
      <c r="A148" s="2"/>
      <c r="B148" s="3"/>
    </row>
    <row r="149" ht="15.75" customHeight="1">
      <c r="A149" s="2"/>
      <c r="B149" s="3"/>
    </row>
    <row r="150" ht="15.75" customHeight="1">
      <c r="A150" s="2"/>
      <c r="B150" s="3"/>
    </row>
    <row r="151" ht="15.75" customHeight="1">
      <c r="A151" s="2"/>
      <c r="B151" s="3"/>
    </row>
    <row r="152" ht="15.75" customHeight="1">
      <c r="A152" s="2"/>
      <c r="B152" s="3"/>
    </row>
    <row r="153" ht="15.75" customHeight="1">
      <c r="A153" s="2"/>
      <c r="B153" s="3"/>
    </row>
    <row r="154" ht="15.75" customHeight="1">
      <c r="A154" s="2"/>
      <c r="B154" s="3"/>
    </row>
    <row r="155" ht="15.75" customHeight="1">
      <c r="A155" s="2"/>
      <c r="B155" s="3"/>
    </row>
    <row r="156" ht="15.75" customHeight="1">
      <c r="A156" s="2"/>
      <c r="B156" s="3"/>
    </row>
    <row r="157" ht="15.75" customHeight="1">
      <c r="A157" s="2"/>
      <c r="B157" s="3"/>
    </row>
    <row r="158" ht="15.75" customHeight="1">
      <c r="A158" s="2"/>
      <c r="B158" s="3"/>
    </row>
    <row r="159" ht="15.75" customHeight="1">
      <c r="A159" s="2"/>
      <c r="B159" s="3"/>
    </row>
    <row r="160" ht="15.75" customHeight="1">
      <c r="A160" s="2"/>
      <c r="B160" s="3"/>
    </row>
    <row r="161" ht="15.75" customHeight="1">
      <c r="A161" s="2"/>
      <c r="B161" s="3"/>
    </row>
    <row r="162" ht="15.75" customHeight="1">
      <c r="A162" s="2"/>
      <c r="B162" s="3"/>
    </row>
    <row r="163" ht="15.75" customHeight="1">
      <c r="A163" s="2"/>
      <c r="B163" s="3"/>
    </row>
    <row r="164" ht="15.75" customHeight="1">
      <c r="A164" s="2"/>
      <c r="B164" s="3"/>
    </row>
    <row r="165" ht="15.75" customHeight="1">
      <c r="A165" s="2"/>
      <c r="B165" s="3"/>
    </row>
    <row r="166" ht="15.75" customHeight="1">
      <c r="A166" s="2"/>
      <c r="B166" s="3"/>
    </row>
    <row r="167" ht="15.75" customHeight="1">
      <c r="A167" s="2"/>
      <c r="B167" s="3"/>
    </row>
    <row r="168" ht="15.75" customHeight="1">
      <c r="A168" s="2"/>
      <c r="B168" s="3"/>
    </row>
    <row r="169" ht="15.75" customHeight="1">
      <c r="A169" s="2"/>
      <c r="B169" s="3"/>
    </row>
    <row r="170" ht="15.75" customHeight="1">
      <c r="A170" s="2"/>
      <c r="B170" s="3"/>
    </row>
    <row r="171" ht="15.75" customHeight="1">
      <c r="A171" s="2"/>
      <c r="B171" s="3"/>
    </row>
    <row r="172" ht="15.75" customHeight="1">
      <c r="A172" s="2"/>
      <c r="B172" s="3"/>
    </row>
    <row r="173" ht="15.75" customHeight="1">
      <c r="A173" s="2"/>
      <c r="B173" s="3"/>
    </row>
    <row r="174" ht="15.75" customHeight="1">
      <c r="A174" s="2"/>
      <c r="B174" s="3"/>
    </row>
    <row r="175" ht="15.75" customHeight="1">
      <c r="A175" s="2"/>
      <c r="B175" s="3"/>
    </row>
    <row r="176" ht="15.75" customHeight="1">
      <c r="A176" s="2"/>
      <c r="B176" s="3"/>
    </row>
    <row r="177" ht="15.75" customHeight="1">
      <c r="A177" s="2"/>
      <c r="B177" s="3"/>
    </row>
    <row r="178" ht="15.75" customHeight="1">
      <c r="A178" s="2"/>
      <c r="B178" s="3"/>
    </row>
    <row r="179" ht="15.75" customHeight="1">
      <c r="A179" s="2"/>
      <c r="B179" s="3"/>
    </row>
    <row r="180" ht="15.75" customHeight="1">
      <c r="A180" s="2"/>
      <c r="B180" s="3"/>
    </row>
    <row r="181" ht="15.75" customHeight="1">
      <c r="A181" s="2"/>
      <c r="B181" s="3"/>
    </row>
    <row r="182" ht="15.75" customHeight="1">
      <c r="A182" s="2"/>
      <c r="B182" s="3"/>
    </row>
    <row r="183" ht="15.75" customHeight="1">
      <c r="A183" s="2"/>
      <c r="B183" s="3"/>
    </row>
    <row r="184" ht="15.75" customHeight="1">
      <c r="A184" s="2"/>
      <c r="B184" s="3"/>
    </row>
    <row r="185" ht="15.75" customHeight="1">
      <c r="A185" s="2"/>
      <c r="B185" s="3"/>
    </row>
    <row r="186" ht="15.75" customHeight="1">
      <c r="A186" s="2"/>
      <c r="B186" s="3"/>
    </row>
    <row r="187" ht="15.75" customHeight="1">
      <c r="A187" s="2"/>
      <c r="B187" s="3"/>
    </row>
    <row r="188" ht="15.75" customHeight="1">
      <c r="A188" s="2"/>
      <c r="B188" s="3"/>
    </row>
    <row r="189" ht="15.75" customHeight="1">
      <c r="A189" s="2"/>
      <c r="B189" s="3"/>
    </row>
    <row r="190" ht="15.75" customHeight="1">
      <c r="A190" s="2"/>
      <c r="B190" s="3"/>
    </row>
    <row r="191" ht="15.75" customHeight="1">
      <c r="A191" s="2"/>
      <c r="B191" s="3"/>
    </row>
    <row r="192" ht="15.75" customHeight="1">
      <c r="A192" s="2"/>
      <c r="B192" s="3"/>
    </row>
    <row r="193" ht="15.75" customHeight="1">
      <c r="A193" s="2"/>
      <c r="B193" s="3"/>
    </row>
    <row r="194" ht="15.75" customHeight="1">
      <c r="A194" s="2"/>
      <c r="B194" s="3"/>
    </row>
    <row r="195" ht="15.75" customHeight="1">
      <c r="A195" s="2"/>
      <c r="B195" s="3"/>
    </row>
    <row r="196" ht="15.75" customHeight="1">
      <c r="A196" s="2"/>
      <c r="B196" s="3"/>
    </row>
    <row r="197" ht="15.75" customHeight="1">
      <c r="A197" s="2"/>
      <c r="B197" s="3"/>
    </row>
    <row r="198" ht="15.75" customHeight="1">
      <c r="A198" s="2"/>
      <c r="B198" s="3"/>
    </row>
    <row r="199" ht="15.75" customHeight="1">
      <c r="A199" s="2"/>
      <c r="B199" s="3"/>
    </row>
    <row r="200" ht="15.75" customHeight="1">
      <c r="A200" s="2"/>
      <c r="B200" s="3"/>
    </row>
    <row r="201" ht="15.75" customHeight="1">
      <c r="A201" s="2"/>
      <c r="B201" s="3"/>
    </row>
    <row r="202" ht="15.75" customHeight="1">
      <c r="A202" s="2"/>
      <c r="B202" s="3"/>
    </row>
    <row r="203" ht="15.75" customHeight="1">
      <c r="A203" s="2"/>
      <c r="B203" s="3"/>
    </row>
    <row r="204" ht="15.75" customHeight="1">
      <c r="A204" s="2"/>
      <c r="B204" s="3"/>
    </row>
    <row r="205" ht="15.75" customHeight="1">
      <c r="A205" s="2"/>
      <c r="B205" s="3"/>
    </row>
    <row r="206" ht="15.75" customHeight="1">
      <c r="A206" s="2"/>
      <c r="B206" s="3"/>
    </row>
    <row r="207" ht="15.75" customHeight="1">
      <c r="A207" s="2"/>
      <c r="B207" s="3"/>
    </row>
    <row r="208" ht="15.75" customHeight="1">
      <c r="A208" s="2"/>
      <c r="B208" s="3"/>
    </row>
    <row r="209" ht="15.75" customHeight="1">
      <c r="A209" s="2"/>
      <c r="B209" s="3"/>
    </row>
    <row r="210" ht="15.75" customHeight="1">
      <c r="A210" s="2"/>
      <c r="B210" s="3"/>
    </row>
    <row r="211" ht="15.75" customHeight="1">
      <c r="A211" s="2"/>
      <c r="B211" s="3"/>
    </row>
    <row r="212" ht="15.75" customHeight="1">
      <c r="A212" s="2"/>
      <c r="B212" s="3"/>
    </row>
    <row r="213" ht="15.75" customHeight="1">
      <c r="A213" s="2"/>
      <c r="B213" s="3"/>
    </row>
    <row r="214" ht="15.75" customHeight="1">
      <c r="A214" s="2"/>
      <c r="B214" s="3"/>
    </row>
    <row r="215" ht="15.75" customHeight="1">
      <c r="A215" s="2"/>
      <c r="B215" s="3"/>
    </row>
    <row r="216" ht="15.75" customHeight="1">
      <c r="A216" s="2"/>
      <c r="B216" s="3"/>
    </row>
    <row r="217" ht="15.75" customHeight="1">
      <c r="A217" s="2"/>
      <c r="B217" s="3"/>
    </row>
    <row r="218" ht="15.75" customHeight="1">
      <c r="A218" s="2"/>
      <c r="B218" s="3"/>
    </row>
    <row r="219" ht="15.75" customHeight="1">
      <c r="A219" s="2"/>
      <c r="B219" s="3"/>
    </row>
    <row r="220" ht="15.75" customHeight="1">
      <c r="A220" s="2"/>
      <c r="B220" s="3"/>
    </row>
    <row r="221" ht="15.75" customHeight="1">
      <c r="A221" s="2"/>
      <c r="B221" s="3"/>
    </row>
    <row r="222" ht="15.75" customHeight="1">
      <c r="A222" s="2"/>
      <c r="B222" s="3"/>
    </row>
    <row r="223" ht="15.75" customHeight="1">
      <c r="A223" s="2"/>
      <c r="B223" s="3"/>
    </row>
    <row r="224" ht="15.75" customHeight="1">
      <c r="A224" s="2"/>
      <c r="B224" s="3"/>
    </row>
    <row r="225" ht="15.75" customHeight="1">
      <c r="A225" s="2"/>
      <c r="B225" s="3"/>
    </row>
    <row r="226" ht="15.75" customHeight="1">
      <c r="A226" s="2"/>
      <c r="B226" s="3"/>
    </row>
    <row r="227" ht="15.75" customHeight="1">
      <c r="A227" s="2"/>
      <c r="B227" s="3"/>
    </row>
    <row r="228" ht="15.75" customHeight="1">
      <c r="A228" s="2"/>
      <c r="B228" s="3"/>
    </row>
    <row r="229" ht="15.75" customHeight="1">
      <c r="A229" s="2"/>
      <c r="B229" s="3"/>
    </row>
    <row r="230" ht="15.75" customHeight="1">
      <c r="A230" s="2"/>
      <c r="B230" s="3"/>
    </row>
    <row r="231" ht="15.75" customHeight="1">
      <c r="A231" s="2"/>
      <c r="B231" s="3"/>
    </row>
    <row r="232" ht="15.75" customHeight="1">
      <c r="A232" s="2"/>
      <c r="B232" s="3"/>
    </row>
    <row r="233" ht="15.75" customHeight="1">
      <c r="A233" s="2"/>
      <c r="B233" s="3"/>
    </row>
    <row r="234" ht="15.75" customHeight="1">
      <c r="A234" s="2"/>
      <c r="B234" s="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3" max="3" width="14.43"/>
    <col customWidth="1" min="4" max="4" width="23.86"/>
    <col customWidth="1" min="5" max="5" width="25.71"/>
    <col hidden="1" min="6" max="6" width="14.43"/>
    <col customWidth="1" min="7" max="7" width="20.86"/>
    <col customWidth="1" min="8" max="8" width="17.14"/>
  </cols>
  <sheetData>
    <row r="1" ht="17.25" customHeight="1">
      <c r="A1" s="1"/>
      <c r="B1" s="1" t="s">
        <v>32</v>
      </c>
      <c r="C1" s="1" t="s">
        <v>33</v>
      </c>
      <c r="D1" s="7" t="s">
        <v>34</v>
      </c>
      <c r="E1" s="1" t="s">
        <v>35</v>
      </c>
      <c r="F1" s="8"/>
      <c r="G1" s="8"/>
      <c r="H1" s="8"/>
      <c r="I1" s="8"/>
      <c r="J1" s="8"/>
    </row>
    <row r="2" ht="17.25" customHeight="1">
      <c r="A2" s="3" t="s">
        <v>2</v>
      </c>
      <c r="B2" s="2">
        <f>SUMIF('รายวิชาที่เปิดสอน'!E$3:E$91, A2, 'รายวิชาที่เปิดสอน'!D$3:D$91)</f>
        <v>5.4</v>
      </c>
      <c r="C2" s="2"/>
      <c r="D2" s="2"/>
      <c r="E2" s="9">
        <f t="shared" ref="E2:E23" si="1">SUM(B2:C2)*3</f>
        <v>16.2</v>
      </c>
      <c r="F2" s="10">
        <f t="shared" ref="F2:F23" si="2">E2*15</f>
        <v>243</v>
      </c>
      <c r="G2" s="11" t="s">
        <v>36</v>
      </c>
      <c r="H2" s="4" t="s">
        <v>37</v>
      </c>
      <c r="I2" s="8"/>
      <c r="J2" s="8"/>
    </row>
    <row r="3" ht="17.25" customHeight="1">
      <c r="A3" s="3" t="s">
        <v>3</v>
      </c>
      <c r="B3" s="2">
        <f>SUMIF('รายวิชาที่เปิดสอน'!E$3:E$91, A3, 'รายวิชาที่เปิดสอน'!D$3:D$91)</f>
        <v>9</v>
      </c>
      <c r="C3" s="2"/>
      <c r="D3" s="2"/>
      <c r="E3" s="9">
        <f t="shared" si="1"/>
        <v>27</v>
      </c>
      <c r="F3" s="10">
        <f t="shared" si="2"/>
        <v>405</v>
      </c>
      <c r="G3" s="8"/>
      <c r="H3" s="4" t="s">
        <v>38</v>
      </c>
    </row>
    <row r="4" ht="17.25" customHeight="1">
      <c r="A4" s="3" t="s">
        <v>4</v>
      </c>
      <c r="B4" s="2">
        <f>SUMIF('รายวิชาที่เปิดสอน'!E$3:E$91, A4, 'รายวิชาที่เปิดสอน'!D$3:D$91)</f>
        <v>6</v>
      </c>
      <c r="C4" s="2"/>
      <c r="D4" s="2"/>
      <c r="E4" s="9">
        <f t="shared" si="1"/>
        <v>18</v>
      </c>
      <c r="F4" s="10">
        <f t="shared" si="2"/>
        <v>270</v>
      </c>
      <c r="G4" s="8"/>
      <c r="H4" s="4" t="s">
        <v>38</v>
      </c>
      <c r="J4" s="8"/>
      <c r="K4" s="8"/>
    </row>
    <row r="5" ht="17.25" customHeight="1">
      <c r="A5" s="3" t="s">
        <v>5</v>
      </c>
      <c r="B5" s="2">
        <f>SUMIF('รายวิชาที่เปิดสอน'!E$3:E$91, A5, 'รายวิชาที่เปิดสอน'!D$3:D$91)</f>
        <v>7.5</v>
      </c>
      <c r="C5" s="2"/>
      <c r="D5" s="2"/>
      <c r="E5" s="9">
        <f t="shared" si="1"/>
        <v>22.5</v>
      </c>
      <c r="F5" s="10">
        <f t="shared" si="2"/>
        <v>337.5</v>
      </c>
      <c r="G5" s="8"/>
      <c r="H5" s="4" t="s">
        <v>39</v>
      </c>
      <c r="J5" s="8"/>
      <c r="K5" s="8"/>
    </row>
    <row r="6" ht="17.25" customHeight="1">
      <c r="A6" s="3" t="s">
        <v>6</v>
      </c>
      <c r="B6" s="2">
        <f>SUMIF('รายวิชาที่เปิดสอน'!E$3:E$91, A6, 'รายวิชาที่เปิดสอน'!D$3:D$91)</f>
        <v>6</v>
      </c>
      <c r="C6" s="2"/>
      <c r="D6" s="2"/>
      <c r="E6" s="9">
        <f t="shared" si="1"/>
        <v>18</v>
      </c>
      <c r="F6" s="10">
        <f t="shared" si="2"/>
        <v>270</v>
      </c>
      <c r="G6" s="8"/>
      <c r="H6" s="4" t="s">
        <v>40</v>
      </c>
    </row>
    <row r="7" ht="17.25" customHeight="1">
      <c r="A7" s="3" t="s">
        <v>7</v>
      </c>
      <c r="B7" s="2">
        <f>SUMIF('รายวิชาที่เปิดสอน'!E$3:E$91, A7, 'รายวิชาที่เปิดสอน'!D$3:D$91)</f>
        <v>6</v>
      </c>
      <c r="C7" s="2"/>
      <c r="D7" s="2"/>
      <c r="E7" s="9">
        <f t="shared" si="1"/>
        <v>18</v>
      </c>
      <c r="F7" s="10">
        <f t="shared" si="2"/>
        <v>270</v>
      </c>
      <c r="G7" s="8"/>
      <c r="H7" s="4" t="s">
        <v>41</v>
      </c>
    </row>
    <row r="8" ht="17.25" customHeight="1">
      <c r="A8" s="3" t="s">
        <v>8</v>
      </c>
      <c r="B8" s="2">
        <f>SUMIF('รายวิชาที่เปิดสอน'!E$3:E$91, A8, 'รายวิชาที่เปิดสอน'!D$3:D$91)</f>
        <v>0</v>
      </c>
      <c r="C8" s="2"/>
      <c r="D8" s="2"/>
      <c r="E8" s="9">
        <f t="shared" si="1"/>
        <v>0</v>
      </c>
      <c r="F8" s="10">
        <f t="shared" si="2"/>
        <v>0</v>
      </c>
      <c r="H8" s="4"/>
    </row>
    <row r="9" ht="17.25" customHeight="1">
      <c r="A9" s="4" t="s">
        <v>9</v>
      </c>
      <c r="B9" s="2">
        <f>SUMIF('รายวิชาที่เปิดสอน'!E$3:E$91, A9, 'รายวิชาที่เปิดสอน'!D$3:D$91)</f>
        <v>6</v>
      </c>
      <c r="C9" s="2"/>
      <c r="D9" s="2"/>
      <c r="E9" s="9">
        <f t="shared" si="1"/>
        <v>18</v>
      </c>
      <c r="F9" s="10">
        <f t="shared" si="2"/>
        <v>270</v>
      </c>
      <c r="G9" s="8"/>
      <c r="H9" s="4" t="s">
        <v>42</v>
      </c>
    </row>
    <row r="10" ht="17.25" customHeight="1">
      <c r="A10" s="3" t="s">
        <v>10</v>
      </c>
      <c r="B10" s="2">
        <f>SUMIF('รายวิชาที่เปิดสอน'!E$3:E$91, A10, 'รายวิชาที่เปิดสอน'!D$3:D$91)</f>
        <v>6</v>
      </c>
      <c r="C10" s="2"/>
      <c r="D10" s="2"/>
      <c r="E10" s="9">
        <f t="shared" si="1"/>
        <v>18</v>
      </c>
      <c r="F10" s="10">
        <f t="shared" si="2"/>
        <v>270</v>
      </c>
      <c r="G10" s="8"/>
      <c r="H10" s="4" t="s">
        <v>39</v>
      </c>
    </row>
    <row r="11" ht="17.25" customHeight="1">
      <c r="A11" s="3" t="s">
        <v>11</v>
      </c>
      <c r="B11" s="2">
        <f>SUMIF('รายวิชาที่เปิดสอน'!E$3:E$91, A11, 'รายวิชาที่เปิดสอน'!D$3:D$91)</f>
        <v>6</v>
      </c>
      <c r="C11" s="2"/>
      <c r="D11" s="2"/>
      <c r="E11" s="9">
        <f t="shared" si="1"/>
        <v>18</v>
      </c>
      <c r="F11" s="10">
        <f t="shared" si="2"/>
        <v>270</v>
      </c>
      <c r="G11" s="8"/>
      <c r="H11" s="4" t="s">
        <v>38</v>
      </c>
    </row>
    <row r="12" ht="17.25" customHeight="1">
      <c r="A12" s="3" t="s">
        <v>12</v>
      </c>
      <c r="B12" s="2">
        <f>SUMIF('รายวิชาที่เปิดสอน'!E$3:E$91, A12, 'รายวิชาที่เปิดสอน'!D$3:D$91)</f>
        <v>9</v>
      </c>
      <c r="C12" s="2"/>
      <c r="D12" s="2"/>
      <c r="E12" s="9">
        <f t="shared" si="1"/>
        <v>27</v>
      </c>
      <c r="F12" s="10">
        <f t="shared" si="2"/>
        <v>405</v>
      </c>
      <c r="G12" s="8"/>
      <c r="H12" s="4" t="s">
        <v>38</v>
      </c>
    </row>
    <row r="13" ht="17.25" customHeight="1">
      <c r="A13" s="3" t="s">
        <v>13</v>
      </c>
      <c r="B13" s="2">
        <f>SUMIF('รายวิชาที่เปิดสอน'!E$3:E$91, A13, 'รายวิชาที่เปิดสอน'!D$3:D$91)</f>
        <v>9</v>
      </c>
      <c r="C13" s="2"/>
      <c r="D13" s="2"/>
      <c r="E13" s="9">
        <f t="shared" si="1"/>
        <v>27</v>
      </c>
      <c r="F13" s="10">
        <f t="shared" si="2"/>
        <v>405</v>
      </c>
      <c r="G13" s="8"/>
      <c r="H13" s="4" t="s">
        <v>39</v>
      </c>
    </row>
    <row r="14" ht="17.25" customHeight="1">
      <c r="A14" s="3" t="s">
        <v>14</v>
      </c>
      <c r="B14" s="2">
        <f>SUMIF('รายวิชาที่เปิดสอน'!E$3:E$91, A14, 'รายวิชาที่เปิดสอน'!D$3:D$91)</f>
        <v>6</v>
      </c>
      <c r="C14" s="2"/>
      <c r="D14" s="2"/>
      <c r="E14" s="9">
        <f t="shared" si="1"/>
        <v>18</v>
      </c>
      <c r="F14" s="10">
        <f t="shared" si="2"/>
        <v>270</v>
      </c>
      <c r="G14" s="8"/>
      <c r="H14" s="4" t="s">
        <v>43</v>
      </c>
    </row>
    <row r="15" ht="17.25" customHeight="1">
      <c r="A15" s="3" t="s">
        <v>15</v>
      </c>
      <c r="B15" s="2">
        <f>SUMIF('รายวิชาที่เปิดสอน'!E$3:E$91, A15, 'รายวิชาที่เปิดสอน'!D$3:D$91)</f>
        <v>6</v>
      </c>
      <c r="C15" s="2"/>
      <c r="D15" s="2"/>
      <c r="E15" s="9">
        <f t="shared" si="1"/>
        <v>18</v>
      </c>
      <c r="F15" s="10">
        <f t="shared" si="2"/>
        <v>270</v>
      </c>
      <c r="G15" s="8"/>
      <c r="H15" s="4" t="s">
        <v>38</v>
      </c>
    </row>
    <row r="16" ht="17.25" customHeight="1">
      <c r="A16" s="3" t="s">
        <v>16</v>
      </c>
      <c r="B16" s="2">
        <f>SUMIF('รายวิชาที่เปิดสอน'!E$3:E$91, A16, 'รายวิชาที่เปิดสอน'!D$3:D$91)</f>
        <v>6</v>
      </c>
      <c r="C16" s="2"/>
      <c r="D16" s="2"/>
      <c r="E16" s="9">
        <f t="shared" si="1"/>
        <v>18</v>
      </c>
      <c r="F16" s="10">
        <f t="shared" si="2"/>
        <v>270</v>
      </c>
      <c r="G16" s="8"/>
      <c r="H16" s="4" t="s">
        <v>44</v>
      </c>
    </row>
    <row r="17" ht="17.25" customHeight="1">
      <c r="A17" s="3" t="s">
        <v>17</v>
      </c>
      <c r="B17" s="2">
        <f>SUMIF('รายวิชาที่เปิดสอน'!E$3:E$91, A17, 'รายวิชาที่เปิดสอน'!D$3:D$91)</f>
        <v>6.9</v>
      </c>
      <c r="C17" s="2"/>
      <c r="D17" s="2"/>
      <c r="E17" s="9">
        <f t="shared" si="1"/>
        <v>20.7</v>
      </c>
      <c r="F17" s="10">
        <f t="shared" si="2"/>
        <v>310.5</v>
      </c>
      <c r="G17" s="8"/>
      <c r="H17" s="4" t="s">
        <v>38</v>
      </c>
    </row>
    <row r="18" ht="17.25" customHeight="1">
      <c r="A18" s="3" t="s">
        <v>19</v>
      </c>
      <c r="B18" s="2">
        <f>SUMIF('รายวิชาที่เปิดสอน'!E$3:E$91, A18, 'รายวิชาที่เปิดสอน'!D$3:D$91)</f>
        <v>7.5</v>
      </c>
      <c r="C18" s="2"/>
      <c r="D18" s="2"/>
      <c r="E18" s="9">
        <f t="shared" si="1"/>
        <v>22.5</v>
      </c>
      <c r="F18" s="10">
        <f t="shared" si="2"/>
        <v>337.5</v>
      </c>
      <c r="G18" s="8"/>
      <c r="H18" s="4" t="s">
        <v>39</v>
      </c>
    </row>
    <row r="19" ht="17.25" customHeight="1">
      <c r="A19" s="3" t="s">
        <v>18</v>
      </c>
      <c r="B19" s="2">
        <f>SUMIF('รายวิชาที่เปิดสอน'!E$3:E$91, A19, 'รายวิชาที่เปิดสอน'!D$3:D$91)</f>
        <v>3</v>
      </c>
      <c r="C19" s="2"/>
      <c r="D19" s="2"/>
      <c r="E19" s="9">
        <f t="shared" si="1"/>
        <v>9</v>
      </c>
      <c r="F19" s="10">
        <f t="shared" si="2"/>
        <v>135</v>
      </c>
      <c r="G19" s="8"/>
      <c r="H19" s="4" t="s">
        <v>42</v>
      </c>
    </row>
    <row r="20" ht="17.25" customHeight="1">
      <c r="A20" s="3" t="s">
        <v>20</v>
      </c>
      <c r="B20" s="2">
        <f>SUMIF('รายวิชาที่เปิดสอน'!E$3:E$91, A20, 'รายวิชาที่เปิดสอน'!D$3:D$91)</f>
        <v>6</v>
      </c>
      <c r="C20" s="2"/>
      <c r="D20" s="2"/>
      <c r="E20" s="9">
        <f t="shared" si="1"/>
        <v>18</v>
      </c>
      <c r="F20" s="10">
        <f t="shared" si="2"/>
        <v>270</v>
      </c>
      <c r="G20" s="8"/>
      <c r="H20" s="4" t="s">
        <v>37</v>
      </c>
    </row>
    <row r="21" ht="17.25" customHeight="1">
      <c r="A21" s="3" t="s">
        <v>21</v>
      </c>
      <c r="B21" s="2">
        <f>SUMIF('รายวิชาที่เปิดสอน'!E$3:E$91, A21, 'รายวิชาที่เปิดสอน'!D$3:D$91)</f>
        <v>9</v>
      </c>
      <c r="C21" s="2"/>
      <c r="D21" s="2"/>
      <c r="E21" s="9">
        <f t="shared" si="1"/>
        <v>27</v>
      </c>
      <c r="F21" s="10">
        <f t="shared" si="2"/>
        <v>405</v>
      </c>
      <c r="G21" s="8"/>
      <c r="H21" s="4" t="s">
        <v>38</v>
      </c>
    </row>
    <row r="22" ht="17.25" customHeight="1">
      <c r="A22" s="3" t="s">
        <v>22</v>
      </c>
      <c r="B22" s="2">
        <f>SUMIF('รายวิชาที่เปิดสอน'!E$3:E$91, A22, 'รายวิชาที่เปิดสอน'!D$3:D$91)</f>
        <v>8.4</v>
      </c>
      <c r="C22" s="2"/>
      <c r="D22" s="2"/>
      <c r="E22" s="9">
        <f t="shared" si="1"/>
        <v>25.2</v>
      </c>
      <c r="F22" s="10">
        <f t="shared" si="2"/>
        <v>378</v>
      </c>
      <c r="G22" s="12" t="s">
        <v>45</v>
      </c>
      <c r="H22" s="4" t="s">
        <v>38</v>
      </c>
    </row>
    <row r="23" ht="17.25" customHeight="1">
      <c r="A23" s="3" t="s">
        <v>23</v>
      </c>
      <c r="B23" s="2">
        <f>SUMIF('รายวิชาที่เปิดสอน'!E$3:E$91, A23, 'รายวิชาที่เปิดสอน'!D$3:D$91)</f>
        <v>6</v>
      </c>
      <c r="C23" s="2"/>
      <c r="D23" s="2"/>
      <c r="E23" s="9">
        <f t="shared" si="1"/>
        <v>18</v>
      </c>
      <c r="F23" s="10">
        <f t="shared" si="2"/>
        <v>270</v>
      </c>
      <c r="G23" s="8"/>
      <c r="H23" s="4" t="s">
        <v>46</v>
      </c>
    </row>
    <row r="24" ht="17.25" customHeight="1">
      <c r="A24" s="3"/>
      <c r="B24" s="2"/>
      <c r="C24" s="2"/>
      <c r="D24" s="2"/>
      <c r="E24" s="2"/>
    </row>
    <row r="25" ht="17.25" customHeight="1">
      <c r="A25" s="7" t="s">
        <v>47</v>
      </c>
      <c r="B25" s="2"/>
      <c r="C25" s="2"/>
      <c r="D25" s="2"/>
      <c r="E25" s="2"/>
    </row>
    <row r="26" ht="17.25" customHeight="1">
      <c r="A26" s="3" t="s">
        <v>24</v>
      </c>
      <c r="B26" s="2">
        <f>SUMIF('รายวิชาที่เปิดสอน'!E$3:E$91, A26, 'รายวิชาที่เปิดสอน'!D$3:D$91)</f>
        <v>3</v>
      </c>
      <c r="C26" s="2"/>
      <c r="D26" s="2"/>
      <c r="E26" s="9">
        <f t="shared" ref="E26:E28" si="3">SUM(B26:C26)*3</f>
        <v>9</v>
      </c>
    </row>
    <row r="27" ht="17.25" customHeight="1">
      <c r="A27" s="3" t="s">
        <v>25</v>
      </c>
      <c r="B27" s="2">
        <f>SUMIF('รายวิชาที่เปิดสอน'!E$3:E$91, A27, 'รายวิชาที่เปิดสอน'!D$3:D$91)</f>
        <v>3</v>
      </c>
      <c r="C27" s="2"/>
      <c r="D27" s="2"/>
      <c r="E27" s="9">
        <f t="shared" si="3"/>
        <v>9</v>
      </c>
    </row>
    <row r="28" ht="17.25" customHeight="1">
      <c r="A28" s="5" t="s">
        <v>26</v>
      </c>
      <c r="B28" s="2">
        <f>SUMIF('รายวิชาที่เปิดสอน'!E$3:E$91, A28, 'รายวิชาที่เปิดสอน'!D$3:D$91)</f>
        <v>3</v>
      </c>
      <c r="C28" s="2"/>
      <c r="D28" s="2"/>
      <c r="E28" s="9">
        <f t="shared" si="3"/>
        <v>9</v>
      </c>
    </row>
    <row r="29" ht="17.25" customHeight="1">
      <c r="A29" s="3"/>
      <c r="B29" s="2">
        <f>SUMIF('รายวิชาที่เปิดสอน'!E$3:E$91, A29, 'รายวิชาที่เปิดสอน'!D$3:D$91)</f>
        <v>0</v>
      </c>
      <c r="C29" s="2"/>
      <c r="D29" s="2"/>
      <c r="E29" s="9"/>
    </row>
    <row r="30" ht="17.25" customHeight="1">
      <c r="A30" s="13"/>
      <c r="B30" s="2">
        <f>SUMIF('รายวิชาที่เปิดสอน'!E$3:E$91, A30, 'รายวิชาที่เปิดสอน'!D$3:D$91)</f>
        <v>0</v>
      </c>
      <c r="C30" s="2"/>
      <c r="D30" s="2"/>
      <c r="E30" s="9"/>
    </row>
    <row r="31" ht="17.25" customHeight="1">
      <c r="A31" s="3"/>
      <c r="B31" s="2"/>
      <c r="C31" s="2"/>
      <c r="D31" s="2"/>
      <c r="E31" s="2"/>
    </row>
    <row r="32" ht="17.25" customHeight="1">
      <c r="A32" s="14" t="s">
        <v>48</v>
      </c>
      <c r="B32" s="2"/>
      <c r="C32" s="2"/>
      <c r="D32" s="2"/>
      <c r="E32" s="2"/>
    </row>
    <row r="33" ht="17.25" customHeight="1">
      <c r="A33" s="3" t="s">
        <v>28</v>
      </c>
      <c r="B33" s="2">
        <f>SUMIF('รายวิชาที่เปิดสอน'!E$3:E$91, A33, 'รายวิชาที่เปิดสอน'!D$3:D$91)</f>
        <v>0</v>
      </c>
      <c r="C33" s="2"/>
      <c r="D33" s="2"/>
      <c r="E33" s="9">
        <f t="shared" ref="E33:E37" si="4">SUM(B33:C33)*3</f>
        <v>0</v>
      </c>
    </row>
    <row r="34" ht="17.25" customHeight="1">
      <c r="A34" s="3" t="s">
        <v>29</v>
      </c>
      <c r="B34" s="2">
        <f>SUMIF('รายวิชาที่เปิดสอน'!E$3:E$91, A34, 'รายวิชาที่เปิดสอน'!D$3:D$91)</f>
        <v>0</v>
      </c>
      <c r="C34" s="2"/>
      <c r="D34" s="2"/>
      <c r="E34" s="9">
        <f t="shared" si="4"/>
        <v>0</v>
      </c>
    </row>
    <row r="35" ht="17.25" customHeight="1">
      <c r="A35" s="3" t="s">
        <v>30</v>
      </c>
      <c r="B35" s="2">
        <f>SUMIF('รายวิชาที่เปิดสอน'!E$3:E$91, A35, 'รายวิชาที่เปิดสอน'!D$3:D$91)</f>
        <v>0</v>
      </c>
      <c r="C35" s="2"/>
      <c r="D35" s="2"/>
      <c r="E35" s="9">
        <f t="shared" si="4"/>
        <v>0</v>
      </c>
    </row>
    <row r="36" ht="17.25" customHeight="1">
      <c r="A36" s="3" t="s">
        <v>31</v>
      </c>
      <c r="B36" s="2">
        <f>SUMIF('รายวิชาที่เปิดสอน'!E$3:E$91, A36, 'รายวิชาที่เปิดสอน'!D$3:D$91)</f>
        <v>0</v>
      </c>
      <c r="C36" s="2"/>
      <c r="D36" s="2"/>
      <c r="E36" s="9">
        <f t="shared" si="4"/>
        <v>0</v>
      </c>
    </row>
    <row r="37" ht="17.25" customHeight="1">
      <c r="B37" s="2"/>
      <c r="C37" s="2"/>
      <c r="D37" s="2"/>
      <c r="E37" s="9">
        <f t="shared" si="4"/>
        <v>0</v>
      </c>
    </row>
    <row r="38" ht="17.25" customHeight="1">
      <c r="A38" s="3"/>
      <c r="B38" s="2"/>
      <c r="C38" s="2"/>
      <c r="D38" s="2"/>
      <c r="E38" s="2"/>
    </row>
    <row r="39" ht="17.25" customHeight="1">
      <c r="A39" s="3"/>
      <c r="B39" s="2"/>
      <c r="C39" s="2"/>
      <c r="D39" s="2"/>
      <c r="E39" s="2"/>
    </row>
    <row r="40" ht="17.25" customHeight="1">
      <c r="A40" s="3"/>
      <c r="B40" s="2"/>
      <c r="C40" s="2"/>
      <c r="D40" s="2"/>
      <c r="E40" s="2"/>
    </row>
    <row r="41" ht="17.25" customHeight="1">
      <c r="A41" s="3"/>
      <c r="B41" s="2"/>
      <c r="C41" s="2"/>
      <c r="D41" s="2"/>
      <c r="E41" s="2"/>
    </row>
    <row r="42" ht="17.25" customHeight="1">
      <c r="A42" s="3"/>
      <c r="B42" s="2"/>
      <c r="C42" s="2"/>
      <c r="D42" s="2"/>
      <c r="E42" s="2"/>
    </row>
    <row r="43" ht="17.25" customHeight="1">
      <c r="A43" s="3"/>
      <c r="B43" s="2"/>
      <c r="C43" s="2"/>
      <c r="D43" s="2"/>
      <c r="E43" s="2"/>
    </row>
    <row r="44" ht="17.25" customHeight="1">
      <c r="A44" s="3"/>
      <c r="B44" s="2"/>
      <c r="C44" s="2"/>
      <c r="D44" s="2"/>
      <c r="E44" s="2"/>
    </row>
    <row r="45" ht="17.25" customHeight="1">
      <c r="A45" s="3"/>
      <c r="B45" s="2"/>
      <c r="C45" s="2"/>
      <c r="D45" s="2"/>
      <c r="E45" s="2"/>
    </row>
    <row r="46" ht="17.25" customHeight="1">
      <c r="A46" s="3"/>
      <c r="B46" s="2"/>
      <c r="C46" s="2"/>
      <c r="D46" s="2"/>
      <c r="E46" s="2"/>
    </row>
    <row r="47" ht="17.25" customHeight="1">
      <c r="A47" s="3"/>
      <c r="B47" s="2"/>
      <c r="C47" s="2"/>
      <c r="D47" s="2"/>
      <c r="E47" s="2"/>
    </row>
    <row r="48" ht="17.25" customHeight="1">
      <c r="A48" s="3"/>
      <c r="B48" s="2"/>
      <c r="C48" s="2"/>
      <c r="D48" s="2"/>
      <c r="E48" s="2"/>
    </row>
    <row r="49" ht="17.25" customHeight="1">
      <c r="A49" s="3"/>
      <c r="B49" s="2"/>
      <c r="C49" s="2"/>
      <c r="D49" s="2"/>
      <c r="E49" s="2"/>
    </row>
    <row r="50" ht="17.25" customHeight="1">
      <c r="A50" s="3"/>
      <c r="B50" s="2"/>
      <c r="C50" s="2"/>
      <c r="D50" s="2"/>
      <c r="E50" s="2"/>
    </row>
    <row r="51" ht="17.25" customHeight="1">
      <c r="A51" s="3"/>
      <c r="B51" s="2"/>
      <c r="C51" s="2"/>
      <c r="D51" s="2"/>
      <c r="E51" s="2"/>
    </row>
    <row r="52" ht="17.25" customHeight="1">
      <c r="A52" s="3"/>
      <c r="B52" s="2"/>
      <c r="C52" s="2"/>
      <c r="D52" s="2"/>
      <c r="E52" s="2"/>
    </row>
    <row r="53" ht="17.25" customHeight="1">
      <c r="A53" s="3"/>
      <c r="B53" s="2"/>
      <c r="C53" s="2"/>
      <c r="D53" s="2"/>
      <c r="E53" s="2"/>
    </row>
    <row r="54" ht="17.25" customHeight="1">
      <c r="A54" s="3"/>
      <c r="B54" s="2"/>
      <c r="C54" s="2"/>
      <c r="D54" s="2"/>
      <c r="E54" s="2"/>
    </row>
    <row r="55" ht="17.25" customHeight="1">
      <c r="A55" s="3"/>
      <c r="B55" s="2"/>
      <c r="C55" s="2"/>
      <c r="D55" s="2"/>
      <c r="E55" s="2"/>
    </row>
    <row r="56" ht="17.25" customHeight="1">
      <c r="A56" s="3"/>
      <c r="B56" s="2"/>
      <c r="C56" s="2"/>
      <c r="D56" s="2"/>
      <c r="E56" s="2"/>
    </row>
    <row r="57" ht="17.25" customHeight="1">
      <c r="A57" s="3"/>
      <c r="B57" s="2"/>
      <c r="C57" s="2"/>
      <c r="D57" s="2"/>
      <c r="E57" s="2"/>
    </row>
    <row r="58" ht="17.25" customHeight="1">
      <c r="A58" s="3"/>
      <c r="B58" s="2"/>
      <c r="C58" s="2"/>
      <c r="D58" s="2"/>
      <c r="E58" s="2"/>
    </row>
    <row r="59" ht="17.25" customHeight="1">
      <c r="A59" s="3"/>
      <c r="B59" s="2"/>
      <c r="C59" s="2"/>
      <c r="D59" s="2"/>
      <c r="E59" s="2"/>
    </row>
    <row r="60" ht="17.25" customHeight="1">
      <c r="A60" s="3"/>
      <c r="B60" s="2"/>
      <c r="C60" s="2"/>
      <c r="D60" s="2"/>
      <c r="E60" s="2"/>
    </row>
    <row r="61" ht="17.25" customHeight="1">
      <c r="A61" s="3"/>
      <c r="B61" s="2"/>
      <c r="C61" s="2"/>
      <c r="D61" s="2"/>
      <c r="E61" s="2"/>
    </row>
    <row r="62" ht="17.25" customHeight="1">
      <c r="A62" s="3"/>
      <c r="B62" s="2"/>
      <c r="C62" s="2"/>
      <c r="D62" s="2"/>
      <c r="E62" s="2"/>
    </row>
    <row r="63" ht="17.25" customHeight="1">
      <c r="A63" s="3"/>
      <c r="B63" s="2"/>
      <c r="C63" s="2"/>
      <c r="D63" s="2"/>
      <c r="E63" s="2"/>
    </row>
    <row r="64" ht="17.25" customHeight="1">
      <c r="A64" s="3"/>
      <c r="B64" s="2"/>
      <c r="C64" s="2"/>
      <c r="D64" s="2"/>
      <c r="E64" s="2"/>
    </row>
    <row r="65" ht="17.25" customHeight="1">
      <c r="A65" s="3"/>
      <c r="B65" s="2"/>
      <c r="C65" s="2"/>
      <c r="D65" s="2"/>
      <c r="E65" s="2"/>
    </row>
    <row r="66" ht="17.25" customHeight="1">
      <c r="A66" s="3"/>
      <c r="B66" s="2"/>
      <c r="C66" s="2"/>
      <c r="D66" s="2"/>
      <c r="E66" s="2"/>
    </row>
    <row r="67" ht="17.25" customHeight="1">
      <c r="A67" s="3"/>
      <c r="B67" s="2"/>
      <c r="C67" s="2"/>
      <c r="D67" s="2"/>
      <c r="E67" s="2"/>
    </row>
    <row r="68" ht="17.25" customHeight="1">
      <c r="A68" s="3"/>
      <c r="B68" s="2"/>
      <c r="C68" s="2"/>
      <c r="D68" s="2"/>
      <c r="E68" s="2"/>
    </row>
    <row r="69" ht="17.25" customHeight="1">
      <c r="A69" s="3"/>
      <c r="B69" s="2"/>
      <c r="C69" s="2"/>
      <c r="D69" s="2"/>
      <c r="E69" s="2"/>
    </row>
    <row r="70" ht="17.25" customHeight="1">
      <c r="A70" s="3"/>
      <c r="B70" s="2"/>
      <c r="C70" s="2"/>
      <c r="D70" s="2"/>
      <c r="E70" s="2"/>
    </row>
    <row r="71" ht="17.25" customHeight="1">
      <c r="A71" s="3"/>
      <c r="B71" s="2"/>
      <c r="C71" s="2"/>
      <c r="D71" s="2"/>
      <c r="E71" s="2"/>
    </row>
    <row r="72" ht="17.25" customHeight="1">
      <c r="A72" s="3"/>
      <c r="B72" s="2"/>
      <c r="C72" s="2"/>
      <c r="D72" s="2"/>
      <c r="E72" s="2"/>
    </row>
    <row r="73" ht="17.25" customHeight="1">
      <c r="A73" s="3"/>
      <c r="B73" s="2"/>
      <c r="C73" s="2"/>
      <c r="D73" s="2"/>
      <c r="E73" s="2"/>
    </row>
    <row r="74" ht="17.25" customHeight="1">
      <c r="A74" s="3"/>
      <c r="B74" s="2"/>
      <c r="C74" s="2"/>
      <c r="D74" s="2"/>
      <c r="E74" s="2"/>
    </row>
    <row r="75" ht="17.25" customHeight="1">
      <c r="A75" s="3"/>
      <c r="B75" s="2"/>
      <c r="C75" s="2"/>
      <c r="D75" s="2"/>
      <c r="E75" s="2"/>
    </row>
    <row r="76" ht="17.25" customHeight="1">
      <c r="A76" s="3"/>
      <c r="B76" s="2"/>
      <c r="C76" s="2"/>
      <c r="D76" s="2"/>
      <c r="E76" s="2"/>
    </row>
    <row r="77" ht="17.25" customHeight="1">
      <c r="A77" s="3"/>
      <c r="B77" s="2"/>
      <c r="C77" s="2"/>
      <c r="D77" s="2"/>
      <c r="E77" s="2"/>
    </row>
    <row r="78" ht="17.25" customHeight="1">
      <c r="A78" s="3"/>
      <c r="B78" s="2"/>
      <c r="C78" s="2"/>
      <c r="D78" s="2"/>
      <c r="E78" s="2"/>
    </row>
    <row r="79" ht="17.25" customHeight="1">
      <c r="A79" s="3"/>
      <c r="B79" s="2"/>
      <c r="C79" s="2"/>
      <c r="D79" s="2"/>
      <c r="E79" s="2"/>
    </row>
    <row r="80" ht="17.25" customHeight="1">
      <c r="A80" s="3"/>
      <c r="B80" s="2"/>
      <c r="C80" s="2"/>
      <c r="D80" s="2"/>
      <c r="E80" s="2"/>
    </row>
    <row r="81" ht="17.25" customHeight="1">
      <c r="A81" s="3"/>
      <c r="B81" s="2"/>
      <c r="C81" s="2"/>
      <c r="D81" s="2"/>
      <c r="E81" s="2"/>
    </row>
    <row r="82" ht="17.25" customHeight="1">
      <c r="A82" s="3"/>
      <c r="B82" s="2"/>
      <c r="C82" s="2"/>
      <c r="D82" s="2"/>
      <c r="E82" s="2"/>
    </row>
    <row r="83" ht="17.25" customHeight="1">
      <c r="A83" s="3"/>
      <c r="B83" s="2"/>
      <c r="C83" s="2"/>
      <c r="D83" s="2"/>
      <c r="E83" s="2"/>
    </row>
    <row r="84" ht="17.25" customHeight="1">
      <c r="A84" s="3"/>
      <c r="B84" s="2"/>
      <c r="C84" s="2"/>
      <c r="D84" s="2"/>
      <c r="E84" s="2"/>
    </row>
    <row r="85" ht="17.25" customHeight="1">
      <c r="A85" s="3"/>
      <c r="B85" s="2"/>
      <c r="C85" s="2"/>
      <c r="D85" s="2"/>
      <c r="E85" s="2"/>
    </row>
    <row r="86" ht="17.25" customHeight="1">
      <c r="A86" s="3"/>
      <c r="B86" s="2"/>
      <c r="C86" s="2"/>
      <c r="D86" s="2"/>
      <c r="E86" s="2"/>
    </row>
    <row r="87" ht="17.25" customHeight="1">
      <c r="A87" s="3"/>
      <c r="B87" s="2"/>
      <c r="C87" s="2"/>
      <c r="D87" s="2"/>
      <c r="E87" s="2"/>
    </row>
    <row r="88" ht="17.25" customHeight="1">
      <c r="A88" s="3"/>
      <c r="B88" s="2"/>
      <c r="C88" s="2"/>
      <c r="D88" s="2"/>
      <c r="E88" s="2"/>
    </row>
    <row r="89" ht="17.25" customHeight="1">
      <c r="A89" s="3"/>
      <c r="B89" s="2"/>
      <c r="C89" s="2"/>
      <c r="D89" s="2"/>
      <c r="E89" s="2"/>
    </row>
    <row r="90" ht="17.25" customHeight="1">
      <c r="A90" s="3"/>
      <c r="B90" s="2"/>
      <c r="C90" s="2"/>
      <c r="D90" s="2"/>
      <c r="E90" s="2"/>
    </row>
    <row r="91" ht="17.25" customHeight="1">
      <c r="A91" s="3"/>
      <c r="B91" s="2"/>
      <c r="C91" s="2"/>
      <c r="D91" s="2"/>
      <c r="E91" s="2"/>
    </row>
    <row r="92" ht="17.25" customHeight="1">
      <c r="A92" s="3"/>
      <c r="B92" s="2"/>
      <c r="C92" s="2"/>
      <c r="D92" s="2"/>
      <c r="E92" s="2"/>
    </row>
    <row r="93" ht="17.25" customHeight="1">
      <c r="A93" s="3"/>
      <c r="B93" s="2"/>
      <c r="C93" s="2"/>
      <c r="D93" s="2"/>
      <c r="E93" s="2"/>
    </row>
    <row r="94" ht="17.25" customHeight="1">
      <c r="A94" s="3"/>
      <c r="B94" s="2"/>
      <c r="C94" s="2"/>
      <c r="D94" s="2"/>
      <c r="E94" s="2"/>
    </row>
    <row r="95" ht="17.25" customHeight="1">
      <c r="A95" s="3"/>
      <c r="B95" s="2"/>
      <c r="C95" s="2"/>
      <c r="D95" s="2"/>
      <c r="E95" s="2"/>
    </row>
    <row r="96" ht="17.25" customHeight="1">
      <c r="A96" s="3"/>
      <c r="B96" s="2"/>
      <c r="C96" s="2"/>
      <c r="D96" s="2"/>
      <c r="E96" s="2"/>
    </row>
    <row r="97" ht="17.25" customHeight="1">
      <c r="A97" s="3"/>
      <c r="B97" s="2"/>
      <c r="C97" s="2"/>
      <c r="D97" s="2"/>
      <c r="E97" s="2"/>
    </row>
    <row r="98" ht="17.25" customHeight="1">
      <c r="A98" s="3"/>
      <c r="B98" s="2"/>
      <c r="C98" s="2"/>
      <c r="D98" s="2"/>
      <c r="E98" s="2"/>
    </row>
    <row r="99" ht="17.25" customHeight="1">
      <c r="A99" s="3"/>
      <c r="B99" s="2"/>
      <c r="C99" s="2"/>
      <c r="D99" s="2"/>
      <c r="E99" s="2"/>
    </row>
    <row r="100" ht="17.25" customHeight="1">
      <c r="A100" s="3"/>
      <c r="B100" s="2"/>
      <c r="C100" s="2"/>
      <c r="D100" s="2"/>
      <c r="E100" s="2"/>
    </row>
    <row r="101" ht="17.25" customHeight="1">
      <c r="A101" s="3"/>
      <c r="B101" s="2"/>
      <c r="C101" s="2"/>
      <c r="D101" s="2"/>
      <c r="E101" s="2"/>
    </row>
    <row r="102" ht="17.25" customHeight="1">
      <c r="A102" s="3"/>
      <c r="B102" s="2"/>
      <c r="C102" s="2"/>
      <c r="D102" s="2"/>
      <c r="E102" s="2"/>
    </row>
    <row r="103" ht="17.25" customHeight="1">
      <c r="A103" s="3"/>
      <c r="B103" s="2"/>
      <c r="C103" s="2"/>
      <c r="D103" s="2"/>
      <c r="E103" s="2"/>
    </row>
    <row r="104" ht="17.25" customHeight="1">
      <c r="A104" s="3"/>
      <c r="B104" s="2"/>
      <c r="C104" s="2"/>
      <c r="D104" s="2"/>
      <c r="E104" s="2"/>
    </row>
    <row r="105" ht="17.25" customHeight="1">
      <c r="A105" s="3"/>
      <c r="B105" s="2"/>
      <c r="C105" s="2"/>
      <c r="D105" s="2"/>
      <c r="E105" s="2"/>
    </row>
    <row r="106" ht="17.25" customHeight="1">
      <c r="A106" s="3"/>
      <c r="B106" s="2"/>
      <c r="C106" s="2"/>
      <c r="D106" s="2"/>
      <c r="E106" s="2"/>
    </row>
    <row r="107" ht="17.25" customHeight="1">
      <c r="A107" s="3"/>
      <c r="B107" s="2"/>
      <c r="C107" s="2"/>
      <c r="D107" s="2"/>
      <c r="E107" s="2"/>
    </row>
    <row r="108" ht="17.25" customHeight="1">
      <c r="A108" s="3"/>
      <c r="B108" s="2"/>
      <c r="C108" s="2"/>
      <c r="D108" s="2"/>
      <c r="E108" s="2"/>
    </row>
    <row r="109" ht="17.25" customHeight="1">
      <c r="A109" s="3"/>
      <c r="B109" s="2"/>
      <c r="C109" s="2"/>
      <c r="D109" s="2"/>
      <c r="E109" s="2"/>
    </row>
    <row r="110" ht="17.25" customHeight="1">
      <c r="A110" s="3"/>
      <c r="B110" s="2"/>
      <c r="C110" s="2"/>
      <c r="D110" s="2"/>
      <c r="E110" s="2"/>
    </row>
    <row r="111" ht="17.25" customHeight="1">
      <c r="A111" s="3"/>
      <c r="B111" s="2"/>
      <c r="C111" s="2"/>
      <c r="D111" s="2"/>
      <c r="E111" s="2"/>
    </row>
    <row r="112" ht="17.25" customHeight="1">
      <c r="A112" s="3"/>
      <c r="B112" s="2"/>
      <c r="C112" s="2"/>
      <c r="D112" s="2"/>
      <c r="E112" s="2"/>
    </row>
    <row r="113" ht="17.25" customHeight="1">
      <c r="A113" s="3"/>
      <c r="B113" s="2"/>
      <c r="C113" s="2"/>
      <c r="D113" s="2"/>
      <c r="E113" s="2"/>
    </row>
    <row r="114" ht="17.25" customHeight="1">
      <c r="A114" s="3"/>
      <c r="B114" s="2"/>
      <c r="C114" s="2"/>
      <c r="D114" s="2"/>
      <c r="E114" s="2"/>
    </row>
    <row r="115" ht="17.25" customHeight="1">
      <c r="A115" s="3"/>
      <c r="B115" s="2"/>
      <c r="C115" s="2"/>
      <c r="D115" s="2"/>
      <c r="E115" s="2"/>
    </row>
    <row r="116" ht="17.25" customHeight="1">
      <c r="A116" s="3"/>
      <c r="B116" s="2"/>
      <c r="C116" s="2"/>
      <c r="D116" s="2"/>
      <c r="E116" s="2"/>
    </row>
    <row r="117" ht="17.25" customHeight="1">
      <c r="A117" s="3"/>
      <c r="B117" s="2"/>
      <c r="C117" s="2"/>
      <c r="D117" s="2"/>
      <c r="E117" s="2"/>
    </row>
    <row r="118" ht="17.25" customHeight="1">
      <c r="A118" s="3"/>
      <c r="B118" s="2"/>
      <c r="C118" s="2"/>
      <c r="D118" s="2"/>
      <c r="E118" s="2"/>
    </row>
    <row r="119" ht="17.25" customHeight="1">
      <c r="A119" s="3"/>
      <c r="B119" s="2"/>
      <c r="C119" s="2"/>
      <c r="D119" s="2"/>
      <c r="E119" s="2"/>
    </row>
    <row r="120" ht="17.25" customHeight="1">
      <c r="A120" s="3"/>
      <c r="B120" s="2"/>
      <c r="C120" s="2"/>
      <c r="D120" s="2"/>
      <c r="E120" s="2"/>
    </row>
    <row r="121" ht="17.25" customHeight="1">
      <c r="A121" s="3"/>
      <c r="B121" s="2"/>
      <c r="C121" s="2"/>
      <c r="D121" s="2"/>
      <c r="E121" s="2"/>
    </row>
    <row r="122" ht="17.25" customHeight="1">
      <c r="A122" s="3"/>
      <c r="B122" s="2"/>
      <c r="C122" s="2"/>
      <c r="D122" s="2"/>
      <c r="E122" s="2"/>
    </row>
    <row r="123" ht="17.25" customHeight="1">
      <c r="A123" s="3"/>
      <c r="B123" s="2"/>
      <c r="C123" s="2"/>
      <c r="D123" s="2"/>
      <c r="E123" s="2"/>
    </row>
    <row r="124" ht="17.25" customHeight="1">
      <c r="A124" s="3"/>
      <c r="B124" s="2"/>
      <c r="C124" s="2"/>
      <c r="D124" s="2"/>
      <c r="E124" s="2"/>
    </row>
    <row r="125" ht="17.25" customHeight="1">
      <c r="A125" s="3"/>
      <c r="B125" s="2"/>
      <c r="C125" s="2"/>
      <c r="D125" s="2"/>
      <c r="E125" s="2"/>
    </row>
    <row r="126" ht="17.25" customHeight="1">
      <c r="A126" s="3"/>
      <c r="B126" s="2"/>
      <c r="C126" s="2"/>
      <c r="D126" s="2"/>
      <c r="E126" s="2"/>
    </row>
    <row r="127" ht="17.25" customHeight="1">
      <c r="A127" s="3"/>
      <c r="B127" s="2"/>
      <c r="C127" s="2"/>
      <c r="D127" s="2"/>
      <c r="E127" s="2"/>
    </row>
    <row r="128" ht="17.25" customHeight="1">
      <c r="A128" s="3"/>
      <c r="B128" s="2"/>
      <c r="C128" s="2"/>
      <c r="D128" s="2"/>
      <c r="E128" s="2"/>
    </row>
    <row r="129" ht="17.25" customHeight="1">
      <c r="A129" s="3"/>
      <c r="B129" s="2"/>
      <c r="C129" s="2"/>
      <c r="D129" s="2"/>
      <c r="E129" s="2"/>
    </row>
    <row r="130" ht="17.25" customHeight="1">
      <c r="A130" s="3"/>
      <c r="B130" s="2"/>
      <c r="C130" s="2"/>
      <c r="D130" s="2"/>
      <c r="E130" s="2"/>
    </row>
    <row r="131" ht="17.25" customHeight="1">
      <c r="A131" s="3"/>
      <c r="B131" s="2"/>
      <c r="C131" s="2"/>
      <c r="D131" s="2"/>
      <c r="E131" s="2"/>
    </row>
    <row r="132" ht="17.25" customHeight="1">
      <c r="A132" s="3"/>
      <c r="B132" s="2"/>
      <c r="C132" s="2"/>
      <c r="D132" s="2"/>
      <c r="E132" s="2"/>
    </row>
    <row r="133" ht="17.25" customHeight="1">
      <c r="A133" s="3"/>
      <c r="B133" s="2"/>
      <c r="C133" s="2"/>
      <c r="D133" s="2"/>
      <c r="E133" s="2"/>
    </row>
    <row r="134" ht="17.25" customHeight="1">
      <c r="A134" s="3"/>
      <c r="B134" s="2"/>
      <c r="C134" s="2"/>
      <c r="D134" s="2"/>
      <c r="E134" s="2"/>
    </row>
    <row r="135" ht="17.25" customHeight="1">
      <c r="A135" s="3"/>
      <c r="B135" s="2"/>
      <c r="C135" s="2"/>
      <c r="D135" s="2"/>
      <c r="E135" s="2"/>
    </row>
    <row r="136" ht="17.25" customHeight="1">
      <c r="A136" s="3"/>
      <c r="B136" s="2"/>
      <c r="C136" s="2"/>
      <c r="D136" s="2"/>
      <c r="E136" s="2"/>
    </row>
    <row r="137" ht="17.25" customHeight="1">
      <c r="A137" s="3"/>
      <c r="B137" s="2"/>
      <c r="C137" s="2"/>
      <c r="D137" s="2"/>
      <c r="E137" s="2"/>
    </row>
    <row r="138" ht="17.25" customHeight="1">
      <c r="A138" s="3"/>
      <c r="B138" s="2"/>
      <c r="C138" s="2"/>
      <c r="D138" s="2"/>
      <c r="E138" s="2"/>
    </row>
    <row r="139" ht="17.25" customHeight="1">
      <c r="A139" s="3"/>
      <c r="B139" s="2"/>
      <c r="C139" s="2"/>
      <c r="D139" s="2"/>
      <c r="E139" s="2"/>
    </row>
    <row r="140" ht="17.25" customHeight="1">
      <c r="A140" s="3"/>
      <c r="B140" s="2"/>
      <c r="C140" s="2"/>
      <c r="D140" s="2"/>
      <c r="E140" s="2"/>
    </row>
    <row r="141" ht="17.25" customHeight="1">
      <c r="A141" s="3"/>
      <c r="B141" s="2"/>
      <c r="C141" s="2"/>
      <c r="D141" s="2"/>
      <c r="E141" s="2"/>
    </row>
    <row r="142" ht="17.25" customHeight="1">
      <c r="A142" s="3"/>
      <c r="B142" s="2"/>
      <c r="C142" s="2"/>
      <c r="D142" s="2"/>
      <c r="E142" s="2"/>
    </row>
    <row r="143" ht="17.25" customHeight="1">
      <c r="A143" s="3"/>
      <c r="B143" s="2"/>
      <c r="C143" s="2"/>
      <c r="D143" s="2"/>
      <c r="E143" s="2"/>
    </row>
    <row r="144" ht="17.25" customHeight="1">
      <c r="A144" s="3"/>
      <c r="B144" s="2"/>
      <c r="C144" s="2"/>
      <c r="D144" s="2"/>
      <c r="E144" s="2"/>
    </row>
    <row r="145" ht="17.25" customHeight="1">
      <c r="A145" s="3"/>
      <c r="B145" s="2"/>
      <c r="C145" s="2"/>
      <c r="D145" s="2"/>
      <c r="E145" s="2"/>
    </row>
    <row r="146" ht="17.25" customHeight="1">
      <c r="A146" s="3"/>
      <c r="B146" s="2"/>
      <c r="C146" s="2"/>
      <c r="D146" s="2"/>
      <c r="E146" s="2"/>
    </row>
    <row r="147" ht="17.25" customHeight="1">
      <c r="A147" s="3"/>
      <c r="B147" s="2"/>
      <c r="C147" s="2"/>
      <c r="D147" s="2"/>
      <c r="E147" s="2"/>
    </row>
    <row r="148" ht="17.25" customHeight="1">
      <c r="A148" s="3"/>
      <c r="B148" s="2"/>
      <c r="C148" s="2"/>
      <c r="D148" s="2"/>
      <c r="E148" s="2"/>
    </row>
    <row r="149" ht="17.25" customHeight="1">
      <c r="A149" s="3"/>
      <c r="B149" s="2"/>
      <c r="C149" s="2"/>
      <c r="D149" s="2"/>
      <c r="E149" s="2"/>
    </row>
    <row r="150" ht="17.25" customHeight="1">
      <c r="A150" s="3"/>
      <c r="B150" s="2"/>
      <c r="C150" s="2"/>
      <c r="D150" s="2"/>
      <c r="E150" s="2"/>
    </row>
    <row r="151" ht="17.25" customHeight="1">
      <c r="A151" s="3"/>
      <c r="B151" s="2"/>
      <c r="C151" s="2"/>
      <c r="D151" s="2"/>
      <c r="E151" s="2"/>
    </row>
    <row r="152" ht="17.25" customHeight="1">
      <c r="A152" s="3"/>
      <c r="B152" s="2"/>
      <c r="C152" s="2"/>
      <c r="D152" s="2"/>
      <c r="E152" s="2"/>
    </row>
    <row r="153" ht="17.25" customHeight="1">
      <c r="A153" s="3"/>
      <c r="B153" s="2"/>
      <c r="C153" s="2"/>
      <c r="D153" s="2"/>
      <c r="E153" s="2"/>
    </row>
    <row r="154" ht="17.25" customHeight="1">
      <c r="A154" s="3"/>
      <c r="B154" s="2"/>
      <c r="C154" s="2"/>
      <c r="D154" s="2"/>
      <c r="E154" s="2"/>
    </row>
    <row r="155" ht="17.25" customHeight="1">
      <c r="A155" s="3"/>
      <c r="B155" s="2"/>
      <c r="C155" s="2"/>
      <c r="D155" s="2"/>
      <c r="E155" s="2"/>
    </row>
    <row r="156" ht="17.25" customHeight="1">
      <c r="A156" s="3"/>
      <c r="B156" s="2"/>
      <c r="C156" s="2"/>
      <c r="D156" s="2"/>
      <c r="E156" s="2"/>
    </row>
    <row r="157" ht="17.25" customHeight="1">
      <c r="A157" s="3"/>
      <c r="B157" s="2"/>
      <c r="C157" s="2"/>
      <c r="D157" s="2"/>
      <c r="E157" s="2"/>
    </row>
    <row r="158" ht="17.25" customHeight="1">
      <c r="A158" s="3"/>
      <c r="B158" s="2"/>
      <c r="C158" s="2"/>
      <c r="D158" s="2"/>
      <c r="E158" s="2"/>
    </row>
    <row r="159" ht="17.25" customHeight="1">
      <c r="A159" s="3"/>
      <c r="B159" s="2"/>
      <c r="C159" s="2"/>
      <c r="D159" s="2"/>
      <c r="E159" s="2"/>
    </row>
    <row r="160" ht="17.25" customHeight="1">
      <c r="A160" s="3"/>
      <c r="B160" s="2"/>
      <c r="C160" s="2"/>
      <c r="D160" s="2"/>
      <c r="E160" s="2"/>
    </row>
    <row r="161" ht="17.25" customHeight="1">
      <c r="A161" s="3"/>
      <c r="B161" s="2"/>
      <c r="C161" s="2"/>
      <c r="D161" s="2"/>
      <c r="E161" s="2"/>
    </row>
    <row r="162" ht="17.25" customHeight="1">
      <c r="A162" s="3"/>
      <c r="B162" s="2"/>
      <c r="C162" s="2"/>
      <c r="D162" s="2"/>
      <c r="E162" s="2"/>
    </row>
    <row r="163" ht="17.25" customHeight="1">
      <c r="A163" s="3"/>
      <c r="B163" s="2"/>
      <c r="C163" s="2"/>
      <c r="D163" s="2"/>
      <c r="E163" s="2"/>
    </row>
    <row r="164" ht="17.25" customHeight="1">
      <c r="A164" s="3"/>
      <c r="B164" s="2"/>
      <c r="C164" s="2"/>
      <c r="D164" s="2"/>
      <c r="E164" s="2"/>
    </row>
    <row r="165" ht="17.25" customHeight="1">
      <c r="A165" s="3"/>
      <c r="B165" s="2"/>
      <c r="C165" s="2"/>
      <c r="D165" s="2"/>
      <c r="E165" s="2"/>
    </row>
    <row r="166" ht="17.25" customHeight="1">
      <c r="A166" s="3"/>
      <c r="B166" s="2"/>
      <c r="C166" s="2"/>
      <c r="D166" s="2"/>
      <c r="E166" s="2"/>
    </row>
    <row r="167" ht="17.25" customHeight="1">
      <c r="A167" s="3"/>
      <c r="B167" s="2"/>
      <c r="C167" s="2"/>
      <c r="D167" s="2"/>
      <c r="E167" s="2"/>
    </row>
    <row r="168" ht="17.25" customHeight="1">
      <c r="A168" s="3"/>
      <c r="B168" s="2"/>
      <c r="C168" s="2"/>
      <c r="D168" s="2"/>
      <c r="E168" s="2"/>
    </row>
    <row r="169" ht="17.25" customHeight="1">
      <c r="A169" s="3"/>
      <c r="B169" s="2"/>
      <c r="C169" s="2"/>
      <c r="D169" s="2"/>
      <c r="E169" s="2"/>
    </row>
    <row r="170" ht="17.25" customHeight="1">
      <c r="A170" s="3"/>
      <c r="B170" s="2"/>
      <c r="C170" s="2"/>
      <c r="D170" s="2"/>
      <c r="E170" s="2"/>
    </row>
    <row r="171" ht="17.25" customHeight="1">
      <c r="A171" s="3"/>
      <c r="B171" s="2"/>
      <c r="C171" s="2"/>
      <c r="D171" s="2"/>
      <c r="E171" s="2"/>
    </row>
    <row r="172" ht="17.25" customHeight="1">
      <c r="A172" s="3"/>
      <c r="B172" s="2"/>
      <c r="C172" s="2"/>
      <c r="D172" s="2"/>
      <c r="E172" s="2"/>
    </row>
    <row r="173" ht="17.25" customHeight="1">
      <c r="A173" s="3"/>
      <c r="B173" s="2"/>
      <c r="C173" s="2"/>
      <c r="D173" s="2"/>
      <c r="E173" s="2"/>
    </row>
    <row r="174" ht="17.25" customHeight="1">
      <c r="A174" s="3"/>
      <c r="B174" s="2"/>
      <c r="C174" s="2"/>
      <c r="D174" s="2"/>
      <c r="E174" s="2"/>
    </row>
    <row r="175" ht="17.25" customHeight="1">
      <c r="A175" s="3"/>
      <c r="B175" s="2"/>
      <c r="C175" s="2"/>
      <c r="D175" s="2"/>
      <c r="E175" s="2"/>
    </row>
    <row r="176" ht="17.25" customHeight="1">
      <c r="A176" s="3"/>
      <c r="B176" s="2"/>
      <c r="C176" s="2"/>
      <c r="D176" s="2"/>
      <c r="E176" s="2"/>
    </row>
    <row r="177" ht="17.25" customHeight="1">
      <c r="A177" s="3"/>
      <c r="B177" s="2"/>
      <c r="C177" s="2"/>
      <c r="D177" s="2"/>
      <c r="E177" s="2"/>
    </row>
    <row r="178" ht="17.25" customHeight="1">
      <c r="A178" s="3"/>
      <c r="B178" s="2"/>
      <c r="C178" s="2"/>
      <c r="D178" s="2"/>
      <c r="E178" s="2"/>
    </row>
    <row r="179" ht="17.25" customHeight="1">
      <c r="A179" s="3"/>
      <c r="B179" s="2"/>
      <c r="C179" s="2"/>
      <c r="D179" s="2"/>
      <c r="E179" s="2"/>
    </row>
    <row r="180" ht="17.25" customHeight="1">
      <c r="A180" s="3"/>
      <c r="B180" s="2"/>
      <c r="C180" s="2"/>
      <c r="D180" s="2"/>
      <c r="E180" s="2"/>
    </row>
    <row r="181" ht="17.25" customHeight="1">
      <c r="A181" s="3"/>
      <c r="B181" s="2"/>
      <c r="C181" s="2"/>
      <c r="D181" s="2"/>
      <c r="E181" s="2"/>
    </row>
    <row r="182" ht="17.25" customHeight="1">
      <c r="A182" s="3"/>
      <c r="B182" s="2"/>
      <c r="C182" s="2"/>
      <c r="D182" s="2"/>
      <c r="E182" s="2"/>
    </row>
    <row r="183" ht="17.25" customHeight="1">
      <c r="A183" s="3"/>
      <c r="B183" s="2"/>
      <c r="C183" s="2"/>
      <c r="D183" s="2"/>
      <c r="E183" s="2"/>
    </row>
    <row r="184" ht="17.25" customHeight="1">
      <c r="A184" s="3"/>
      <c r="B184" s="2"/>
      <c r="C184" s="2"/>
      <c r="D184" s="2"/>
      <c r="E184" s="2"/>
    </row>
    <row r="185" ht="17.25" customHeight="1">
      <c r="A185" s="3"/>
      <c r="B185" s="2"/>
      <c r="C185" s="2"/>
      <c r="D185" s="2"/>
      <c r="E185" s="2"/>
    </row>
    <row r="186" ht="17.25" customHeight="1">
      <c r="A186" s="3"/>
      <c r="B186" s="2"/>
      <c r="C186" s="2"/>
      <c r="D186" s="2"/>
      <c r="E186" s="2"/>
    </row>
    <row r="187" ht="17.25" customHeight="1">
      <c r="A187" s="3"/>
      <c r="B187" s="2"/>
      <c r="C187" s="2"/>
      <c r="D187" s="2"/>
      <c r="E187" s="2"/>
    </row>
    <row r="188" ht="17.25" customHeight="1">
      <c r="A188" s="3"/>
      <c r="B188" s="2"/>
      <c r="C188" s="2"/>
      <c r="D188" s="2"/>
      <c r="E188" s="2"/>
    </row>
    <row r="189" ht="17.25" customHeight="1">
      <c r="A189" s="3"/>
      <c r="B189" s="2"/>
      <c r="C189" s="2"/>
      <c r="D189" s="2"/>
      <c r="E189" s="2"/>
    </row>
    <row r="190" ht="17.25" customHeight="1">
      <c r="A190" s="3"/>
      <c r="B190" s="2"/>
      <c r="C190" s="2"/>
      <c r="D190" s="2"/>
      <c r="E190" s="2"/>
    </row>
    <row r="191" ht="17.25" customHeight="1">
      <c r="A191" s="3"/>
      <c r="B191" s="2"/>
      <c r="C191" s="2"/>
      <c r="D191" s="2"/>
      <c r="E191" s="2"/>
    </row>
    <row r="192" ht="17.25" customHeight="1">
      <c r="A192" s="3"/>
      <c r="B192" s="2"/>
      <c r="C192" s="2"/>
      <c r="D192" s="2"/>
      <c r="E192" s="2"/>
    </row>
    <row r="193" ht="17.25" customHeight="1">
      <c r="A193" s="3"/>
      <c r="B193" s="2"/>
      <c r="C193" s="2"/>
      <c r="D193" s="2"/>
      <c r="E193" s="2"/>
    </row>
    <row r="194" ht="17.25" customHeight="1">
      <c r="A194" s="3"/>
      <c r="B194" s="2"/>
      <c r="C194" s="2"/>
      <c r="D194" s="2"/>
      <c r="E194" s="2"/>
    </row>
    <row r="195" ht="17.25" customHeight="1">
      <c r="A195" s="3"/>
      <c r="B195" s="2"/>
      <c r="C195" s="2"/>
      <c r="D195" s="2"/>
      <c r="E195" s="2"/>
    </row>
    <row r="196" ht="17.25" customHeight="1">
      <c r="A196" s="3"/>
      <c r="B196" s="2"/>
      <c r="C196" s="2"/>
      <c r="D196" s="2"/>
      <c r="E196" s="2"/>
    </row>
    <row r="197" ht="17.25" customHeight="1">
      <c r="A197" s="3"/>
      <c r="B197" s="2"/>
      <c r="C197" s="2"/>
      <c r="D197" s="2"/>
      <c r="E197" s="2"/>
    </row>
    <row r="198" ht="17.25" customHeight="1">
      <c r="A198" s="3"/>
      <c r="B198" s="2"/>
      <c r="C198" s="2"/>
      <c r="D198" s="2"/>
      <c r="E198" s="2"/>
    </row>
    <row r="199" ht="17.25" customHeight="1">
      <c r="A199" s="3"/>
      <c r="B199" s="2"/>
      <c r="C199" s="2"/>
      <c r="D199" s="2"/>
      <c r="E199" s="2"/>
    </row>
    <row r="200" ht="17.25" customHeight="1">
      <c r="A200" s="3"/>
      <c r="B200" s="2"/>
      <c r="C200" s="2"/>
      <c r="D200" s="2"/>
      <c r="E200" s="2"/>
    </row>
    <row r="201" ht="17.25" customHeight="1">
      <c r="A201" s="3"/>
      <c r="B201" s="2"/>
      <c r="C201" s="2"/>
      <c r="D201" s="2"/>
      <c r="E201" s="2"/>
    </row>
    <row r="202" ht="17.25" customHeight="1">
      <c r="A202" s="3"/>
      <c r="B202" s="2"/>
      <c r="C202" s="2"/>
      <c r="D202" s="2"/>
      <c r="E202" s="2"/>
    </row>
    <row r="203" ht="17.25" customHeight="1">
      <c r="A203" s="3"/>
      <c r="B203" s="2"/>
      <c r="C203" s="2"/>
      <c r="D203" s="2"/>
      <c r="E203" s="2"/>
    </row>
    <row r="204" ht="17.25" customHeight="1">
      <c r="A204" s="3"/>
      <c r="B204" s="2"/>
      <c r="C204" s="2"/>
      <c r="D204" s="2"/>
      <c r="E204" s="2"/>
    </row>
    <row r="205" ht="17.25" customHeight="1">
      <c r="A205" s="3"/>
      <c r="B205" s="2"/>
      <c r="C205" s="2"/>
      <c r="D205" s="2"/>
      <c r="E205" s="2"/>
    </row>
    <row r="206" ht="17.25" customHeight="1">
      <c r="A206" s="3"/>
      <c r="B206" s="2"/>
      <c r="C206" s="2"/>
      <c r="D206" s="2"/>
      <c r="E206" s="2"/>
    </row>
    <row r="207" ht="17.25" customHeight="1">
      <c r="A207" s="3"/>
      <c r="B207" s="2"/>
      <c r="C207" s="2"/>
      <c r="D207" s="2"/>
      <c r="E207" s="2"/>
    </row>
    <row r="208" ht="17.25" customHeight="1">
      <c r="A208" s="3"/>
      <c r="B208" s="2"/>
      <c r="C208" s="2"/>
      <c r="D208" s="2"/>
      <c r="E208" s="2"/>
    </row>
    <row r="209" ht="17.25" customHeight="1">
      <c r="A209" s="3"/>
      <c r="B209" s="2"/>
      <c r="C209" s="2"/>
      <c r="D209" s="2"/>
      <c r="E209" s="2"/>
    </row>
    <row r="210" ht="17.25" customHeight="1">
      <c r="A210" s="3"/>
      <c r="B210" s="2"/>
      <c r="C210" s="2"/>
      <c r="D210" s="2"/>
      <c r="E210" s="2"/>
    </row>
    <row r="211" ht="17.25" customHeight="1">
      <c r="A211" s="3"/>
      <c r="B211" s="2"/>
      <c r="C211" s="2"/>
      <c r="D211" s="2"/>
      <c r="E211" s="2"/>
    </row>
    <row r="212" ht="17.25" customHeight="1">
      <c r="A212" s="3"/>
      <c r="B212" s="2"/>
      <c r="C212" s="2"/>
      <c r="D212" s="2"/>
      <c r="E212" s="2"/>
    </row>
    <row r="213" ht="17.25" customHeight="1">
      <c r="A213" s="3"/>
      <c r="B213" s="2"/>
      <c r="C213" s="2"/>
      <c r="D213" s="2"/>
      <c r="E213" s="2"/>
    </row>
    <row r="214" ht="17.25" customHeight="1">
      <c r="A214" s="3"/>
      <c r="B214" s="2"/>
      <c r="C214" s="2"/>
      <c r="D214" s="2"/>
      <c r="E214" s="2"/>
    </row>
    <row r="215" ht="17.25" customHeight="1">
      <c r="A215" s="3"/>
      <c r="B215" s="2"/>
      <c r="C215" s="2"/>
      <c r="D215" s="2"/>
      <c r="E215" s="2"/>
    </row>
    <row r="216" ht="17.25" customHeight="1">
      <c r="A216" s="3"/>
      <c r="B216" s="2"/>
      <c r="C216" s="2"/>
      <c r="D216" s="2"/>
      <c r="E216" s="2"/>
    </row>
    <row r="217" ht="17.25" customHeight="1">
      <c r="A217" s="3"/>
      <c r="B217" s="2"/>
      <c r="C217" s="2"/>
      <c r="D217" s="2"/>
      <c r="E217" s="2"/>
    </row>
    <row r="218" ht="17.25" customHeight="1">
      <c r="A218" s="3"/>
      <c r="B218" s="2"/>
      <c r="C218" s="2"/>
      <c r="D218" s="2"/>
      <c r="E218" s="2"/>
    </row>
    <row r="219" ht="17.25" customHeight="1">
      <c r="A219" s="3"/>
      <c r="B219" s="2"/>
      <c r="C219" s="2"/>
      <c r="D219" s="2"/>
      <c r="E219" s="2"/>
    </row>
    <row r="220" ht="17.25" customHeight="1">
      <c r="A220" s="3"/>
      <c r="B220" s="2"/>
      <c r="C220" s="2"/>
      <c r="D220" s="2"/>
      <c r="E220" s="2"/>
    </row>
    <row r="221" ht="17.25" customHeight="1">
      <c r="A221" s="3"/>
      <c r="B221" s="2"/>
      <c r="C221" s="2"/>
      <c r="D221" s="2"/>
      <c r="E221" s="2"/>
    </row>
    <row r="222" ht="17.25" customHeight="1">
      <c r="A222" s="3"/>
      <c r="B222" s="2"/>
      <c r="C222" s="2"/>
      <c r="D222" s="2"/>
      <c r="E222" s="2"/>
    </row>
    <row r="223" ht="17.25" customHeight="1">
      <c r="A223" s="3"/>
      <c r="B223" s="2"/>
      <c r="C223" s="2"/>
      <c r="D223" s="2"/>
      <c r="E223" s="2"/>
    </row>
    <row r="224" ht="17.25" customHeight="1">
      <c r="A224" s="3"/>
      <c r="B224" s="2"/>
      <c r="C224" s="2"/>
      <c r="D224" s="2"/>
      <c r="E224" s="2"/>
    </row>
    <row r="225" ht="17.25" customHeight="1">
      <c r="A225" s="3"/>
      <c r="B225" s="2"/>
      <c r="C225" s="2"/>
      <c r="D225" s="2"/>
      <c r="E225" s="2"/>
    </row>
    <row r="226" ht="17.25" customHeight="1">
      <c r="A226" s="3"/>
      <c r="B226" s="2"/>
      <c r="C226" s="2"/>
      <c r="D226" s="2"/>
      <c r="E226" s="2"/>
    </row>
    <row r="227" ht="17.25" customHeight="1">
      <c r="A227" s="3"/>
      <c r="B227" s="2"/>
      <c r="C227" s="2"/>
      <c r="D227" s="2"/>
      <c r="E227" s="2"/>
    </row>
    <row r="228" ht="17.25" customHeight="1">
      <c r="A228" s="3"/>
      <c r="B228" s="2"/>
      <c r="C228" s="2"/>
      <c r="D228" s="2"/>
      <c r="E228" s="2"/>
    </row>
    <row r="229" ht="17.25" customHeight="1">
      <c r="A229" s="3"/>
      <c r="B229" s="2"/>
      <c r="C229" s="2"/>
      <c r="D229" s="2"/>
      <c r="E229" s="2"/>
    </row>
    <row r="230" ht="17.25" customHeight="1">
      <c r="A230" s="3"/>
      <c r="B230" s="2"/>
      <c r="C230" s="2"/>
      <c r="D230" s="2"/>
      <c r="E230" s="2"/>
    </row>
    <row r="231" ht="17.25" customHeight="1">
      <c r="A231" s="3"/>
      <c r="B231" s="2"/>
      <c r="C231" s="2"/>
      <c r="D231" s="2"/>
      <c r="E231" s="2"/>
    </row>
    <row r="232" ht="17.25" customHeight="1">
      <c r="A232" s="3"/>
      <c r="B232" s="2"/>
      <c r="C232" s="2"/>
      <c r="D232" s="2"/>
      <c r="E232" s="2"/>
    </row>
    <row r="233" ht="17.25" customHeight="1">
      <c r="A233" s="3"/>
      <c r="B233" s="2"/>
      <c r="C233" s="2"/>
      <c r="D233" s="2"/>
      <c r="E233" s="2"/>
    </row>
    <row r="234" ht="17.25" customHeight="1">
      <c r="A234" s="3"/>
      <c r="B234" s="2"/>
      <c r="C234" s="2"/>
      <c r="D234" s="2"/>
      <c r="E234" s="2"/>
    </row>
    <row r="235" ht="17.25" customHeight="1">
      <c r="A235" s="3"/>
      <c r="B235" s="2"/>
      <c r="C235" s="2"/>
      <c r="D235" s="2"/>
      <c r="E235" s="2"/>
    </row>
    <row r="236" ht="17.25" customHeight="1">
      <c r="A236" s="3"/>
      <c r="B236" s="2"/>
      <c r="C236" s="2"/>
      <c r="D236" s="2"/>
      <c r="E236" s="2"/>
    </row>
    <row r="237" ht="17.25" customHeight="1">
      <c r="C237" s="15"/>
    </row>
    <row r="238" ht="17.25" customHeight="1">
      <c r="C238" s="15"/>
    </row>
    <row r="239" ht="17.25" customHeight="1">
      <c r="C239" s="15"/>
    </row>
    <row r="240" ht="17.25" customHeight="1">
      <c r="C240" s="15"/>
    </row>
    <row r="241" ht="17.25" customHeight="1">
      <c r="C241" s="15"/>
    </row>
    <row r="242" ht="17.25" customHeight="1">
      <c r="C242" s="15"/>
    </row>
    <row r="243" ht="17.25" customHeight="1">
      <c r="C243" s="15"/>
    </row>
    <row r="244" ht="17.25" customHeight="1">
      <c r="C244" s="15"/>
    </row>
    <row r="245" ht="17.25" customHeight="1">
      <c r="C245" s="15"/>
    </row>
    <row r="246" ht="17.25" customHeight="1">
      <c r="C246" s="15"/>
    </row>
    <row r="247" ht="17.25" customHeight="1">
      <c r="C247" s="15"/>
    </row>
    <row r="248" ht="17.25" customHeight="1">
      <c r="C248" s="15"/>
    </row>
    <row r="249" ht="17.25" customHeight="1">
      <c r="C249" s="15"/>
    </row>
    <row r="250" ht="17.25" customHeight="1">
      <c r="C250" s="15"/>
    </row>
    <row r="251" ht="17.25" customHeight="1">
      <c r="C251" s="15"/>
    </row>
    <row r="252" ht="17.25" customHeight="1">
      <c r="C252" s="15"/>
    </row>
    <row r="253" ht="17.25" customHeight="1">
      <c r="C253" s="15"/>
    </row>
    <row r="254" ht="17.25" customHeight="1">
      <c r="C254" s="15"/>
    </row>
    <row r="255" ht="17.25" customHeight="1">
      <c r="C255" s="15"/>
    </row>
    <row r="256" ht="17.25" customHeight="1">
      <c r="C256" s="15"/>
    </row>
    <row r="257" ht="17.25" customHeight="1">
      <c r="C257" s="15"/>
    </row>
    <row r="258" ht="17.25" customHeight="1">
      <c r="C258" s="15"/>
    </row>
    <row r="259" ht="17.25" customHeight="1">
      <c r="C259" s="15"/>
    </row>
    <row r="260" ht="17.25" customHeight="1">
      <c r="C260" s="15"/>
    </row>
    <row r="261" ht="17.25" customHeight="1">
      <c r="C261" s="15"/>
    </row>
    <row r="262" ht="17.25" customHeight="1">
      <c r="C262" s="15"/>
    </row>
    <row r="263" ht="17.25" customHeight="1">
      <c r="C263" s="15"/>
    </row>
    <row r="264" ht="17.25" customHeight="1">
      <c r="C264" s="15"/>
    </row>
    <row r="265" ht="17.25" customHeight="1">
      <c r="C265" s="15"/>
    </row>
    <row r="266" ht="17.25" customHeight="1">
      <c r="C266" s="15"/>
    </row>
    <row r="267" ht="17.25" customHeight="1">
      <c r="C267" s="15"/>
    </row>
    <row r="268" ht="17.25" customHeight="1">
      <c r="C268" s="15"/>
    </row>
    <row r="269" ht="17.25" customHeight="1">
      <c r="C269" s="15"/>
    </row>
    <row r="270" ht="17.25" customHeight="1">
      <c r="C270" s="15"/>
    </row>
    <row r="271" ht="17.25" customHeight="1">
      <c r="C271" s="15"/>
    </row>
    <row r="272" ht="17.25" customHeight="1">
      <c r="C272" s="15"/>
    </row>
    <row r="273" ht="17.25" customHeight="1">
      <c r="C273" s="15"/>
    </row>
    <row r="274" ht="17.25" customHeight="1">
      <c r="C274" s="15"/>
    </row>
    <row r="275" ht="17.25" customHeight="1">
      <c r="C275" s="15"/>
    </row>
    <row r="276" ht="17.25" customHeight="1">
      <c r="C276" s="15"/>
    </row>
    <row r="277" ht="17.25" customHeight="1">
      <c r="C277" s="15"/>
    </row>
    <row r="278" ht="17.25" customHeight="1">
      <c r="C278" s="15"/>
    </row>
    <row r="279" ht="17.25" customHeight="1">
      <c r="C279" s="15"/>
    </row>
    <row r="280" ht="17.25" customHeight="1">
      <c r="C280" s="15"/>
    </row>
    <row r="281" ht="17.25" customHeight="1">
      <c r="C281" s="15"/>
    </row>
    <row r="282" ht="17.25" customHeight="1">
      <c r="C282" s="15"/>
    </row>
    <row r="283" ht="17.25" customHeight="1">
      <c r="C283" s="15"/>
    </row>
    <row r="284" ht="17.25" customHeight="1">
      <c r="C284" s="15"/>
    </row>
    <row r="285" ht="17.25" customHeight="1">
      <c r="C285" s="15"/>
    </row>
    <row r="286" ht="17.25" customHeight="1">
      <c r="C286" s="15"/>
    </row>
    <row r="287" ht="17.25" customHeight="1">
      <c r="C287" s="15"/>
    </row>
    <row r="288" ht="17.25" customHeight="1">
      <c r="C288" s="15"/>
    </row>
    <row r="289" ht="17.25" customHeight="1">
      <c r="C289" s="15"/>
    </row>
    <row r="290" ht="17.25" customHeight="1">
      <c r="C290" s="15"/>
    </row>
    <row r="291" ht="17.25" customHeight="1">
      <c r="C291" s="15"/>
    </row>
    <row r="292" ht="17.25" customHeight="1">
      <c r="C292" s="15"/>
    </row>
    <row r="293" ht="17.25" customHeight="1">
      <c r="C293" s="15"/>
    </row>
    <row r="294" ht="17.25" customHeight="1">
      <c r="C294" s="15"/>
    </row>
    <row r="295" ht="17.25" customHeight="1">
      <c r="C295" s="15"/>
    </row>
    <row r="296" ht="17.25" customHeight="1">
      <c r="C296" s="15"/>
    </row>
    <row r="297" ht="17.25" customHeight="1">
      <c r="C297" s="15"/>
    </row>
    <row r="298" ht="17.25" customHeight="1">
      <c r="C298" s="15"/>
    </row>
    <row r="299" ht="17.25" customHeight="1">
      <c r="C299" s="15"/>
    </row>
    <row r="300" ht="17.25" customHeight="1">
      <c r="C300" s="15"/>
    </row>
    <row r="301" ht="17.25" customHeight="1">
      <c r="C301" s="15"/>
    </row>
    <row r="302" ht="17.25" customHeight="1">
      <c r="C302" s="15"/>
    </row>
    <row r="303" ht="17.25" customHeight="1">
      <c r="C303" s="15"/>
    </row>
    <row r="304" ht="17.25" customHeight="1">
      <c r="C304" s="15"/>
    </row>
    <row r="305" ht="17.25" customHeight="1">
      <c r="C305" s="15"/>
    </row>
    <row r="306" ht="17.25" customHeight="1">
      <c r="C306" s="15"/>
    </row>
    <row r="307" ht="17.25" customHeight="1">
      <c r="C307" s="15"/>
    </row>
    <row r="308" ht="17.25" customHeight="1">
      <c r="C308" s="15"/>
    </row>
    <row r="309" ht="17.25" customHeight="1">
      <c r="C309" s="15"/>
    </row>
    <row r="310" ht="17.25" customHeight="1">
      <c r="C310" s="15"/>
    </row>
    <row r="311" ht="17.25" customHeight="1">
      <c r="C311" s="15"/>
    </row>
    <row r="312" ht="17.25" customHeight="1">
      <c r="C312" s="15"/>
    </row>
    <row r="313" ht="17.25" customHeight="1">
      <c r="C313" s="15"/>
    </row>
    <row r="314" ht="17.25" customHeight="1">
      <c r="C314" s="15"/>
    </row>
    <row r="315" ht="17.25" customHeight="1">
      <c r="C315" s="15"/>
    </row>
    <row r="316" ht="17.25" customHeight="1">
      <c r="C316" s="15"/>
    </row>
    <row r="317" ht="17.25" customHeight="1">
      <c r="C317" s="15"/>
    </row>
    <row r="318" ht="17.25" customHeight="1">
      <c r="C318" s="15"/>
    </row>
    <row r="319" ht="17.25" customHeight="1">
      <c r="C319" s="15"/>
    </row>
    <row r="320" ht="17.25" customHeight="1">
      <c r="C320" s="15"/>
    </row>
    <row r="321" ht="17.25" customHeight="1">
      <c r="C321" s="15"/>
    </row>
    <row r="322" ht="17.25" customHeight="1">
      <c r="C322" s="15"/>
    </row>
    <row r="323" ht="17.25" customHeight="1">
      <c r="C323" s="15"/>
    </row>
    <row r="324" ht="17.25" customHeight="1">
      <c r="C324" s="15"/>
    </row>
    <row r="325" ht="17.25" customHeight="1">
      <c r="C325" s="15"/>
    </row>
    <row r="326" ht="17.25" customHeight="1">
      <c r="C326" s="15"/>
    </row>
    <row r="327" ht="17.25" customHeight="1">
      <c r="C327" s="15"/>
    </row>
    <row r="328" ht="17.25" customHeight="1">
      <c r="C328" s="15"/>
    </row>
    <row r="329" ht="17.25" customHeight="1">
      <c r="C329" s="15"/>
    </row>
    <row r="330" ht="17.25" customHeight="1">
      <c r="C330" s="15"/>
    </row>
    <row r="331" ht="17.25" customHeight="1">
      <c r="C331" s="15"/>
    </row>
    <row r="332" ht="17.25" customHeight="1">
      <c r="C332" s="15"/>
    </row>
    <row r="333" ht="17.25" customHeight="1">
      <c r="C333" s="15"/>
    </row>
    <row r="334" ht="17.25" customHeight="1">
      <c r="C334" s="15"/>
    </row>
    <row r="335" ht="17.25" customHeight="1">
      <c r="C335" s="15"/>
    </row>
    <row r="336" ht="17.25" customHeight="1">
      <c r="C336" s="15"/>
    </row>
    <row r="337" ht="17.25" customHeight="1">
      <c r="C337" s="15"/>
    </row>
    <row r="338" ht="17.25" customHeight="1">
      <c r="C338" s="15"/>
    </row>
    <row r="339" ht="17.25" customHeight="1">
      <c r="C339" s="15"/>
    </row>
    <row r="340" ht="17.25" customHeight="1">
      <c r="C340" s="15"/>
    </row>
    <row r="341" ht="17.25" customHeight="1">
      <c r="C341" s="15"/>
    </row>
    <row r="342" ht="17.25" customHeight="1">
      <c r="C342" s="15"/>
    </row>
    <row r="343" ht="17.25" customHeight="1">
      <c r="C343" s="15"/>
    </row>
    <row r="344" ht="17.25" customHeight="1">
      <c r="C344" s="15"/>
    </row>
    <row r="345" ht="17.25" customHeight="1">
      <c r="C345" s="15"/>
    </row>
    <row r="346" ht="17.25" customHeight="1">
      <c r="C346" s="15"/>
    </row>
    <row r="347" ht="17.25" customHeight="1">
      <c r="C347" s="15"/>
    </row>
    <row r="348" ht="17.25" customHeight="1">
      <c r="C348" s="15"/>
    </row>
    <row r="349" ht="17.25" customHeight="1">
      <c r="C349" s="15"/>
    </row>
    <row r="350" ht="17.25" customHeight="1">
      <c r="C350" s="15"/>
    </row>
    <row r="351" ht="17.25" customHeight="1">
      <c r="C351" s="15"/>
    </row>
    <row r="352" ht="17.25" customHeight="1">
      <c r="C352" s="15"/>
    </row>
    <row r="353" ht="17.25" customHeight="1">
      <c r="C353" s="15"/>
    </row>
    <row r="354" ht="17.25" customHeight="1">
      <c r="C354" s="15"/>
    </row>
    <row r="355" ht="17.25" customHeight="1">
      <c r="C355" s="15"/>
    </row>
    <row r="356" ht="17.25" customHeight="1">
      <c r="C356" s="15"/>
    </row>
    <row r="357" ht="17.25" customHeight="1">
      <c r="C357" s="15"/>
    </row>
    <row r="358" ht="17.25" customHeight="1">
      <c r="C358" s="15"/>
    </row>
    <row r="359" ht="17.25" customHeight="1">
      <c r="C359" s="15"/>
    </row>
    <row r="360" ht="17.25" customHeight="1">
      <c r="C360" s="15"/>
    </row>
    <row r="361" ht="17.25" customHeight="1">
      <c r="C361" s="15"/>
    </row>
    <row r="362" ht="17.25" customHeight="1">
      <c r="C362" s="15"/>
    </row>
    <row r="363" ht="17.25" customHeight="1">
      <c r="C363" s="15"/>
    </row>
    <row r="364" ht="17.25" customHeight="1">
      <c r="C364" s="15"/>
    </row>
    <row r="365" ht="17.25" customHeight="1">
      <c r="C365" s="15"/>
    </row>
    <row r="366" ht="17.25" customHeight="1">
      <c r="C366" s="15"/>
    </row>
    <row r="367" ht="17.25" customHeight="1">
      <c r="C367" s="15"/>
    </row>
    <row r="368" ht="17.25" customHeight="1">
      <c r="C368" s="15"/>
    </row>
    <row r="369" ht="17.25" customHeight="1">
      <c r="C369" s="15"/>
    </row>
    <row r="370" ht="17.25" customHeight="1">
      <c r="C370" s="15"/>
    </row>
    <row r="371" ht="17.25" customHeight="1">
      <c r="C371" s="15"/>
    </row>
    <row r="372" ht="17.25" customHeight="1">
      <c r="C372" s="15"/>
    </row>
    <row r="373" ht="17.25" customHeight="1">
      <c r="C373" s="15"/>
    </row>
    <row r="374" ht="17.25" customHeight="1">
      <c r="C374" s="15"/>
    </row>
    <row r="375" ht="17.25" customHeight="1">
      <c r="C375" s="15"/>
    </row>
    <row r="376" ht="17.25" customHeight="1">
      <c r="C376" s="15"/>
    </row>
    <row r="377" ht="17.25" customHeight="1">
      <c r="C377" s="15"/>
    </row>
    <row r="378" ht="17.25" customHeight="1">
      <c r="C378" s="15"/>
    </row>
    <row r="379" ht="17.25" customHeight="1">
      <c r="C379" s="15"/>
    </row>
    <row r="380" ht="17.25" customHeight="1">
      <c r="C380" s="15"/>
    </row>
    <row r="381" ht="17.25" customHeight="1">
      <c r="C381" s="15"/>
    </row>
    <row r="382" ht="17.25" customHeight="1">
      <c r="C382" s="15"/>
    </row>
    <row r="383" ht="17.25" customHeight="1">
      <c r="C383" s="15"/>
    </row>
    <row r="384" ht="17.25" customHeight="1">
      <c r="C384" s="15"/>
    </row>
    <row r="385" ht="17.25" customHeight="1">
      <c r="C385" s="15"/>
    </row>
    <row r="386" ht="17.25" customHeight="1">
      <c r="C386" s="15"/>
    </row>
    <row r="387" ht="17.25" customHeight="1">
      <c r="C387" s="15"/>
    </row>
    <row r="388" ht="17.25" customHeight="1">
      <c r="C388" s="15"/>
    </row>
    <row r="389" ht="17.25" customHeight="1">
      <c r="C389" s="15"/>
    </row>
    <row r="390" ht="17.25" customHeight="1">
      <c r="C390" s="15"/>
    </row>
    <row r="391" ht="17.25" customHeight="1">
      <c r="C391" s="15"/>
    </row>
    <row r="392" ht="17.25" customHeight="1">
      <c r="C392" s="15"/>
    </row>
    <row r="393" ht="17.25" customHeight="1">
      <c r="C393" s="15"/>
    </row>
    <row r="394" ht="17.25" customHeight="1">
      <c r="C394" s="15"/>
    </row>
    <row r="395" ht="17.25" customHeight="1">
      <c r="C395" s="15"/>
    </row>
    <row r="396" ht="17.25" customHeight="1">
      <c r="C396" s="15"/>
    </row>
    <row r="397" ht="17.25" customHeight="1">
      <c r="C397" s="15"/>
    </row>
    <row r="398" ht="17.25" customHeight="1">
      <c r="C398" s="15"/>
    </row>
    <row r="399" ht="17.25" customHeight="1">
      <c r="C399" s="15"/>
    </row>
    <row r="400" ht="17.25" customHeight="1">
      <c r="C400" s="15"/>
    </row>
    <row r="401" ht="17.25" customHeight="1">
      <c r="C401" s="15"/>
    </row>
    <row r="402" ht="17.25" customHeight="1">
      <c r="C402" s="15"/>
    </row>
    <row r="403" ht="17.25" customHeight="1">
      <c r="C403" s="15"/>
    </row>
    <row r="404" ht="17.25" customHeight="1">
      <c r="C404" s="15"/>
    </row>
    <row r="405" ht="17.25" customHeight="1">
      <c r="C405" s="15"/>
    </row>
    <row r="406" ht="17.25" customHeight="1">
      <c r="C406" s="15"/>
    </row>
    <row r="407" ht="17.25" customHeight="1">
      <c r="C407" s="15"/>
    </row>
    <row r="408" ht="17.25" customHeight="1">
      <c r="C408" s="15"/>
    </row>
    <row r="409" ht="17.25" customHeight="1">
      <c r="C409" s="15"/>
    </row>
    <row r="410" ht="17.25" customHeight="1">
      <c r="C410" s="15"/>
    </row>
    <row r="411" ht="17.25" customHeight="1">
      <c r="C411" s="15"/>
    </row>
    <row r="412" ht="17.25" customHeight="1">
      <c r="C412" s="15"/>
    </row>
    <row r="413" ht="17.25" customHeight="1">
      <c r="C413" s="15"/>
    </row>
    <row r="414" ht="17.25" customHeight="1">
      <c r="C414" s="15"/>
    </row>
    <row r="415" ht="17.25" customHeight="1">
      <c r="C415" s="15"/>
    </row>
    <row r="416" ht="17.25" customHeight="1">
      <c r="C416" s="15"/>
    </row>
    <row r="417" ht="17.25" customHeight="1">
      <c r="C417" s="15"/>
    </row>
    <row r="418" ht="17.25" customHeight="1">
      <c r="C418" s="15"/>
    </row>
    <row r="419" ht="17.25" customHeight="1">
      <c r="C419" s="15"/>
    </row>
    <row r="420" ht="17.25" customHeight="1">
      <c r="C420" s="15"/>
    </row>
    <row r="421" ht="17.25" customHeight="1">
      <c r="C421" s="15"/>
    </row>
    <row r="422" ht="17.25" customHeight="1">
      <c r="C422" s="15"/>
    </row>
    <row r="423" ht="17.25" customHeight="1">
      <c r="C423" s="15"/>
    </row>
    <row r="424" ht="17.25" customHeight="1">
      <c r="C424" s="15"/>
    </row>
    <row r="425" ht="17.25" customHeight="1">
      <c r="C425" s="15"/>
    </row>
    <row r="426" ht="17.25" customHeight="1">
      <c r="C426" s="15"/>
    </row>
    <row r="427" ht="17.25" customHeight="1">
      <c r="C427" s="15"/>
    </row>
    <row r="428" ht="17.25" customHeight="1">
      <c r="C428" s="15"/>
    </row>
    <row r="429" ht="17.25" customHeight="1">
      <c r="C429" s="15"/>
    </row>
    <row r="430" ht="17.25" customHeight="1">
      <c r="C430" s="15"/>
    </row>
    <row r="431" ht="17.25" customHeight="1">
      <c r="C431" s="15"/>
    </row>
    <row r="432" ht="17.25" customHeight="1">
      <c r="C432" s="15"/>
    </row>
    <row r="433" ht="17.25" customHeight="1">
      <c r="C433" s="15"/>
    </row>
    <row r="434" ht="17.25" customHeight="1">
      <c r="C434" s="15"/>
    </row>
    <row r="435" ht="17.25" customHeight="1">
      <c r="C435" s="15"/>
    </row>
    <row r="436" ht="17.25" customHeight="1">
      <c r="C436" s="15"/>
    </row>
    <row r="437" ht="17.25" customHeight="1">
      <c r="C437" s="15"/>
    </row>
    <row r="438" ht="17.25" customHeight="1">
      <c r="C438" s="15"/>
    </row>
    <row r="439" ht="17.25" customHeight="1">
      <c r="C439" s="15"/>
    </row>
    <row r="440" ht="17.25" customHeight="1">
      <c r="C440" s="15"/>
    </row>
    <row r="441" ht="17.25" customHeight="1">
      <c r="C441" s="15"/>
    </row>
    <row r="442" ht="17.25" customHeight="1">
      <c r="C442" s="15"/>
    </row>
    <row r="443" ht="17.25" customHeight="1">
      <c r="C443" s="15"/>
    </row>
    <row r="444" ht="17.25" customHeight="1">
      <c r="C444" s="15"/>
    </row>
    <row r="445" ht="17.25" customHeight="1">
      <c r="C445" s="15"/>
    </row>
    <row r="446" ht="17.25" customHeight="1">
      <c r="C446" s="15"/>
    </row>
    <row r="447" ht="17.25" customHeight="1">
      <c r="C447" s="15"/>
    </row>
    <row r="448" ht="17.25" customHeight="1">
      <c r="C448" s="15"/>
    </row>
    <row r="449" ht="17.25" customHeight="1">
      <c r="C449" s="15"/>
    </row>
    <row r="450" ht="17.25" customHeight="1">
      <c r="C450" s="15"/>
    </row>
    <row r="451" ht="17.25" customHeight="1">
      <c r="C451" s="15"/>
    </row>
    <row r="452" ht="17.25" customHeight="1">
      <c r="C452" s="15"/>
    </row>
    <row r="453" ht="17.25" customHeight="1">
      <c r="C453" s="15"/>
    </row>
    <row r="454" ht="17.25" customHeight="1">
      <c r="C454" s="15"/>
    </row>
    <row r="455" ht="17.25" customHeight="1">
      <c r="C455" s="15"/>
    </row>
    <row r="456" ht="17.25" customHeight="1">
      <c r="C456" s="15"/>
    </row>
    <row r="457" ht="17.25" customHeight="1">
      <c r="C457" s="15"/>
    </row>
    <row r="458" ht="17.25" customHeight="1">
      <c r="C458" s="15"/>
    </row>
    <row r="459" ht="17.25" customHeight="1">
      <c r="C459" s="15"/>
    </row>
    <row r="460" ht="17.25" customHeight="1">
      <c r="C460" s="15"/>
    </row>
    <row r="461" ht="17.25" customHeight="1">
      <c r="C461" s="15"/>
    </row>
    <row r="462" ht="17.25" customHeight="1">
      <c r="C462" s="15"/>
    </row>
    <row r="463" ht="17.25" customHeight="1">
      <c r="C463" s="15"/>
    </row>
    <row r="464" ht="17.25" customHeight="1">
      <c r="C464" s="15"/>
    </row>
    <row r="465" ht="17.25" customHeight="1">
      <c r="C465" s="15"/>
    </row>
    <row r="466" ht="17.25" customHeight="1">
      <c r="C466" s="15"/>
    </row>
    <row r="467" ht="17.25" customHeight="1">
      <c r="C467" s="15"/>
    </row>
    <row r="468" ht="17.25" customHeight="1">
      <c r="C468" s="15"/>
    </row>
    <row r="469" ht="17.25" customHeight="1">
      <c r="C469" s="15"/>
    </row>
    <row r="470" ht="17.25" customHeight="1">
      <c r="C470" s="15"/>
    </row>
    <row r="471" ht="17.25" customHeight="1">
      <c r="C471" s="15"/>
    </row>
    <row r="472" ht="17.25" customHeight="1">
      <c r="C472" s="15"/>
    </row>
    <row r="473" ht="17.25" customHeight="1">
      <c r="C473" s="15"/>
    </row>
    <row r="474" ht="17.25" customHeight="1">
      <c r="C474" s="15"/>
    </row>
    <row r="475" ht="17.25" customHeight="1">
      <c r="C475" s="15"/>
    </row>
    <row r="476" ht="17.25" customHeight="1">
      <c r="C476" s="15"/>
    </row>
    <row r="477" ht="17.25" customHeight="1">
      <c r="C477" s="15"/>
    </row>
    <row r="478" ht="17.25" customHeight="1">
      <c r="C478" s="15"/>
    </row>
    <row r="479" ht="17.25" customHeight="1">
      <c r="C479" s="15"/>
    </row>
    <row r="480" ht="17.25" customHeight="1">
      <c r="C480" s="15"/>
    </row>
    <row r="481" ht="17.25" customHeight="1">
      <c r="C481" s="15"/>
    </row>
    <row r="482" ht="17.25" customHeight="1">
      <c r="C482" s="15"/>
    </row>
    <row r="483" ht="17.25" customHeight="1">
      <c r="C483" s="15"/>
    </row>
    <row r="484" ht="17.25" customHeight="1">
      <c r="C484" s="15"/>
    </row>
    <row r="485" ht="17.25" customHeight="1">
      <c r="C485" s="15"/>
    </row>
    <row r="486" ht="17.25" customHeight="1">
      <c r="C486" s="15"/>
    </row>
    <row r="487" ht="17.25" customHeight="1">
      <c r="C487" s="15"/>
    </row>
    <row r="488" ht="17.25" customHeight="1">
      <c r="C488" s="15"/>
    </row>
    <row r="489" ht="17.25" customHeight="1">
      <c r="C489" s="15"/>
    </row>
    <row r="490" ht="17.25" customHeight="1">
      <c r="C490" s="15"/>
    </row>
    <row r="491" ht="17.25" customHeight="1">
      <c r="C491" s="15"/>
    </row>
    <row r="492" ht="17.25" customHeight="1">
      <c r="C492" s="15"/>
    </row>
    <row r="493" ht="17.25" customHeight="1">
      <c r="C493" s="15"/>
    </row>
    <row r="494" ht="17.25" customHeight="1">
      <c r="C494" s="15"/>
    </row>
    <row r="495" ht="17.25" customHeight="1">
      <c r="C495" s="15"/>
    </row>
    <row r="496" ht="17.25" customHeight="1">
      <c r="C496" s="15"/>
    </row>
    <row r="497" ht="17.25" customHeight="1">
      <c r="C497" s="15"/>
    </row>
    <row r="498" ht="17.25" customHeight="1">
      <c r="C498" s="15"/>
    </row>
    <row r="499" ht="17.25" customHeight="1">
      <c r="C499" s="15"/>
    </row>
    <row r="500" ht="17.25" customHeight="1">
      <c r="C500" s="15"/>
    </row>
    <row r="501" ht="17.25" customHeight="1">
      <c r="C501" s="15"/>
    </row>
    <row r="502" ht="17.25" customHeight="1">
      <c r="C502" s="15"/>
    </row>
    <row r="503" ht="17.25" customHeight="1">
      <c r="C503" s="15"/>
    </row>
    <row r="504" ht="17.25" customHeight="1">
      <c r="C504" s="15"/>
    </row>
    <row r="505" ht="17.25" customHeight="1">
      <c r="C505" s="15"/>
    </row>
    <row r="506" ht="17.25" customHeight="1">
      <c r="C506" s="15"/>
    </row>
    <row r="507" ht="17.25" customHeight="1">
      <c r="C507" s="15"/>
    </row>
    <row r="508" ht="17.25" customHeight="1">
      <c r="C508" s="15"/>
    </row>
    <row r="509" ht="17.25" customHeight="1">
      <c r="C509" s="15"/>
    </row>
    <row r="510" ht="17.25" customHeight="1">
      <c r="C510" s="15"/>
    </row>
    <row r="511" ht="17.25" customHeight="1">
      <c r="C511" s="15"/>
    </row>
    <row r="512" ht="17.25" customHeight="1">
      <c r="C512" s="15"/>
    </row>
    <row r="513" ht="17.25" customHeight="1">
      <c r="C513" s="15"/>
    </row>
    <row r="514" ht="17.25" customHeight="1">
      <c r="C514" s="15"/>
    </row>
    <row r="515" ht="17.25" customHeight="1">
      <c r="C515" s="15"/>
    </row>
    <row r="516" ht="17.25" customHeight="1">
      <c r="C516" s="15"/>
    </row>
    <row r="517" ht="17.25" customHeight="1">
      <c r="C517" s="15"/>
    </row>
    <row r="518" ht="17.25" customHeight="1">
      <c r="C518" s="15"/>
    </row>
    <row r="519" ht="17.25" customHeight="1">
      <c r="C519" s="15"/>
    </row>
    <row r="520" ht="17.25" customHeight="1">
      <c r="C520" s="15"/>
    </row>
    <row r="521" ht="17.25" customHeight="1">
      <c r="C521" s="15"/>
    </row>
    <row r="522" ht="17.25" customHeight="1">
      <c r="C522" s="15"/>
    </row>
    <row r="523" ht="17.25" customHeight="1">
      <c r="C523" s="15"/>
    </row>
    <row r="524" ht="17.25" customHeight="1">
      <c r="C524" s="15"/>
    </row>
    <row r="525" ht="17.25" customHeight="1">
      <c r="C525" s="15"/>
    </row>
    <row r="526" ht="17.25" customHeight="1">
      <c r="C526" s="15"/>
    </row>
    <row r="527" ht="17.25" customHeight="1">
      <c r="C527" s="15"/>
    </row>
    <row r="528" ht="17.25" customHeight="1">
      <c r="C528" s="15"/>
    </row>
    <row r="529" ht="17.25" customHeight="1">
      <c r="C529" s="15"/>
    </row>
    <row r="530" ht="17.25" customHeight="1">
      <c r="C530" s="15"/>
    </row>
    <row r="531" ht="17.25" customHeight="1">
      <c r="C531" s="15"/>
    </row>
    <row r="532" ht="17.25" customHeight="1">
      <c r="C532" s="15"/>
    </row>
    <row r="533" ht="17.25" customHeight="1">
      <c r="C533" s="15"/>
    </row>
    <row r="534" ht="17.25" customHeight="1">
      <c r="C534" s="15"/>
    </row>
    <row r="535" ht="17.25" customHeight="1">
      <c r="C535" s="15"/>
    </row>
    <row r="536" ht="17.25" customHeight="1">
      <c r="C536" s="15"/>
    </row>
    <row r="537" ht="17.25" customHeight="1">
      <c r="C537" s="15"/>
    </row>
    <row r="538" ht="17.25" customHeight="1">
      <c r="C538" s="15"/>
    </row>
    <row r="539" ht="17.25" customHeight="1">
      <c r="C539" s="15"/>
    </row>
    <row r="540" ht="17.25" customHeight="1">
      <c r="C540" s="15"/>
    </row>
    <row r="541" ht="17.25" customHeight="1">
      <c r="C541" s="15"/>
    </row>
    <row r="542" ht="17.25" customHeight="1">
      <c r="C542" s="15"/>
    </row>
    <row r="543" ht="17.25" customHeight="1">
      <c r="C543" s="15"/>
    </row>
    <row r="544" ht="17.25" customHeight="1">
      <c r="C544" s="15"/>
    </row>
    <row r="545" ht="17.25" customHeight="1">
      <c r="C545" s="15"/>
    </row>
    <row r="546" ht="17.25" customHeight="1">
      <c r="C546" s="15"/>
    </row>
    <row r="547" ht="17.25" customHeight="1">
      <c r="C547" s="15"/>
    </row>
    <row r="548" ht="17.25" customHeight="1">
      <c r="C548" s="15"/>
    </row>
    <row r="549" ht="17.25" customHeight="1">
      <c r="C549" s="15"/>
    </row>
    <row r="550" ht="17.25" customHeight="1">
      <c r="C550" s="15"/>
    </row>
    <row r="551" ht="17.25" customHeight="1">
      <c r="C551" s="15"/>
    </row>
    <row r="552" ht="17.25" customHeight="1">
      <c r="C552" s="15"/>
    </row>
    <row r="553" ht="17.25" customHeight="1">
      <c r="C553" s="15"/>
    </row>
    <row r="554" ht="17.25" customHeight="1">
      <c r="C554" s="15"/>
    </row>
    <row r="555" ht="17.25" customHeight="1">
      <c r="C555" s="15"/>
    </row>
    <row r="556" ht="17.25" customHeight="1">
      <c r="C556" s="15"/>
    </row>
    <row r="557" ht="17.25" customHeight="1">
      <c r="C557" s="15"/>
    </row>
    <row r="558" ht="17.25" customHeight="1">
      <c r="C558" s="15"/>
    </row>
    <row r="559" ht="17.25" customHeight="1">
      <c r="C559" s="15"/>
    </row>
    <row r="560" ht="17.25" customHeight="1">
      <c r="C560" s="15"/>
    </row>
    <row r="561" ht="17.25" customHeight="1">
      <c r="C561" s="15"/>
    </row>
    <row r="562" ht="17.25" customHeight="1">
      <c r="C562" s="15"/>
    </row>
    <row r="563" ht="17.25" customHeight="1">
      <c r="C563" s="15"/>
    </row>
    <row r="564" ht="17.25" customHeight="1">
      <c r="C564" s="15"/>
    </row>
    <row r="565" ht="17.25" customHeight="1">
      <c r="C565" s="15"/>
    </row>
    <row r="566" ht="17.25" customHeight="1">
      <c r="C566" s="15"/>
    </row>
    <row r="567" ht="17.25" customHeight="1">
      <c r="C567" s="15"/>
    </row>
    <row r="568" ht="17.25" customHeight="1">
      <c r="C568" s="15"/>
    </row>
    <row r="569" ht="17.25" customHeight="1">
      <c r="C569" s="15"/>
    </row>
    <row r="570" ht="17.25" customHeight="1">
      <c r="C570" s="15"/>
    </row>
    <row r="571" ht="17.25" customHeight="1">
      <c r="C571" s="15"/>
    </row>
    <row r="572" ht="17.25" customHeight="1">
      <c r="C572" s="15"/>
    </row>
    <row r="573" ht="17.25" customHeight="1">
      <c r="C573" s="15"/>
    </row>
    <row r="574" ht="17.25" customHeight="1">
      <c r="C574" s="15"/>
    </row>
    <row r="575" ht="17.25" customHeight="1">
      <c r="C575" s="15"/>
    </row>
    <row r="576" ht="17.25" customHeight="1">
      <c r="C576" s="15"/>
    </row>
    <row r="577" ht="17.25" customHeight="1">
      <c r="C577" s="15"/>
    </row>
    <row r="578" ht="17.25" customHeight="1">
      <c r="C578" s="15"/>
    </row>
    <row r="579" ht="17.25" customHeight="1">
      <c r="C579" s="15"/>
    </row>
    <row r="580" ht="17.25" customHeight="1">
      <c r="C580" s="15"/>
    </row>
    <row r="581" ht="17.25" customHeight="1">
      <c r="C581" s="15"/>
    </row>
    <row r="582" ht="17.25" customHeight="1">
      <c r="C582" s="15"/>
    </row>
    <row r="583" ht="17.25" customHeight="1">
      <c r="C583" s="15"/>
    </row>
    <row r="584" ht="17.25" customHeight="1">
      <c r="C584" s="15"/>
    </row>
    <row r="585" ht="17.25" customHeight="1">
      <c r="C585" s="15"/>
    </row>
    <row r="586" ht="17.25" customHeight="1">
      <c r="C586" s="15"/>
    </row>
    <row r="587" ht="17.25" customHeight="1">
      <c r="C587" s="15"/>
    </row>
    <row r="588" ht="17.25" customHeight="1">
      <c r="C588" s="15"/>
    </row>
    <row r="589" ht="17.25" customHeight="1">
      <c r="C589" s="15"/>
    </row>
    <row r="590" ht="17.25" customHeight="1">
      <c r="C590" s="15"/>
    </row>
    <row r="591" ht="17.25" customHeight="1">
      <c r="C591" s="15"/>
    </row>
    <row r="592" ht="17.25" customHeight="1">
      <c r="C592" s="15"/>
    </row>
    <row r="593" ht="17.25" customHeight="1">
      <c r="C593" s="15"/>
    </row>
    <row r="594" ht="17.25" customHeight="1">
      <c r="C594" s="15"/>
    </row>
    <row r="595" ht="17.25" customHeight="1">
      <c r="C595" s="15"/>
    </row>
    <row r="596" ht="17.25" customHeight="1">
      <c r="C596" s="15"/>
    </row>
    <row r="597" ht="17.25" customHeight="1">
      <c r="C597" s="15"/>
    </row>
    <row r="598" ht="17.25" customHeight="1">
      <c r="C598" s="15"/>
    </row>
    <row r="599" ht="17.25" customHeight="1">
      <c r="C599" s="15"/>
    </row>
    <row r="600" ht="17.25" customHeight="1">
      <c r="C600" s="15"/>
    </row>
    <row r="601" ht="17.25" customHeight="1">
      <c r="C601" s="15"/>
    </row>
    <row r="602" ht="17.25" customHeight="1">
      <c r="C602" s="15"/>
    </row>
    <row r="603" ht="17.25" customHeight="1">
      <c r="C603" s="15"/>
    </row>
    <row r="604" ht="17.25" customHeight="1">
      <c r="C604" s="15"/>
    </row>
    <row r="605" ht="17.25" customHeight="1">
      <c r="C605" s="15"/>
    </row>
    <row r="606" ht="17.25" customHeight="1">
      <c r="C606" s="15"/>
    </row>
    <row r="607" ht="17.25" customHeight="1">
      <c r="C607" s="15"/>
    </row>
    <row r="608" ht="17.25" customHeight="1">
      <c r="C608" s="15"/>
    </row>
    <row r="609" ht="17.25" customHeight="1">
      <c r="C609" s="15"/>
    </row>
    <row r="610" ht="17.25" customHeight="1">
      <c r="C610" s="15"/>
    </row>
    <row r="611" ht="17.25" customHeight="1">
      <c r="C611" s="15"/>
    </row>
    <row r="612" ht="17.25" customHeight="1">
      <c r="C612" s="15"/>
    </row>
    <row r="613" ht="17.25" customHeight="1">
      <c r="C613" s="15"/>
    </row>
    <row r="614" ht="17.25" customHeight="1">
      <c r="C614" s="15"/>
    </row>
    <row r="615" ht="17.25" customHeight="1">
      <c r="C615" s="15"/>
    </row>
    <row r="616" ht="17.25" customHeight="1">
      <c r="C616" s="15"/>
    </row>
    <row r="617" ht="17.25" customHeight="1">
      <c r="C617" s="15"/>
    </row>
    <row r="618" ht="17.25" customHeight="1">
      <c r="C618" s="15"/>
    </row>
    <row r="619" ht="17.25" customHeight="1">
      <c r="C619" s="15"/>
    </row>
    <row r="620" ht="17.25" customHeight="1">
      <c r="C620" s="15"/>
    </row>
    <row r="621" ht="17.25" customHeight="1">
      <c r="C621" s="15"/>
    </row>
    <row r="622" ht="17.25" customHeight="1">
      <c r="C622" s="15"/>
    </row>
    <row r="623" ht="17.25" customHeight="1">
      <c r="C623" s="15"/>
    </row>
    <row r="624" ht="17.25" customHeight="1">
      <c r="C624" s="15"/>
    </row>
    <row r="625" ht="17.25" customHeight="1">
      <c r="C625" s="15"/>
    </row>
    <row r="626" ht="17.25" customHeight="1">
      <c r="C626" s="15"/>
    </row>
    <row r="627" ht="17.25" customHeight="1">
      <c r="C627" s="15"/>
    </row>
    <row r="628" ht="17.25" customHeight="1">
      <c r="C628" s="15"/>
    </row>
    <row r="629" ht="17.25" customHeight="1">
      <c r="C629" s="15"/>
    </row>
    <row r="630" ht="17.25" customHeight="1">
      <c r="C630" s="15"/>
    </row>
    <row r="631" ht="17.25" customHeight="1">
      <c r="C631" s="15"/>
    </row>
    <row r="632" ht="17.25" customHeight="1">
      <c r="C632" s="15"/>
    </row>
    <row r="633" ht="17.25" customHeight="1">
      <c r="C633" s="15"/>
    </row>
    <row r="634" ht="17.25" customHeight="1">
      <c r="C634" s="15"/>
    </row>
    <row r="635" ht="17.25" customHeight="1">
      <c r="C635" s="15"/>
    </row>
    <row r="636" ht="17.25" customHeight="1">
      <c r="C636" s="15"/>
    </row>
    <row r="637" ht="17.25" customHeight="1">
      <c r="C637" s="15"/>
    </row>
    <row r="638" ht="17.25" customHeight="1">
      <c r="C638" s="15"/>
    </row>
    <row r="639" ht="17.25" customHeight="1">
      <c r="C639" s="15"/>
    </row>
    <row r="640" ht="17.25" customHeight="1">
      <c r="C640" s="15"/>
    </row>
    <row r="641" ht="17.25" customHeight="1">
      <c r="C641" s="15"/>
    </row>
    <row r="642" ht="17.25" customHeight="1">
      <c r="C642" s="15"/>
    </row>
    <row r="643" ht="17.25" customHeight="1">
      <c r="C643" s="15"/>
    </row>
    <row r="644" ht="17.25" customHeight="1">
      <c r="C644" s="15"/>
    </row>
    <row r="645" ht="17.25" customHeight="1">
      <c r="C645" s="15"/>
    </row>
    <row r="646" ht="17.25" customHeight="1">
      <c r="C646" s="15"/>
    </row>
    <row r="647" ht="17.25" customHeight="1">
      <c r="C647" s="15"/>
    </row>
    <row r="648" ht="17.25" customHeight="1">
      <c r="C648" s="15"/>
    </row>
    <row r="649" ht="17.25" customHeight="1">
      <c r="C649" s="15"/>
    </row>
    <row r="650" ht="17.25" customHeight="1">
      <c r="C650" s="15"/>
    </row>
    <row r="651" ht="17.25" customHeight="1">
      <c r="C651" s="15"/>
    </row>
    <row r="652" ht="17.25" customHeight="1">
      <c r="C652" s="15"/>
    </row>
    <row r="653" ht="17.25" customHeight="1">
      <c r="C653" s="15"/>
    </row>
    <row r="654" ht="17.25" customHeight="1">
      <c r="C654" s="15"/>
    </row>
    <row r="655" ht="17.25" customHeight="1">
      <c r="C655" s="15"/>
    </row>
    <row r="656" ht="17.25" customHeight="1">
      <c r="C656" s="15"/>
    </row>
    <row r="657" ht="17.25" customHeight="1">
      <c r="C657" s="15"/>
    </row>
    <row r="658" ht="17.25" customHeight="1">
      <c r="C658" s="15"/>
    </row>
    <row r="659" ht="17.25" customHeight="1">
      <c r="C659" s="15"/>
    </row>
    <row r="660" ht="17.25" customHeight="1">
      <c r="C660" s="15"/>
    </row>
    <row r="661" ht="17.25" customHeight="1">
      <c r="C661" s="15"/>
    </row>
    <row r="662" ht="17.25" customHeight="1">
      <c r="C662" s="15"/>
    </row>
    <row r="663" ht="17.25" customHeight="1">
      <c r="C663" s="15"/>
    </row>
    <row r="664" ht="17.25" customHeight="1">
      <c r="C664" s="15"/>
    </row>
    <row r="665" ht="17.25" customHeight="1">
      <c r="C665" s="15"/>
    </row>
    <row r="666" ht="17.25" customHeight="1">
      <c r="C666" s="15"/>
    </row>
    <row r="667" ht="17.25" customHeight="1">
      <c r="C667" s="15"/>
    </row>
    <row r="668" ht="17.25" customHeight="1">
      <c r="C668" s="15"/>
    </row>
    <row r="669" ht="17.25" customHeight="1">
      <c r="C669" s="15"/>
    </row>
    <row r="670" ht="17.25" customHeight="1">
      <c r="C670" s="15"/>
    </row>
    <row r="671" ht="17.25" customHeight="1">
      <c r="C671" s="15"/>
    </row>
    <row r="672" ht="17.25" customHeight="1">
      <c r="C672" s="15"/>
    </row>
    <row r="673" ht="17.25" customHeight="1">
      <c r="C673" s="15"/>
    </row>
    <row r="674" ht="17.25" customHeight="1">
      <c r="C674" s="15"/>
    </row>
    <row r="675" ht="17.25" customHeight="1">
      <c r="C675" s="15"/>
    </row>
    <row r="676" ht="17.25" customHeight="1">
      <c r="C676" s="15"/>
    </row>
    <row r="677" ht="17.25" customHeight="1">
      <c r="C677" s="15"/>
    </row>
    <row r="678" ht="17.25" customHeight="1">
      <c r="C678" s="15"/>
    </row>
    <row r="679" ht="17.25" customHeight="1">
      <c r="C679" s="15"/>
    </row>
    <row r="680" ht="17.25" customHeight="1">
      <c r="C680" s="15"/>
    </row>
    <row r="681" ht="17.25" customHeight="1">
      <c r="C681" s="15"/>
    </row>
    <row r="682" ht="17.25" customHeight="1">
      <c r="C682" s="15"/>
    </row>
    <row r="683" ht="17.25" customHeight="1">
      <c r="C683" s="15"/>
    </row>
    <row r="684" ht="17.25" customHeight="1">
      <c r="C684" s="15"/>
    </row>
    <row r="685" ht="17.25" customHeight="1">
      <c r="C685" s="15"/>
    </row>
    <row r="686" ht="17.25" customHeight="1">
      <c r="C686" s="15"/>
    </row>
    <row r="687" ht="17.25" customHeight="1">
      <c r="C687" s="15"/>
    </row>
    <row r="688" ht="17.25" customHeight="1">
      <c r="C688" s="15"/>
    </row>
    <row r="689" ht="17.25" customHeight="1">
      <c r="C689" s="15"/>
    </row>
    <row r="690" ht="17.25" customHeight="1">
      <c r="C690" s="15"/>
    </row>
    <row r="691" ht="17.25" customHeight="1">
      <c r="C691" s="15"/>
    </row>
    <row r="692" ht="17.25" customHeight="1">
      <c r="C692" s="15"/>
    </row>
    <row r="693" ht="17.25" customHeight="1">
      <c r="C693" s="15"/>
    </row>
    <row r="694" ht="17.25" customHeight="1">
      <c r="C694" s="15"/>
    </row>
    <row r="695" ht="17.25" customHeight="1">
      <c r="C695" s="15"/>
    </row>
    <row r="696" ht="17.25" customHeight="1">
      <c r="C696" s="15"/>
    </row>
    <row r="697" ht="17.25" customHeight="1">
      <c r="C697" s="15"/>
    </row>
    <row r="698" ht="17.25" customHeight="1">
      <c r="C698" s="15"/>
    </row>
    <row r="699" ht="17.25" customHeight="1">
      <c r="C699" s="15"/>
    </row>
    <row r="700" ht="17.25" customHeight="1">
      <c r="C700" s="15"/>
    </row>
    <row r="701" ht="17.25" customHeight="1">
      <c r="C701" s="15"/>
    </row>
    <row r="702" ht="17.25" customHeight="1">
      <c r="C702" s="15"/>
    </row>
    <row r="703" ht="17.25" customHeight="1">
      <c r="C703" s="15"/>
    </row>
    <row r="704" ht="17.25" customHeight="1">
      <c r="C704" s="15"/>
    </row>
    <row r="705" ht="17.25" customHeight="1">
      <c r="C705" s="15"/>
    </row>
    <row r="706" ht="17.25" customHeight="1">
      <c r="C706" s="15"/>
    </row>
    <row r="707" ht="17.25" customHeight="1">
      <c r="C707" s="15"/>
    </row>
    <row r="708" ht="17.25" customHeight="1">
      <c r="C708" s="15"/>
    </row>
    <row r="709" ht="17.25" customHeight="1">
      <c r="C709" s="15"/>
    </row>
    <row r="710" ht="17.25" customHeight="1">
      <c r="C710" s="15"/>
    </row>
    <row r="711" ht="17.25" customHeight="1">
      <c r="C711" s="15"/>
    </row>
    <row r="712" ht="17.25" customHeight="1">
      <c r="C712" s="15"/>
    </row>
    <row r="713" ht="17.25" customHeight="1">
      <c r="C713" s="15"/>
    </row>
    <row r="714" ht="17.25" customHeight="1">
      <c r="C714" s="15"/>
    </row>
    <row r="715" ht="17.25" customHeight="1">
      <c r="C715" s="15"/>
    </row>
    <row r="716" ht="17.25" customHeight="1">
      <c r="C716" s="15"/>
    </row>
    <row r="717" ht="17.25" customHeight="1">
      <c r="C717" s="15"/>
    </row>
    <row r="718" ht="17.25" customHeight="1">
      <c r="C718" s="15"/>
    </row>
    <row r="719" ht="17.25" customHeight="1">
      <c r="C719" s="15"/>
    </row>
    <row r="720" ht="17.25" customHeight="1">
      <c r="C720" s="15"/>
    </row>
    <row r="721" ht="17.25" customHeight="1">
      <c r="C721" s="15"/>
    </row>
    <row r="722" ht="17.25" customHeight="1">
      <c r="C722" s="15"/>
    </row>
    <row r="723" ht="17.25" customHeight="1">
      <c r="C723" s="15"/>
    </row>
    <row r="724" ht="17.25" customHeight="1">
      <c r="C724" s="15"/>
    </row>
    <row r="725" ht="17.25" customHeight="1">
      <c r="C725" s="15"/>
    </row>
    <row r="726" ht="17.25" customHeight="1">
      <c r="C726" s="15"/>
    </row>
    <row r="727" ht="17.25" customHeight="1">
      <c r="C727" s="15"/>
    </row>
    <row r="728" ht="17.25" customHeight="1">
      <c r="C728" s="15"/>
    </row>
    <row r="729" ht="17.25" customHeight="1">
      <c r="C729" s="15"/>
    </row>
    <row r="730" ht="17.25" customHeight="1">
      <c r="C730" s="15"/>
    </row>
    <row r="731" ht="17.25" customHeight="1">
      <c r="C731" s="15"/>
    </row>
    <row r="732" ht="17.25" customHeight="1">
      <c r="C732" s="15"/>
    </row>
    <row r="733" ht="17.25" customHeight="1">
      <c r="C733" s="15"/>
    </row>
    <row r="734" ht="17.25" customHeight="1">
      <c r="C734" s="15"/>
    </row>
    <row r="735" ht="17.25" customHeight="1">
      <c r="C735" s="15"/>
    </row>
    <row r="736" ht="17.25" customHeight="1">
      <c r="C736" s="15"/>
    </row>
    <row r="737" ht="17.25" customHeight="1">
      <c r="C737" s="15"/>
    </row>
    <row r="738" ht="17.25" customHeight="1">
      <c r="C738" s="15"/>
    </row>
    <row r="739" ht="17.25" customHeight="1">
      <c r="C739" s="15"/>
    </row>
    <row r="740" ht="17.25" customHeight="1">
      <c r="C740" s="15"/>
    </row>
    <row r="741" ht="17.25" customHeight="1">
      <c r="C741" s="15"/>
    </row>
    <row r="742" ht="17.25" customHeight="1">
      <c r="C742" s="15"/>
    </row>
    <row r="743" ht="17.25" customHeight="1">
      <c r="C743" s="15"/>
    </row>
    <row r="744" ht="17.25" customHeight="1">
      <c r="C744" s="15"/>
    </row>
    <row r="745" ht="17.25" customHeight="1">
      <c r="C745" s="15"/>
    </row>
    <row r="746" ht="17.25" customHeight="1">
      <c r="C746" s="15"/>
    </row>
    <row r="747" ht="17.25" customHeight="1">
      <c r="C747" s="15"/>
    </row>
    <row r="748" ht="17.25" customHeight="1">
      <c r="C748" s="15"/>
    </row>
    <row r="749" ht="17.25" customHeight="1">
      <c r="C749" s="15"/>
    </row>
    <row r="750" ht="17.25" customHeight="1">
      <c r="C750" s="15"/>
    </row>
    <row r="751" ht="17.25" customHeight="1">
      <c r="C751" s="15"/>
    </row>
    <row r="752" ht="17.25" customHeight="1">
      <c r="C752" s="15"/>
    </row>
    <row r="753" ht="17.25" customHeight="1">
      <c r="C753" s="15"/>
    </row>
    <row r="754" ht="17.25" customHeight="1">
      <c r="C754" s="15"/>
    </row>
    <row r="755" ht="17.25" customHeight="1">
      <c r="C755" s="15"/>
    </row>
    <row r="756" ht="17.25" customHeight="1">
      <c r="C756" s="15"/>
    </row>
    <row r="757" ht="17.25" customHeight="1">
      <c r="C757" s="15"/>
    </row>
    <row r="758" ht="17.25" customHeight="1">
      <c r="C758" s="15"/>
    </row>
    <row r="759" ht="17.25" customHeight="1">
      <c r="C759" s="15"/>
    </row>
    <row r="760" ht="17.25" customHeight="1">
      <c r="C760" s="15"/>
    </row>
    <row r="761" ht="17.25" customHeight="1">
      <c r="C761" s="15"/>
    </row>
    <row r="762" ht="17.25" customHeight="1">
      <c r="C762" s="15"/>
    </row>
    <row r="763" ht="17.25" customHeight="1">
      <c r="C763" s="15"/>
    </row>
    <row r="764" ht="17.25" customHeight="1">
      <c r="C764" s="15"/>
    </row>
    <row r="765" ht="17.25" customHeight="1">
      <c r="C765" s="15"/>
    </row>
    <row r="766" ht="17.25" customHeight="1">
      <c r="C766" s="15"/>
    </row>
    <row r="767" ht="17.25" customHeight="1">
      <c r="C767" s="15"/>
    </row>
    <row r="768" ht="17.25" customHeight="1">
      <c r="C768" s="15"/>
    </row>
    <row r="769" ht="17.25" customHeight="1">
      <c r="C769" s="15"/>
    </row>
    <row r="770" ht="17.25" customHeight="1">
      <c r="C770" s="15"/>
    </row>
    <row r="771" ht="17.25" customHeight="1">
      <c r="C771" s="15"/>
    </row>
    <row r="772" ht="17.25" customHeight="1">
      <c r="C772" s="15"/>
    </row>
    <row r="773" ht="17.25" customHeight="1">
      <c r="C773" s="15"/>
    </row>
    <row r="774" ht="17.25" customHeight="1">
      <c r="C774" s="15"/>
    </row>
    <row r="775" ht="17.25" customHeight="1">
      <c r="C775" s="15"/>
    </row>
    <row r="776" ht="17.25" customHeight="1">
      <c r="C776" s="15"/>
    </row>
    <row r="777" ht="17.25" customHeight="1">
      <c r="C777" s="15"/>
    </row>
    <row r="778" ht="17.25" customHeight="1">
      <c r="C778" s="15"/>
    </row>
    <row r="779" ht="17.25" customHeight="1">
      <c r="C779" s="15"/>
    </row>
    <row r="780" ht="17.25" customHeight="1">
      <c r="C780" s="15"/>
    </row>
    <row r="781" ht="17.25" customHeight="1">
      <c r="C781" s="15"/>
    </row>
    <row r="782" ht="17.25" customHeight="1">
      <c r="C782" s="15"/>
    </row>
    <row r="783" ht="17.25" customHeight="1">
      <c r="C783" s="15"/>
    </row>
    <row r="784" ht="17.25" customHeight="1">
      <c r="C784" s="15"/>
    </row>
    <row r="785" ht="17.25" customHeight="1">
      <c r="C785" s="15"/>
    </row>
    <row r="786" ht="17.25" customHeight="1">
      <c r="C786" s="15"/>
    </row>
    <row r="787" ht="17.25" customHeight="1">
      <c r="C787" s="15"/>
    </row>
    <row r="788" ht="17.25" customHeight="1">
      <c r="C788" s="15"/>
    </row>
    <row r="789" ht="17.25" customHeight="1">
      <c r="C789" s="15"/>
    </row>
    <row r="790" ht="17.25" customHeight="1">
      <c r="C790" s="15"/>
    </row>
    <row r="791" ht="17.25" customHeight="1">
      <c r="C791" s="15"/>
    </row>
    <row r="792" ht="17.25" customHeight="1">
      <c r="C792" s="15"/>
    </row>
    <row r="793" ht="17.25" customHeight="1">
      <c r="C793" s="15"/>
    </row>
    <row r="794" ht="17.25" customHeight="1">
      <c r="C794" s="15"/>
    </row>
    <row r="795" ht="17.25" customHeight="1">
      <c r="C795" s="15"/>
    </row>
    <row r="796" ht="17.25" customHeight="1">
      <c r="C796" s="15"/>
    </row>
    <row r="797" ht="17.25" customHeight="1">
      <c r="C797" s="15"/>
    </row>
    <row r="798" ht="17.25" customHeight="1">
      <c r="C798" s="15"/>
    </row>
    <row r="799" ht="17.25" customHeight="1">
      <c r="C799" s="15"/>
    </row>
    <row r="800" ht="17.25" customHeight="1">
      <c r="C800" s="15"/>
    </row>
    <row r="801" ht="17.25" customHeight="1">
      <c r="C801" s="15"/>
    </row>
    <row r="802" ht="17.25" customHeight="1">
      <c r="C802" s="15"/>
    </row>
    <row r="803" ht="17.25" customHeight="1">
      <c r="C803" s="15"/>
    </row>
    <row r="804" ht="17.25" customHeight="1">
      <c r="C804" s="15"/>
    </row>
    <row r="805" ht="17.25" customHeight="1">
      <c r="C805" s="15"/>
    </row>
    <row r="806" ht="17.25" customHeight="1">
      <c r="C806" s="15"/>
    </row>
    <row r="807" ht="17.25" customHeight="1">
      <c r="C807" s="15"/>
    </row>
    <row r="808" ht="17.25" customHeight="1">
      <c r="C808" s="15"/>
    </row>
    <row r="809" ht="17.25" customHeight="1">
      <c r="C809" s="15"/>
    </row>
    <row r="810" ht="17.25" customHeight="1">
      <c r="C810" s="15"/>
    </row>
    <row r="811" ht="17.25" customHeight="1">
      <c r="C811" s="15"/>
    </row>
    <row r="812" ht="17.25" customHeight="1">
      <c r="C812" s="15"/>
    </row>
    <row r="813" ht="17.25" customHeight="1">
      <c r="C813" s="15"/>
    </row>
    <row r="814" ht="17.25" customHeight="1">
      <c r="C814" s="15"/>
    </row>
    <row r="815" ht="17.25" customHeight="1">
      <c r="C815" s="15"/>
    </row>
    <row r="816" ht="17.25" customHeight="1">
      <c r="C816" s="15"/>
    </row>
    <row r="817" ht="17.25" customHeight="1">
      <c r="C817" s="15"/>
    </row>
    <row r="818" ht="17.25" customHeight="1">
      <c r="C818" s="15"/>
    </row>
    <row r="819" ht="17.25" customHeight="1">
      <c r="C819" s="15"/>
    </row>
    <row r="820" ht="17.25" customHeight="1">
      <c r="C820" s="15"/>
    </row>
    <row r="821" ht="17.25" customHeight="1">
      <c r="C821" s="15"/>
    </row>
    <row r="822" ht="17.25" customHeight="1">
      <c r="C822" s="15"/>
    </row>
    <row r="823" ht="17.25" customHeight="1">
      <c r="C823" s="15"/>
    </row>
    <row r="824" ht="17.25" customHeight="1">
      <c r="C824" s="15"/>
    </row>
    <row r="825" ht="17.25" customHeight="1">
      <c r="C825" s="15"/>
    </row>
    <row r="826" ht="17.25" customHeight="1">
      <c r="C826" s="15"/>
    </row>
    <row r="827" ht="17.25" customHeight="1">
      <c r="C827" s="15"/>
    </row>
    <row r="828" ht="17.25" customHeight="1">
      <c r="C828" s="15"/>
    </row>
    <row r="829" ht="17.25" customHeight="1">
      <c r="C829" s="15"/>
    </row>
    <row r="830" ht="17.25" customHeight="1">
      <c r="C830" s="15"/>
    </row>
    <row r="831" ht="17.25" customHeight="1">
      <c r="C831" s="15"/>
    </row>
    <row r="832" ht="17.25" customHeight="1">
      <c r="C832" s="15"/>
    </row>
    <row r="833" ht="17.25" customHeight="1">
      <c r="C833" s="15"/>
    </row>
    <row r="834" ht="17.25" customHeight="1">
      <c r="C834" s="15"/>
    </row>
    <row r="835" ht="17.25" customHeight="1">
      <c r="C835" s="15"/>
    </row>
    <row r="836" ht="17.25" customHeight="1">
      <c r="C836" s="15"/>
    </row>
    <row r="837" ht="17.25" customHeight="1">
      <c r="C837" s="15"/>
    </row>
    <row r="838" ht="17.25" customHeight="1">
      <c r="C838" s="15"/>
    </row>
    <row r="839" ht="17.25" customHeight="1">
      <c r="C839" s="15"/>
    </row>
    <row r="840" ht="17.25" customHeight="1">
      <c r="C840" s="15"/>
    </row>
    <row r="841" ht="17.25" customHeight="1">
      <c r="C841" s="15"/>
    </row>
    <row r="842" ht="17.25" customHeight="1">
      <c r="C842" s="15"/>
    </row>
    <row r="843" ht="17.25" customHeight="1">
      <c r="C843" s="15"/>
    </row>
    <row r="844" ht="17.25" customHeight="1">
      <c r="C844" s="15"/>
    </row>
    <row r="845" ht="17.25" customHeight="1">
      <c r="C845" s="15"/>
    </row>
    <row r="846" ht="17.25" customHeight="1">
      <c r="C846" s="15"/>
    </row>
    <row r="847" ht="17.25" customHeight="1">
      <c r="C847" s="15"/>
    </row>
    <row r="848" ht="17.25" customHeight="1">
      <c r="C848" s="15"/>
    </row>
    <row r="849" ht="17.25" customHeight="1">
      <c r="C849" s="15"/>
    </row>
    <row r="850" ht="17.25" customHeight="1">
      <c r="C850" s="15"/>
    </row>
    <row r="851" ht="17.25" customHeight="1">
      <c r="C851" s="15"/>
    </row>
    <row r="852" ht="17.25" customHeight="1">
      <c r="C852" s="15"/>
    </row>
    <row r="853" ht="17.25" customHeight="1">
      <c r="C853" s="15"/>
    </row>
    <row r="854" ht="17.25" customHeight="1">
      <c r="C854" s="15"/>
    </row>
    <row r="855" ht="17.25" customHeight="1">
      <c r="C855" s="15"/>
    </row>
    <row r="856" ht="17.25" customHeight="1">
      <c r="C856" s="15"/>
    </row>
    <row r="857" ht="17.25" customHeight="1">
      <c r="C857" s="15"/>
    </row>
    <row r="858" ht="17.25" customHeight="1">
      <c r="C858" s="15"/>
    </row>
    <row r="859" ht="17.25" customHeight="1">
      <c r="C859" s="15"/>
    </row>
    <row r="860" ht="17.25" customHeight="1">
      <c r="C860" s="15"/>
    </row>
    <row r="861" ht="17.25" customHeight="1">
      <c r="C861" s="15"/>
    </row>
    <row r="862" ht="17.25" customHeight="1">
      <c r="C862" s="15"/>
    </row>
    <row r="863" ht="17.25" customHeight="1">
      <c r="C863" s="15"/>
    </row>
    <row r="864" ht="17.25" customHeight="1">
      <c r="C864" s="15"/>
    </row>
    <row r="865" ht="17.25" customHeight="1">
      <c r="C865" s="15"/>
    </row>
    <row r="866" ht="17.25" customHeight="1">
      <c r="C866" s="15"/>
    </row>
    <row r="867" ht="17.25" customHeight="1">
      <c r="C867" s="15"/>
    </row>
    <row r="868" ht="17.25" customHeight="1">
      <c r="C868" s="15"/>
    </row>
    <row r="869" ht="17.25" customHeight="1">
      <c r="C869" s="15"/>
    </row>
    <row r="870" ht="17.25" customHeight="1">
      <c r="C870" s="15"/>
    </row>
    <row r="871" ht="17.25" customHeight="1">
      <c r="C871" s="15"/>
    </row>
    <row r="872" ht="17.25" customHeight="1">
      <c r="C872" s="15"/>
    </row>
    <row r="873" ht="17.25" customHeight="1">
      <c r="C873" s="15"/>
    </row>
    <row r="874" ht="17.25" customHeight="1">
      <c r="C874" s="15"/>
    </row>
    <row r="875" ht="17.25" customHeight="1">
      <c r="C875" s="15"/>
    </row>
    <row r="876" ht="17.25" customHeight="1">
      <c r="C876" s="15"/>
    </row>
    <row r="877" ht="17.25" customHeight="1">
      <c r="C877" s="15"/>
    </row>
    <row r="878" ht="17.25" customHeight="1">
      <c r="C878" s="15"/>
    </row>
    <row r="879" ht="17.25" customHeight="1">
      <c r="C879" s="15"/>
    </row>
    <row r="880" ht="17.25" customHeight="1">
      <c r="C880" s="15"/>
    </row>
    <row r="881" ht="17.25" customHeight="1">
      <c r="C881" s="15"/>
    </row>
    <row r="882" ht="17.25" customHeight="1">
      <c r="C882" s="15"/>
    </row>
    <row r="883" ht="17.25" customHeight="1">
      <c r="C883" s="15"/>
    </row>
    <row r="884" ht="17.25" customHeight="1">
      <c r="C884" s="15"/>
    </row>
    <row r="885" ht="17.25" customHeight="1">
      <c r="C885" s="15"/>
    </row>
    <row r="886" ht="17.25" customHeight="1">
      <c r="C886" s="15"/>
    </row>
    <row r="887" ht="17.25" customHeight="1">
      <c r="C887" s="15"/>
    </row>
    <row r="888" ht="17.25" customHeight="1">
      <c r="C888" s="15"/>
    </row>
    <row r="889" ht="17.25" customHeight="1">
      <c r="C889" s="15"/>
    </row>
    <row r="890" ht="17.25" customHeight="1">
      <c r="C890" s="15"/>
    </row>
    <row r="891" ht="17.25" customHeight="1">
      <c r="C891" s="15"/>
    </row>
    <row r="892" ht="17.25" customHeight="1">
      <c r="C892" s="15"/>
    </row>
    <row r="893" ht="17.25" customHeight="1">
      <c r="C893" s="15"/>
    </row>
    <row r="894" ht="17.25" customHeight="1">
      <c r="C894" s="15"/>
    </row>
    <row r="895" ht="17.25" customHeight="1">
      <c r="C895" s="15"/>
    </row>
    <row r="896" ht="17.25" customHeight="1">
      <c r="C896" s="15"/>
    </row>
    <row r="897" ht="17.25" customHeight="1">
      <c r="C897" s="15"/>
    </row>
    <row r="898" ht="17.25" customHeight="1">
      <c r="C898" s="15"/>
    </row>
    <row r="899" ht="17.25" customHeight="1">
      <c r="C899" s="15"/>
    </row>
    <row r="900" ht="17.25" customHeight="1">
      <c r="C900" s="15"/>
    </row>
    <row r="901" ht="17.25" customHeight="1">
      <c r="C901" s="15"/>
    </row>
    <row r="902" ht="17.25" customHeight="1">
      <c r="C902" s="15"/>
    </row>
    <row r="903" ht="17.25" customHeight="1">
      <c r="C903" s="15"/>
    </row>
    <row r="904" ht="17.25" customHeight="1">
      <c r="C904" s="15"/>
    </row>
    <row r="905" ht="17.25" customHeight="1">
      <c r="C905" s="15"/>
    </row>
    <row r="906" ht="17.25" customHeight="1">
      <c r="C906" s="15"/>
    </row>
    <row r="907" ht="17.25" customHeight="1">
      <c r="C907" s="15"/>
    </row>
    <row r="908" ht="17.25" customHeight="1">
      <c r="C908" s="15"/>
    </row>
    <row r="909" ht="17.25" customHeight="1">
      <c r="C909" s="15"/>
    </row>
    <row r="910" ht="17.25" customHeight="1">
      <c r="C910" s="15"/>
    </row>
    <row r="911" ht="17.25" customHeight="1">
      <c r="C911" s="15"/>
    </row>
    <row r="912" ht="17.25" customHeight="1">
      <c r="C912" s="15"/>
    </row>
    <row r="913" ht="17.25" customHeight="1">
      <c r="C913" s="15"/>
    </row>
    <row r="914" ht="17.25" customHeight="1">
      <c r="C914" s="15"/>
    </row>
    <row r="915" ht="17.25" customHeight="1">
      <c r="C915" s="15"/>
    </row>
    <row r="916" ht="17.25" customHeight="1">
      <c r="C916" s="15"/>
    </row>
    <row r="917" ht="17.25" customHeight="1">
      <c r="C917" s="15"/>
    </row>
    <row r="918" ht="17.25" customHeight="1">
      <c r="C918" s="15"/>
    </row>
    <row r="919" ht="17.25" customHeight="1">
      <c r="C919" s="15"/>
    </row>
    <row r="920" ht="17.25" customHeight="1">
      <c r="C920" s="15"/>
    </row>
    <row r="921" ht="17.25" customHeight="1">
      <c r="C921" s="15"/>
    </row>
    <row r="922" ht="17.25" customHeight="1">
      <c r="C922" s="15"/>
    </row>
    <row r="923" ht="17.25" customHeight="1">
      <c r="C923" s="15"/>
    </row>
    <row r="924" ht="17.25" customHeight="1">
      <c r="C924" s="15"/>
    </row>
    <row r="925" ht="17.25" customHeight="1">
      <c r="C925" s="15"/>
    </row>
    <row r="926" ht="17.25" customHeight="1">
      <c r="C926" s="15"/>
    </row>
    <row r="927" ht="17.25" customHeight="1">
      <c r="C927" s="15"/>
    </row>
    <row r="928" ht="17.25" customHeight="1">
      <c r="C928" s="15"/>
    </row>
    <row r="929" ht="17.25" customHeight="1">
      <c r="C929" s="15"/>
    </row>
    <row r="930" ht="17.25" customHeight="1">
      <c r="C930" s="15"/>
    </row>
    <row r="931" ht="17.25" customHeight="1">
      <c r="C931" s="15"/>
    </row>
    <row r="932" ht="17.25" customHeight="1">
      <c r="C932" s="15"/>
    </row>
    <row r="933" ht="17.25" customHeight="1">
      <c r="C933" s="15"/>
    </row>
    <row r="934" ht="17.25" customHeight="1">
      <c r="C934" s="15"/>
    </row>
    <row r="935" ht="17.25" customHeight="1">
      <c r="C935" s="15"/>
    </row>
    <row r="936" ht="17.25" customHeight="1">
      <c r="C936" s="15"/>
    </row>
    <row r="937" ht="17.25" customHeight="1">
      <c r="C937" s="15"/>
    </row>
    <row r="938" ht="17.25" customHeight="1">
      <c r="C938" s="15"/>
    </row>
    <row r="939" ht="17.25" customHeight="1">
      <c r="C939" s="15"/>
    </row>
    <row r="940" ht="17.25" customHeight="1">
      <c r="C940" s="15"/>
    </row>
    <row r="941" ht="17.25" customHeight="1">
      <c r="C941" s="15"/>
    </row>
    <row r="942" ht="17.25" customHeight="1">
      <c r="C942" s="15"/>
    </row>
    <row r="943" ht="17.25" customHeight="1">
      <c r="C943" s="15"/>
    </row>
    <row r="944" ht="17.25" customHeight="1">
      <c r="C944" s="15"/>
    </row>
    <row r="945" ht="17.25" customHeight="1">
      <c r="C945" s="15"/>
    </row>
    <row r="946" ht="17.25" customHeight="1">
      <c r="C946" s="15"/>
    </row>
    <row r="947" ht="17.25" customHeight="1">
      <c r="C947" s="15"/>
    </row>
    <row r="948" ht="17.25" customHeight="1">
      <c r="C948" s="15"/>
    </row>
    <row r="949" ht="17.25" customHeight="1">
      <c r="C949" s="15"/>
    </row>
    <row r="950" ht="17.25" customHeight="1">
      <c r="C950" s="15"/>
    </row>
    <row r="951" ht="17.25" customHeight="1">
      <c r="C951" s="15"/>
    </row>
    <row r="952" ht="17.25" customHeight="1">
      <c r="C952" s="15"/>
    </row>
    <row r="953" ht="17.25" customHeight="1">
      <c r="C953" s="15"/>
    </row>
    <row r="954" ht="17.25" customHeight="1">
      <c r="C954" s="15"/>
    </row>
    <row r="955" ht="17.25" customHeight="1">
      <c r="C955" s="15"/>
    </row>
    <row r="956" ht="17.25" customHeight="1">
      <c r="C956" s="15"/>
    </row>
    <row r="957" ht="17.25" customHeight="1">
      <c r="C957" s="15"/>
    </row>
    <row r="958" ht="17.25" customHeight="1">
      <c r="C958" s="15"/>
    </row>
    <row r="959" ht="17.25" customHeight="1">
      <c r="C959" s="15"/>
    </row>
    <row r="960" ht="17.25" customHeight="1">
      <c r="C960" s="15"/>
    </row>
    <row r="961" ht="17.25" customHeight="1">
      <c r="C961" s="15"/>
    </row>
    <row r="962" ht="17.25" customHeight="1">
      <c r="C962" s="15"/>
    </row>
    <row r="963" ht="17.25" customHeight="1">
      <c r="C963" s="15"/>
    </row>
    <row r="964" ht="17.25" customHeight="1">
      <c r="C964" s="15"/>
    </row>
    <row r="965" ht="17.25" customHeight="1">
      <c r="C965" s="15"/>
    </row>
    <row r="966" ht="17.25" customHeight="1">
      <c r="C966" s="15"/>
    </row>
    <row r="967" ht="17.25" customHeight="1">
      <c r="C967" s="15"/>
    </row>
    <row r="968" ht="17.25" customHeight="1">
      <c r="C968" s="15"/>
    </row>
    <row r="969" ht="17.25" customHeight="1">
      <c r="C969" s="15"/>
    </row>
    <row r="970" ht="17.25" customHeight="1">
      <c r="C970" s="15"/>
    </row>
    <row r="971" ht="17.25" customHeight="1">
      <c r="C971" s="15"/>
    </row>
    <row r="972" ht="17.25" customHeight="1">
      <c r="C972" s="15"/>
    </row>
    <row r="973" ht="17.25" customHeight="1">
      <c r="C973" s="15"/>
    </row>
    <row r="974" ht="17.25" customHeight="1">
      <c r="C974" s="15"/>
    </row>
    <row r="975" ht="17.25" customHeight="1">
      <c r="C975" s="15"/>
    </row>
    <row r="976" ht="17.25" customHeight="1">
      <c r="C976" s="15"/>
    </row>
    <row r="977" ht="17.25" customHeight="1">
      <c r="C977" s="15"/>
    </row>
    <row r="978" ht="17.25" customHeight="1">
      <c r="C978" s="15"/>
    </row>
    <row r="979" ht="17.25" customHeight="1">
      <c r="C979" s="15"/>
    </row>
    <row r="980" ht="17.25" customHeight="1">
      <c r="C980" s="15"/>
    </row>
    <row r="981" ht="17.25" customHeight="1">
      <c r="C981" s="15"/>
    </row>
    <row r="982" ht="17.25" customHeight="1">
      <c r="C982" s="15"/>
    </row>
    <row r="983" ht="17.25" customHeight="1">
      <c r="C983" s="15"/>
    </row>
    <row r="984" ht="17.25" customHeight="1">
      <c r="C984" s="15"/>
    </row>
    <row r="985" ht="17.25" customHeight="1">
      <c r="C985" s="15"/>
    </row>
    <row r="986" ht="17.25" customHeight="1">
      <c r="C986" s="15"/>
    </row>
    <row r="987" ht="17.25" customHeight="1">
      <c r="C987" s="15"/>
    </row>
    <row r="988" ht="17.25" customHeight="1">
      <c r="C988" s="15"/>
    </row>
    <row r="989" ht="17.25" customHeight="1">
      <c r="C989" s="15"/>
    </row>
    <row r="990" ht="17.25" customHeight="1">
      <c r="C990" s="15"/>
    </row>
    <row r="991" ht="17.25" customHeight="1">
      <c r="C991" s="15"/>
    </row>
    <row r="992" ht="17.25" customHeight="1">
      <c r="C992" s="15"/>
    </row>
    <row r="993" ht="17.25" customHeight="1">
      <c r="C993" s="15"/>
    </row>
    <row r="994" ht="17.25" customHeight="1">
      <c r="C994" s="15"/>
    </row>
    <row r="995" ht="17.25" customHeight="1">
      <c r="C995" s="15"/>
    </row>
    <row r="996" ht="17.25" customHeight="1">
      <c r="C996" s="15"/>
    </row>
    <row r="997" ht="17.25" customHeight="1">
      <c r="C997" s="15"/>
    </row>
    <row r="998" ht="17.25" customHeight="1">
      <c r="C998" s="15"/>
    </row>
    <row r="999" ht="17.25" customHeight="1">
      <c r="C999" s="15"/>
    </row>
    <row r="1000" ht="17.25" customHeight="1">
      <c r="C1000" s="15"/>
    </row>
    <row r="1001" ht="17.25" customHeight="1">
      <c r="C1001" s="15"/>
    </row>
  </sheetData>
  <conditionalFormatting sqref="E2:E51">
    <cfRule type="cellIs" dxfId="0" priority="1" operator="lessThan">
      <formula>15</formula>
    </cfRule>
  </conditionalFormatting>
  <conditionalFormatting sqref="E2:E51">
    <cfRule type="cellIs" dxfId="1" priority="2" operator="between">
      <formula>15</formula>
      <formula>27</formula>
    </cfRule>
  </conditionalFormatting>
  <conditionalFormatting sqref="F2:F23">
    <cfRule type="cellIs" dxfId="2" priority="3" operator="greaterThanOrEqual">
      <formula>150</formula>
    </cfRule>
  </conditionalFormatting>
  <conditionalFormatting sqref="E2:E37">
    <cfRule type="cellIs" dxfId="3" priority="4" operator="greaterThan">
      <formula>27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8.14"/>
    <col customWidth="1" min="3" max="3" width="9.0"/>
    <col customWidth="1" min="4" max="4" width="8.57"/>
    <col customWidth="1" min="5" max="5" width="26.29"/>
    <col customWidth="1" min="6" max="6" width="13.86"/>
    <col customWidth="1" min="7" max="7" width="22.0"/>
    <col customWidth="1" min="8" max="8" width="16.57"/>
    <col customWidth="1" min="9" max="9" width="21.14"/>
    <col customWidth="1" min="10" max="10" width="27.43"/>
    <col customWidth="1" min="12" max="13" width="8.57"/>
    <col customWidth="1" min="14" max="14" width="3.57"/>
    <col customWidth="1" min="15" max="18" width="8.57"/>
  </cols>
  <sheetData>
    <row r="1" ht="15.0" customHeight="1">
      <c r="A1" s="16" t="s">
        <v>49</v>
      </c>
      <c r="B1" s="16" t="s">
        <v>50</v>
      </c>
      <c r="C1" s="16" t="s">
        <v>51</v>
      </c>
      <c r="D1" s="17" t="s">
        <v>52</v>
      </c>
      <c r="E1" s="17" t="s">
        <v>53</v>
      </c>
      <c r="F1" s="18"/>
      <c r="G1" s="19" t="s">
        <v>54</v>
      </c>
      <c r="H1" s="20" t="s">
        <v>55</v>
      </c>
      <c r="I1" s="21"/>
      <c r="J1" s="22" t="s">
        <v>56</v>
      </c>
      <c r="K1" s="23" t="s">
        <v>57</v>
      </c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ht="15.0" customHeight="1">
      <c r="A2" s="24"/>
      <c r="B2" s="24"/>
      <c r="C2" s="24"/>
      <c r="D2" s="25"/>
      <c r="E2" s="26"/>
      <c r="F2" s="18"/>
      <c r="G2" s="27"/>
      <c r="H2" s="28" t="s">
        <v>58</v>
      </c>
      <c r="I2" s="29"/>
      <c r="J2" s="30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ht="15.0" customHeight="1">
      <c r="A3" s="31" t="s">
        <v>59</v>
      </c>
      <c r="B3" s="24" t="s">
        <v>60</v>
      </c>
      <c r="C3" s="32" t="s">
        <v>61</v>
      </c>
      <c r="D3" s="25">
        <v>1.5</v>
      </c>
      <c r="E3" s="26" t="s">
        <v>5</v>
      </c>
      <c r="F3" s="18"/>
      <c r="G3" s="18"/>
      <c r="H3" s="33">
        <v>46259.0</v>
      </c>
      <c r="I3" s="34"/>
      <c r="J3" s="35"/>
      <c r="K3" s="6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ht="15.0" customHeight="1">
      <c r="A4" s="24" t="s">
        <v>62</v>
      </c>
      <c r="B4" s="24"/>
      <c r="C4" s="24"/>
      <c r="D4" s="25">
        <v>1.5</v>
      </c>
      <c r="E4" s="26" t="s">
        <v>22</v>
      </c>
      <c r="F4" s="18"/>
      <c r="G4" s="6"/>
      <c r="H4" s="36" t="s">
        <v>63</v>
      </c>
      <c r="I4" s="34"/>
      <c r="J4" s="37"/>
      <c r="L4" s="26"/>
      <c r="M4" s="38"/>
      <c r="N4" s="39"/>
      <c r="O4" s="39"/>
      <c r="P4" s="39"/>
      <c r="Q4" s="39"/>
      <c r="R4" s="39"/>
      <c r="S4" s="39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ht="15.0" customHeight="1">
      <c r="B5" s="24"/>
      <c r="C5" s="32" t="s">
        <v>64</v>
      </c>
      <c r="D5" s="25">
        <v>1.5</v>
      </c>
      <c r="E5" s="26" t="s">
        <v>22</v>
      </c>
      <c r="F5" s="18"/>
      <c r="G5" s="6"/>
      <c r="H5" s="40"/>
      <c r="I5" s="34"/>
      <c r="J5" s="37"/>
      <c r="L5" s="26"/>
      <c r="M5" s="38" t="s">
        <v>65</v>
      </c>
      <c r="N5" s="39"/>
      <c r="O5" s="39" t="s">
        <v>66</v>
      </c>
      <c r="P5" s="39"/>
      <c r="Q5" s="39"/>
      <c r="R5" s="39"/>
      <c r="S5" s="39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ht="15.0" customHeight="1">
      <c r="A6" s="24"/>
      <c r="B6" s="24"/>
      <c r="C6" s="24"/>
      <c r="D6" s="25">
        <v>1.5</v>
      </c>
      <c r="E6" s="26" t="s">
        <v>5</v>
      </c>
      <c r="F6" s="18"/>
      <c r="G6" s="18"/>
      <c r="H6" s="36"/>
      <c r="I6" s="34"/>
      <c r="J6" s="35"/>
      <c r="L6" s="26"/>
      <c r="M6" s="38"/>
      <c r="N6" s="39"/>
      <c r="O6" s="39"/>
      <c r="P6" s="39"/>
      <c r="Q6" s="39"/>
      <c r="R6" s="39"/>
      <c r="S6" s="39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ht="15.0" customHeight="1">
      <c r="A7" s="24"/>
      <c r="B7" s="24"/>
      <c r="C7" s="24" t="s">
        <v>67</v>
      </c>
      <c r="D7" s="25">
        <v>1.5</v>
      </c>
      <c r="E7" s="26" t="s">
        <v>5</v>
      </c>
      <c r="F7" s="18"/>
      <c r="G7" s="18"/>
      <c r="H7" s="36"/>
      <c r="I7" s="34"/>
      <c r="J7" s="35"/>
      <c r="L7" s="26"/>
      <c r="M7" s="38" t="s">
        <v>68</v>
      </c>
      <c r="N7" s="39"/>
      <c r="O7" s="39"/>
      <c r="P7" s="39"/>
      <c r="Q7" s="39"/>
      <c r="R7" s="39"/>
      <c r="S7" s="39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ht="15.0" customHeight="1">
      <c r="A8" s="24"/>
      <c r="B8" s="24"/>
      <c r="C8" s="24"/>
      <c r="D8" s="25">
        <v>1.5</v>
      </c>
      <c r="E8" s="26" t="s">
        <v>22</v>
      </c>
      <c r="F8" s="18"/>
      <c r="G8" s="18"/>
      <c r="H8" s="36"/>
      <c r="I8" s="41"/>
      <c r="J8" s="35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ht="15.0" customHeight="1">
      <c r="A9" s="24"/>
      <c r="B9" s="24"/>
      <c r="C9" s="42" t="s">
        <v>69</v>
      </c>
      <c r="D9" s="43">
        <v>3.0</v>
      </c>
      <c r="E9" s="44"/>
      <c r="F9" s="45" t="s">
        <v>70</v>
      </c>
      <c r="G9" s="18"/>
      <c r="H9" s="36"/>
      <c r="I9" s="41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ht="15.0" customHeight="1">
      <c r="A10" s="24"/>
      <c r="B10" s="24"/>
      <c r="C10" s="24"/>
      <c r="D10" s="25"/>
      <c r="E10" s="26"/>
      <c r="F10" s="18"/>
      <c r="G10" s="18"/>
      <c r="H10" s="36"/>
      <c r="I10" s="41"/>
      <c r="J10" s="35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ht="15.0" customHeight="1">
      <c r="A11" s="24"/>
      <c r="B11" s="24" t="s">
        <v>71</v>
      </c>
      <c r="C11" s="32" t="s">
        <v>61</v>
      </c>
      <c r="D11" s="25">
        <v>3.0</v>
      </c>
      <c r="E11" s="46" t="s">
        <v>12</v>
      </c>
      <c r="F11" s="18"/>
      <c r="G11" s="18"/>
      <c r="H11" s="33">
        <v>46260.0</v>
      </c>
      <c r="I11" s="34"/>
      <c r="J11" s="35"/>
      <c r="K11" s="6"/>
      <c r="L11" s="4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ht="15.0" customHeight="1">
      <c r="A12" s="24"/>
      <c r="B12" s="24"/>
      <c r="C12" s="32" t="s">
        <v>64</v>
      </c>
      <c r="D12" s="25">
        <v>3.0</v>
      </c>
      <c r="E12" s="46" t="s">
        <v>23</v>
      </c>
      <c r="F12" s="18"/>
      <c r="G12" s="6"/>
      <c r="H12" s="36" t="s">
        <v>72</v>
      </c>
      <c r="I12" s="34"/>
      <c r="J12" s="3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ht="15.0" customHeight="1">
      <c r="A13" s="24"/>
      <c r="B13" s="24"/>
      <c r="C13" s="32" t="s">
        <v>73</v>
      </c>
      <c r="D13" s="25">
        <v>3.0</v>
      </c>
      <c r="E13" s="26" t="s">
        <v>17</v>
      </c>
      <c r="F13" s="47"/>
      <c r="G13" s="18"/>
      <c r="H13" s="36"/>
      <c r="I13" s="34"/>
      <c r="J13" s="3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t="15.0" customHeight="1">
      <c r="A14" s="18"/>
      <c r="B14" s="18"/>
      <c r="C14" s="24" t="s">
        <v>74</v>
      </c>
      <c r="D14" s="25">
        <v>3.0</v>
      </c>
      <c r="E14" s="26" t="s">
        <v>2</v>
      </c>
      <c r="F14" s="18"/>
      <c r="G14" s="18"/>
      <c r="H14" s="36"/>
      <c r="I14" s="34"/>
      <c r="J14" s="3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15.0" customHeight="1">
      <c r="A15" s="24"/>
      <c r="B15" s="24"/>
      <c r="C15" s="48" t="s">
        <v>67</v>
      </c>
      <c r="D15" s="49">
        <v>3.0</v>
      </c>
      <c r="E15" s="50" t="s">
        <v>26</v>
      </c>
      <c r="F15" s="47"/>
      <c r="G15" s="18"/>
      <c r="H15" s="36"/>
      <c r="I15" s="34"/>
      <c r="J15" s="35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15.0" customHeight="1">
      <c r="A16" s="24"/>
      <c r="B16" s="24"/>
      <c r="C16" s="48"/>
      <c r="D16" s="49"/>
      <c r="E16" s="51"/>
      <c r="F16" s="18"/>
      <c r="G16" s="18"/>
      <c r="H16" s="36"/>
      <c r="I16" s="34"/>
      <c r="J16" s="3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15.0" customHeight="1">
      <c r="A17" s="24"/>
      <c r="B17" s="24"/>
      <c r="C17" s="48"/>
      <c r="D17" s="49"/>
      <c r="E17" s="51"/>
      <c r="F17" s="18"/>
      <c r="G17" s="18"/>
      <c r="H17" s="36"/>
      <c r="I17" s="34"/>
      <c r="J17" s="35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15.0" customHeight="1">
      <c r="A18" s="24"/>
      <c r="B18" s="24" t="s">
        <v>75</v>
      </c>
      <c r="C18" s="52" t="s">
        <v>61</v>
      </c>
      <c r="D18" s="49">
        <v>3.0</v>
      </c>
      <c r="E18" s="53" t="s">
        <v>12</v>
      </c>
      <c r="F18" s="18"/>
      <c r="G18" s="18"/>
      <c r="H18" s="33">
        <v>46261.0</v>
      </c>
      <c r="I18" s="34"/>
      <c r="J18" s="54" t="s">
        <v>76</v>
      </c>
      <c r="K18" s="6"/>
      <c r="L18" s="4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15.0" customHeight="1">
      <c r="A19" s="24"/>
      <c r="B19" s="18"/>
      <c r="C19" s="52" t="s">
        <v>64</v>
      </c>
      <c r="D19" s="49">
        <v>3.0</v>
      </c>
      <c r="E19" s="53" t="s">
        <v>4</v>
      </c>
      <c r="F19" s="18"/>
      <c r="G19" s="6"/>
      <c r="H19" s="36" t="s">
        <v>63</v>
      </c>
      <c r="I19" s="34"/>
      <c r="J19" s="3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15.0" customHeight="1">
      <c r="A20" s="24"/>
      <c r="B20" s="24"/>
      <c r="C20" s="48" t="s">
        <v>73</v>
      </c>
      <c r="D20" s="49">
        <v>3.0</v>
      </c>
      <c r="E20" s="53" t="s">
        <v>3</v>
      </c>
      <c r="F20" s="18"/>
      <c r="G20" s="18"/>
      <c r="H20" s="36"/>
      <c r="I20" s="34"/>
      <c r="J20" s="35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5.0" customHeight="1">
      <c r="A21" s="24"/>
      <c r="B21" s="24"/>
      <c r="C21" s="48" t="s">
        <v>74</v>
      </c>
      <c r="D21" s="49">
        <v>3.0</v>
      </c>
      <c r="E21" s="53" t="s">
        <v>12</v>
      </c>
      <c r="F21" s="18"/>
      <c r="G21" s="18"/>
      <c r="H21" s="36"/>
      <c r="I21" s="34"/>
      <c r="J21" s="35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15.0" customHeight="1">
      <c r="A22" s="24"/>
      <c r="B22" s="24"/>
      <c r="C22" s="48" t="s">
        <v>67</v>
      </c>
      <c r="D22" s="49">
        <v>3.0</v>
      </c>
      <c r="E22" s="53" t="s">
        <v>3</v>
      </c>
      <c r="F22" s="18"/>
      <c r="G22" s="18"/>
      <c r="H22" s="36"/>
      <c r="I22" s="34"/>
      <c r="J22" s="35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15.0" customHeight="1">
      <c r="A23" s="24"/>
      <c r="B23" s="24"/>
      <c r="C23" s="48"/>
      <c r="D23" s="49"/>
      <c r="E23" s="51"/>
      <c r="F23" s="18"/>
      <c r="G23" s="18"/>
      <c r="H23" s="36"/>
      <c r="I23" s="34"/>
      <c r="J23" s="35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15.0" customHeight="1">
      <c r="A24" s="24"/>
      <c r="B24" s="24"/>
      <c r="C24" s="24"/>
      <c r="D24" s="25"/>
      <c r="E24" s="26"/>
      <c r="F24" s="18"/>
      <c r="G24" s="18"/>
      <c r="H24" s="36"/>
      <c r="I24" s="34"/>
      <c r="J24" s="35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t="15.0" customHeight="1">
      <c r="A25" s="31" t="s">
        <v>77</v>
      </c>
      <c r="B25" s="24" t="s">
        <v>78</v>
      </c>
      <c r="C25" s="24" t="s">
        <v>61</v>
      </c>
      <c r="D25" s="25">
        <v>3.0</v>
      </c>
      <c r="E25" s="26" t="s">
        <v>13</v>
      </c>
      <c r="F25" s="18"/>
      <c r="G25" s="18"/>
      <c r="H25" s="33">
        <v>46259.0</v>
      </c>
      <c r="I25" s="34"/>
      <c r="J25" s="55"/>
      <c r="K25" s="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5.0" customHeight="1">
      <c r="A26" s="24" t="s">
        <v>62</v>
      </c>
      <c r="B26" s="24"/>
      <c r="C26" s="24" t="s">
        <v>64</v>
      </c>
      <c r="D26" s="25">
        <v>3.0</v>
      </c>
      <c r="E26" s="26" t="s">
        <v>19</v>
      </c>
      <c r="F26" s="18"/>
      <c r="G26" s="6"/>
      <c r="H26" s="56" t="s">
        <v>79</v>
      </c>
      <c r="I26" s="41"/>
      <c r="J26" s="37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5.0" customHeight="1">
      <c r="A27" s="24"/>
      <c r="B27" s="24"/>
      <c r="C27" s="24" t="s">
        <v>67</v>
      </c>
      <c r="D27" s="25">
        <v>3.0</v>
      </c>
      <c r="E27" s="26" t="s">
        <v>13</v>
      </c>
      <c r="F27" s="18"/>
      <c r="G27" s="18"/>
      <c r="H27" s="36"/>
      <c r="I27" s="34"/>
      <c r="J27" s="35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t="15.0" customHeight="1">
      <c r="A28" s="24"/>
      <c r="B28" s="24"/>
      <c r="C28" s="24"/>
      <c r="D28" s="25"/>
      <c r="E28" s="26"/>
      <c r="F28" s="18"/>
      <c r="G28" s="18"/>
      <c r="H28" s="36"/>
      <c r="I28" s="34"/>
      <c r="J28" s="35"/>
      <c r="K28" s="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t="15.0" customHeight="1">
      <c r="A29" s="24"/>
      <c r="B29" s="24" t="s">
        <v>80</v>
      </c>
      <c r="C29" s="24" t="s">
        <v>61</v>
      </c>
      <c r="D29" s="25">
        <v>3.0</v>
      </c>
      <c r="E29" s="26" t="s">
        <v>10</v>
      </c>
      <c r="F29" s="18"/>
      <c r="G29" s="18"/>
      <c r="H29" s="33">
        <v>46260.0</v>
      </c>
      <c r="I29" s="34"/>
      <c r="J29" s="35"/>
      <c r="K29" s="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ht="15.0" customHeight="1">
      <c r="A30" s="24"/>
      <c r="B30" s="24"/>
      <c r="C30" s="24" t="s">
        <v>64</v>
      </c>
      <c r="D30" s="25">
        <v>3.0</v>
      </c>
      <c r="E30" s="26" t="s">
        <v>19</v>
      </c>
      <c r="F30" s="18"/>
      <c r="G30" s="6"/>
      <c r="H30" s="36" t="s">
        <v>63</v>
      </c>
      <c r="I30" s="34"/>
      <c r="J30" s="57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ht="15.0" customHeight="1">
      <c r="A31" s="24"/>
      <c r="B31" s="24"/>
      <c r="C31" s="24" t="s">
        <v>67</v>
      </c>
      <c r="D31" s="25">
        <v>3.0</v>
      </c>
      <c r="E31" s="26" t="s">
        <v>10</v>
      </c>
      <c r="F31" s="18"/>
      <c r="G31" s="18"/>
      <c r="H31" s="36"/>
      <c r="I31" s="34"/>
      <c r="J31" s="35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t="15.0" customHeight="1">
      <c r="A32" s="24"/>
      <c r="B32" s="24"/>
      <c r="C32" s="24"/>
      <c r="D32" s="25"/>
      <c r="E32" s="26"/>
      <c r="F32" s="18"/>
      <c r="G32" s="18"/>
      <c r="H32" s="36"/>
      <c r="I32" s="34"/>
      <c r="J32" s="35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58"/>
      <c r="B33" s="59" t="s">
        <v>81</v>
      </c>
      <c r="C33" s="58" t="s">
        <v>67</v>
      </c>
      <c r="D33" s="60">
        <v>3.0</v>
      </c>
      <c r="E33" s="61" t="s">
        <v>25</v>
      </c>
      <c r="F33" s="62"/>
      <c r="G33" s="63"/>
      <c r="H33" s="33">
        <v>46262.0</v>
      </c>
      <c r="I33" s="64"/>
      <c r="J33" s="65"/>
      <c r="K33" s="66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</row>
    <row r="34" ht="15.0" customHeight="1">
      <c r="A34" s="24"/>
      <c r="B34" s="24"/>
      <c r="C34" s="24"/>
      <c r="D34" s="25"/>
      <c r="E34" s="26"/>
      <c r="F34" s="18"/>
      <c r="G34" s="6"/>
      <c r="H34" s="36" t="s">
        <v>72</v>
      </c>
      <c r="I34" s="34"/>
      <c r="J34" s="35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ht="15.0" customHeight="1">
      <c r="A35" s="24"/>
      <c r="B35" s="24"/>
      <c r="C35" s="24"/>
      <c r="D35" s="25"/>
      <c r="E35" s="26"/>
      <c r="F35" s="18"/>
      <c r="G35" s="6"/>
      <c r="H35" s="40"/>
      <c r="I35" s="34"/>
      <c r="J35" s="35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t="15.0" customHeight="1">
      <c r="A36" s="24"/>
      <c r="B36" s="24" t="s">
        <v>82</v>
      </c>
      <c r="C36" s="24" t="s">
        <v>61</v>
      </c>
      <c r="D36" s="25">
        <v>3.0</v>
      </c>
      <c r="E36" s="26" t="s">
        <v>4</v>
      </c>
      <c r="F36" s="18"/>
      <c r="G36" s="18"/>
      <c r="H36" s="33">
        <v>46261.0</v>
      </c>
      <c r="I36" s="34"/>
      <c r="J36" s="35"/>
      <c r="K36" s="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ht="15.0" customHeight="1">
      <c r="A37" s="24"/>
      <c r="B37" s="24"/>
      <c r="C37" s="24" t="s">
        <v>64</v>
      </c>
      <c r="D37" s="25">
        <v>3.0</v>
      </c>
      <c r="E37" s="26" t="s">
        <v>3</v>
      </c>
      <c r="F37" s="18"/>
      <c r="G37" s="6"/>
      <c r="H37" s="56" t="s">
        <v>79</v>
      </c>
      <c r="I37" s="34"/>
      <c r="J37" s="57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ht="15.0" customHeight="1">
      <c r="A38" s="24"/>
      <c r="B38" s="24"/>
      <c r="C38" s="42" t="s">
        <v>73</v>
      </c>
      <c r="D38" s="43">
        <v>3.0</v>
      </c>
      <c r="E38" s="46" t="s">
        <v>20</v>
      </c>
      <c r="F38" s="18"/>
      <c r="G38" s="18"/>
      <c r="H38" s="36"/>
      <c r="I38" s="34"/>
      <c r="J38" s="35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t="15.0" customHeight="1">
      <c r="A39" s="24"/>
      <c r="B39" s="24"/>
      <c r="C39" s="42" t="s">
        <v>67</v>
      </c>
      <c r="D39" s="43">
        <v>3.0</v>
      </c>
      <c r="E39" s="67"/>
      <c r="F39" s="18"/>
      <c r="G39" s="18"/>
      <c r="H39" s="36"/>
      <c r="I39" s="34"/>
      <c r="J39" s="35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t="15.0" customHeight="1">
      <c r="A40" s="24"/>
      <c r="B40" s="24"/>
      <c r="C40" s="24"/>
      <c r="D40" s="25"/>
      <c r="E40" s="26"/>
      <c r="F40" s="18"/>
      <c r="G40" s="18"/>
      <c r="H40" s="36"/>
      <c r="I40" s="34"/>
      <c r="J40" s="35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t="15.0" customHeight="1">
      <c r="A41" s="68"/>
      <c r="B41" s="24" t="s">
        <v>83</v>
      </c>
      <c r="C41" s="24" t="s">
        <v>61</v>
      </c>
      <c r="D41" s="25">
        <v>3.0</v>
      </c>
      <c r="E41" s="26" t="s">
        <v>15</v>
      </c>
      <c r="F41" s="47"/>
      <c r="G41" s="18"/>
      <c r="H41" s="33">
        <v>46258.0</v>
      </c>
      <c r="I41" s="34"/>
      <c r="J41" s="35"/>
      <c r="K41" s="6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ht="15.0" customHeight="1">
      <c r="A42" s="68"/>
      <c r="B42" s="24"/>
      <c r="C42" s="24" t="s">
        <v>64</v>
      </c>
      <c r="D42" s="25">
        <v>3.0</v>
      </c>
      <c r="E42" s="46" t="s">
        <v>24</v>
      </c>
      <c r="F42" s="18"/>
      <c r="G42" s="6"/>
      <c r="H42" s="36" t="s">
        <v>63</v>
      </c>
      <c r="I42" s="69"/>
      <c r="J42" s="5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ht="15.0" customHeight="1">
      <c r="A43" s="68"/>
      <c r="B43" s="24"/>
      <c r="C43" s="24" t="s">
        <v>73</v>
      </c>
      <c r="D43" s="25">
        <v>3.0</v>
      </c>
      <c r="E43" s="46" t="s">
        <v>21</v>
      </c>
      <c r="F43" s="47"/>
      <c r="G43" s="47"/>
      <c r="H43" s="70"/>
      <c r="I43" s="69"/>
      <c r="J43" s="5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ht="15.0" customHeight="1">
      <c r="A44" s="68"/>
      <c r="B44" s="24"/>
      <c r="C44" s="42" t="s">
        <v>74</v>
      </c>
      <c r="D44" s="43">
        <v>3.0</v>
      </c>
      <c r="E44" s="46" t="s">
        <v>11</v>
      </c>
      <c r="F44" s="47"/>
      <c r="G44" s="71"/>
      <c r="H44" s="72"/>
      <c r="I44" s="69"/>
      <c r="J44" s="5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ht="15.0" customHeight="1">
      <c r="A45" s="68"/>
      <c r="B45" s="24"/>
      <c r="C45" s="24" t="s">
        <v>67</v>
      </c>
      <c r="D45" s="25">
        <v>3.0</v>
      </c>
      <c r="E45" s="26" t="s">
        <v>15</v>
      </c>
      <c r="F45" s="47"/>
      <c r="G45" s="71"/>
      <c r="H45" s="36"/>
      <c r="I45" s="69"/>
      <c r="J45" s="5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ht="15.75" customHeight="1">
      <c r="A46" s="24"/>
      <c r="B46" s="24"/>
      <c r="C46" s="42" t="s">
        <v>69</v>
      </c>
      <c r="D46" s="43">
        <v>3.0</v>
      </c>
      <c r="E46" s="46" t="s">
        <v>21</v>
      </c>
      <c r="F46" s="18"/>
      <c r="G46" s="18"/>
      <c r="H46" s="36"/>
      <c r="I46" s="34"/>
      <c r="J46" s="35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ht="15.75" customHeight="1">
      <c r="A47" s="24"/>
      <c r="B47" s="24"/>
      <c r="C47" s="24"/>
      <c r="D47" s="25"/>
      <c r="E47" s="26"/>
      <c r="F47" s="18"/>
      <c r="G47" s="18"/>
      <c r="H47" s="36"/>
      <c r="I47" s="34"/>
      <c r="J47" s="35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ht="15.75" customHeight="1">
      <c r="A48" s="31" t="s">
        <v>84</v>
      </c>
      <c r="B48" s="73">
        <v>954310.0</v>
      </c>
      <c r="C48" s="24" t="s">
        <v>61</v>
      </c>
      <c r="D48" s="25">
        <v>1.5</v>
      </c>
      <c r="E48" s="26" t="s">
        <v>6</v>
      </c>
      <c r="F48" s="18"/>
      <c r="G48" s="18"/>
      <c r="H48" s="33">
        <v>46260.0</v>
      </c>
      <c r="I48" s="34"/>
      <c r="J48" s="35"/>
      <c r="K48" s="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ht="15.75" customHeight="1">
      <c r="A49" s="24" t="s">
        <v>62</v>
      </c>
      <c r="C49" s="24"/>
      <c r="D49" s="25">
        <v>1.5</v>
      </c>
      <c r="E49" s="26" t="s">
        <v>13</v>
      </c>
      <c r="F49" s="18"/>
      <c r="H49" s="56" t="s">
        <v>79</v>
      </c>
      <c r="I49" s="34"/>
      <c r="J49" s="57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ht="15.75" customHeight="1">
      <c r="C50" s="24" t="s">
        <v>64</v>
      </c>
      <c r="D50" s="25">
        <v>1.5</v>
      </c>
      <c r="E50" s="26" t="s">
        <v>2</v>
      </c>
      <c r="F50" s="18"/>
      <c r="G50" s="6"/>
      <c r="H50" s="36"/>
      <c r="I50" s="34"/>
      <c r="J50" s="5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ht="15.75" customHeight="1">
      <c r="A51" s="24"/>
      <c r="C51" s="24"/>
      <c r="D51" s="25">
        <v>1.5</v>
      </c>
      <c r="E51" s="26" t="s">
        <v>13</v>
      </c>
      <c r="F51" s="18"/>
      <c r="H51" s="36"/>
      <c r="I51" s="34"/>
      <c r="J51" s="3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ht="15.75" customHeight="1">
      <c r="A52" s="24"/>
      <c r="C52" s="24" t="s">
        <v>67</v>
      </c>
      <c r="D52" s="25">
        <v>1.5</v>
      </c>
      <c r="E52" s="26" t="s">
        <v>6</v>
      </c>
      <c r="F52" s="18"/>
      <c r="G52" s="18"/>
      <c r="H52" s="36"/>
      <c r="I52" s="34"/>
      <c r="J52" s="35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ht="15.75" customHeight="1">
      <c r="A53" s="24"/>
      <c r="B53" s="18"/>
      <c r="C53" s="24"/>
      <c r="D53" s="25">
        <v>1.5</v>
      </c>
      <c r="E53" s="26" t="s">
        <v>19</v>
      </c>
      <c r="F53" s="18"/>
      <c r="G53" s="18"/>
      <c r="H53" s="36"/>
      <c r="I53" s="34"/>
      <c r="J53" s="3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5.75" customHeight="1">
      <c r="A54" s="24"/>
      <c r="B54" s="18"/>
      <c r="C54" s="24"/>
      <c r="D54" s="25"/>
      <c r="E54" s="26"/>
      <c r="F54" s="18"/>
      <c r="G54" s="18"/>
      <c r="H54" s="36"/>
      <c r="I54" s="34"/>
      <c r="J54" s="35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ht="15.75" customHeight="1">
      <c r="A55" s="24"/>
      <c r="B55" s="24" t="s">
        <v>85</v>
      </c>
      <c r="C55" s="24" t="s">
        <v>61</v>
      </c>
      <c r="D55" s="25">
        <v>3.0</v>
      </c>
      <c r="E55" s="26" t="s">
        <v>7</v>
      </c>
      <c r="F55" s="18"/>
      <c r="G55" s="18"/>
      <c r="H55" s="33">
        <v>46262.0</v>
      </c>
      <c r="I55" s="34"/>
      <c r="J55" s="35"/>
      <c r="K55" s="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ht="15.75" customHeight="1">
      <c r="A56" s="24"/>
      <c r="B56" s="24"/>
      <c r="C56" s="24" t="s">
        <v>64</v>
      </c>
      <c r="D56" s="25">
        <v>3.0</v>
      </c>
      <c r="E56" s="26" t="s">
        <v>18</v>
      </c>
      <c r="F56" s="18"/>
      <c r="G56" s="6"/>
      <c r="H56" s="56" t="s">
        <v>79</v>
      </c>
      <c r="I56" s="34"/>
      <c r="J56" s="35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ht="15.75" customHeight="1">
      <c r="A57" s="24"/>
      <c r="B57" s="18"/>
      <c r="C57" s="24" t="s">
        <v>67</v>
      </c>
      <c r="D57" s="25">
        <v>3.0</v>
      </c>
      <c r="E57" s="26" t="s">
        <v>7</v>
      </c>
      <c r="F57" s="18"/>
      <c r="G57" s="18"/>
      <c r="H57" s="36"/>
      <c r="I57" s="34"/>
      <c r="J57" s="35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ht="15.75" customHeight="1">
      <c r="A58" s="18"/>
      <c r="B58" s="24"/>
      <c r="C58" s="24"/>
      <c r="D58" s="25"/>
      <c r="E58" s="26"/>
      <c r="F58" s="18"/>
      <c r="G58" s="18"/>
      <c r="H58" s="36"/>
      <c r="I58" s="34"/>
      <c r="J58" s="35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ht="15.75" customHeight="1">
      <c r="A59" s="24"/>
      <c r="B59" s="25">
        <v>954381.0</v>
      </c>
      <c r="C59" s="32" t="s">
        <v>61</v>
      </c>
      <c r="D59" s="25">
        <v>0.9</v>
      </c>
      <c r="E59" s="26" t="s">
        <v>2</v>
      </c>
      <c r="F59" s="18"/>
      <c r="G59" s="47"/>
      <c r="H59" s="36"/>
      <c r="I59" s="34"/>
      <c r="J59" s="35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ht="15.75" customHeight="1">
      <c r="A60" s="24"/>
      <c r="B60" s="25"/>
      <c r="C60" s="24" t="s">
        <v>67</v>
      </c>
      <c r="D60" s="25">
        <v>0.9</v>
      </c>
      <c r="E60" s="26" t="s">
        <v>17</v>
      </c>
      <c r="F60" s="18"/>
      <c r="H60" s="40"/>
      <c r="I60" s="34"/>
      <c r="J60" s="3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ht="15.75" customHeight="1">
      <c r="A61" s="24"/>
      <c r="B61" s="25"/>
      <c r="C61" s="24"/>
      <c r="D61" s="25"/>
      <c r="E61" s="26"/>
      <c r="F61" s="18"/>
      <c r="G61" s="18"/>
      <c r="H61" s="36"/>
      <c r="I61" s="34"/>
      <c r="J61" s="3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ht="15.75" customHeight="1">
      <c r="A62" s="31" t="s">
        <v>86</v>
      </c>
      <c r="B62" s="25">
        <v>954484.0</v>
      </c>
      <c r="C62" s="24" t="s">
        <v>61</v>
      </c>
      <c r="D62" s="25">
        <v>6.0</v>
      </c>
      <c r="E62" s="74"/>
      <c r="F62" s="18"/>
      <c r="G62" s="18"/>
      <c r="H62" s="36"/>
      <c r="I62" s="34"/>
      <c r="J62" s="3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ht="15.75" customHeight="1">
      <c r="A63" s="24" t="s">
        <v>62</v>
      </c>
      <c r="B63" s="24"/>
      <c r="C63" s="24"/>
      <c r="D63" s="25"/>
      <c r="E63" s="26"/>
      <c r="F63" s="18"/>
      <c r="G63" s="18"/>
      <c r="H63" s="36"/>
      <c r="I63" s="34"/>
      <c r="J63" s="3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15.75" customHeight="1">
      <c r="A64" s="24"/>
      <c r="B64" s="18"/>
      <c r="C64" s="24"/>
      <c r="D64" s="25"/>
      <c r="E64" s="26"/>
      <c r="F64" s="47"/>
      <c r="G64" s="18"/>
      <c r="H64" s="36"/>
      <c r="I64" s="34"/>
      <c r="J64" s="57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ht="15.75" customHeight="1">
      <c r="A65" s="75"/>
      <c r="B65" s="75"/>
      <c r="C65" s="24"/>
      <c r="D65" s="25"/>
      <c r="E65" s="26"/>
      <c r="F65" s="18"/>
      <c r="G65" s="18"/>
      <c r="H65" s="36"/>
      <c r="I65" s="34"/>
      <c r="J65" s="3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ht="15.75" customHeight="1">
      <c r="A66" s="76" t="s">
        <v>87</v>
      </c>
      <c r="B66" s="49">
        <v>954347.0</v>
      </c>
      <c r="C66" s="32" t="s">
        <v>61</v>
      </c>
      <c r="D66" s="25">
        <v>3.0</v>
      </c>
      <c r="E66" s="26" t="s">
        <v>21</v>
      </c>
      <c r="G66" s="47"/>
      <c r="H66" s="77" t="s">
        <v>88</v>
      </c>
      <c r="I66" s="78"/>
      <c r="J66" s="79"/>
      <c r="K66" s="80">
        <v>1.0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ht="15.75" customHeight="1">
      <c r="A67" s="81" t="s">
        <v>89</v>
      </c>
      <c r="B67" s="49">
        <v>954348.0</v>
      </c>
      <c r="C67" s="32" t="s">
        <v>61</v>
      </c>
      <c r="D67" s="25">
        <v>3.0</v>
      </c>
      <c r="E67" s="26" t="s">
        <v>11</v>
      </c>
      <c r="F67" s="26"/>
      <c r="G67" s="18"/>
      <c r="H67" s="77" t="s">
        <v>90</v>
      </c>
      <c r="I67" s="78"/>
      <c r="J67" s="55"/>
      <c r="K67" s="82">
        <v>2.0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ht="15.75" customHeight="1">
      <c r="A68" s="81" t="s">
        <v>91</v>
      </c>
      <c r="B68" s="49">
        <v>954423.0</v>
      </c>
      <c r="C68" s="32" t="s">
        <v>61</v>
      </c>
      <c r="D68" s="25">
        <v>3.0</v>
      </c>
      <c r="E68" s="26" t="s">
        <v>5</v>
      </c>
      <c r="F68" s="26"/>
      <c r="G68" s="18"/>
      <c r="H68" s="77" t="s">
        <v>92</v>
      </c>
      <c r="I68" s="78"/>
      <c r="J68" s="35"/>
      <c r="K68" s="82">
        <v>3.0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ht="15.75" customHeight="1">
      <c r="A69" s="81"/>
      <c r="B69" s="49">
        <v>954425.0</v>
      </c>
      <c r="C69" s="32" t="s">
        <v>61</v>
      </c>
      <c r="D69" s="25">
        <v>3.0</v>
      </c>
      <c r="E69" s="26" t="s">
        <v>23</v>
      </c>
      <c r="F69" s="26"/>
      <c r="G69" s="47"/>
      <c r="H69" s="83" t="s">
        <v>93</v>
      </c>
      <c r="I69" s="84"/>
      <c r="J69" s="35"/>
      <c r="K69" s="80">
        <v>4.0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ht="15.75" customHeight="1">
      <c r="A70" s="81"/>
      <c r="B70" s="49">
        <v>954477.0</v>
      </c>
      <c r="C70" s="32" t="s">
        <v>61</v>
      </c>
      <c r="D70" s="25">
        <v>3.0</v>
      </c>
      <c r="E70" s="26" t="s">
        <v>20</v>
      </c>
      <c r="F70" s="26"/>
      <c r="G70" s="18"/>
      <c r="H70" s="77" t="s">
        <v>94</v>
      </c>
      <c r="I70" s="78"/>
      <c r="J70" s="35"/>
      <c r="K70" s="82">
        <v>5.0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ht="15.75" customHeight="1">
      <c r="A71" s="81"/>
      <c r="B71" s="49">
        <v>954410.0</v>
      </c>
      <c r="C71" s="32" t="s">
        <v>61</v>
      </c>
      <c r="D71" s="25">
        <v>3.0</v>
      </c>
      <c r="E71" s="26" t="s">
        <v>6</v>
      </c>
      <c r="F71" s="26"/>
      <c r="G71" s="18"/>
      <c r="H71" s="77" t="s">
        <v>92</v>
      </c>
      <c r="I71" s="78"/>
      <c r="J71" s="35"/>
      <c r="K71" s="82">
        <v>6.0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ht="15.75" customHeight="1">
      <c r="A72" s="81"/>
      <c r="B72" s="25">
        <v>954413.0</v>
      </c>
      <c r="C72" s="32" t="s">
        <v>61</v>
      </c>
      <c r="D72" s="25">
        <v>3.0</v>
      </c>
      <c r="E72" s="26" t="s">
        <v>16</v>
      </c>
      <c r="F72" s="26"/>
      <c r="G72" s="18"/>
      <c r="H72" s="77" t="s">
        <v>95</v>
      </c>
      <c r="I72" s="78"/>
      <c r="J72" s="35"/>
      <c r="K72" s="80">
        <v>7.0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ht="15.75" customHeight="1">
      <c r="A73" s="81"/>
      <c r="B73" s="49">
        <v>954443.0</v>
      </c>
      <c r="C73" s="32" t="s">
        <v>61</v>
      </c>
      <c r="D73" s="25">
        <v>3.0</v>
      </c>
      <c r="E73" s="26" t="s">
        <v>17</v>
      </c>
      <c r="F73" s="26"/>
      <c r="G73" s="18"/>
      <c r="H73" s="77" t="s">
        <v>96</v>
      </c>
      <c r="I73" s="78"/>
      <c r="J73" s="35"/>
      <c r="K73" s="82">
        <v>8.0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ht="15.75" customHeight="1">
      <c r="A74" s="81"/>
      <c r="B74" s="75">
        <v>954491.0</v>
      </c>
      <c r="C74" s="48" t="s">
        <v>61</v>
      </c>
      <c r="D74" s="25">
        <v>3.0</v>
      </c>
      <c r="E74" s="26" t="s">
        <v>14</v>
      </c>
      <c r="F74" s="26"/>
      <c r="G74" s="18"/>
      <c r="H74" s="77" t="s">
        <v>97</v>
      </c>
      <c r="I74" s="78"/>
      <c r="J74" s="35"/>
      <c r="K74" s="82">
        <v>9.0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ht="15.75" customHeight="1">
      <c r="A75" s="81"/>
      <c r="B75" s="85">
        <v>954450.0</v>
      </c>
      <c r="C75" s="86" t="s">
        <v>61</v>
      </c>
      <c r="D75" s="25">
        <v>3.0</v>
      </c>
      <c r="E75" s="26" t="s">
        <v>22</v>
      </c>
      <c r="F75" s="26"/>
      <c r="G75" s="18"/>
      <c r="H75" s="77" t="s">
        <v>98</v>
      </c>
      <c r="I75" s="78"/>
      <c r="J75" s="35"/>
      <c r="K75" s="80">
        <v>10.0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ht="15.75" customHeight="1">
      <c r="A76" s="81"/>
      <c r="B76" s="75">
        <v>954430.0</v>
      </c>
      <c r="C76" s="32" t="s">
        <v>61</v>
      </c>
      <c r="D76" s="25">
        <v>3.0</v>
      </c>
      <c r="E76" s="26" t="s">
        <v>9</v>
      </c>
      <c r="F76" s="26"/>
      <c r="G76" s="18"/>
      <c r="H76" s="77"/>
      <c r="I76" s="78"/>
      <c r="J76" s="57"/>
      <c r="K76" s="82">
        <v>11.0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ht="15.75" customHeight="1">
      <c r="A77" s="81"/>
      <c r="B77" s="87">
        <v>954491.0</v>
      </c>
      <c r="C77" s="24" t="s">
        <v>67</v>
      </c>
      <c r="D77" s="43">
        <v>0.9</v>
      </c>
      <c r="E77" s="26" t="s">
        <v>22</v>
      </c>
      <c r="F77" s="46" t="s">
        <v>99</v>
      </c>
      <c r="G77" s="18"/>
      <c r="H77" s="88" t="s">
        <v>100</v>
      </c>
      <c r="I77" s="78"/>
      <c r="J77" s="45" t="s">
        <v>101</v>
      </c>
      <c r="K77" s="82">
        <v>12.0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ht="15.75" customHeight="1">
      <c r="A78" s="81"/>
      <c r="B78" s="89">
        <v>954417.0</v>
      </c>
      <c r="C78" s="68" t="s">
        <v>67</v>
      </c>
      <c r="D78" s="89">
        <v>3.0</v>
      </c>
      <c r="E78" s="72" t="s">
        <v>14</v>
      </c>
      <c r="F78" s="26"/>
      <c r="G78" s="18"/>
      <c r="H78" s="77" t="s">
        <v>102</v>
      </c>
      <c r="I78" s="78"/>
      <c r="J78" s="35"/>
      <c r="K78" s="80">
        <v>13.0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ht="15.75" customHeight="1">
      <c r="A79" s="81"/>
      <c r="B79" s="89">
        <v>954413.0</v>
      </c>
      <c r="C79" s="68" t="s">
        <v>67</v>
      </c>
      <c r="D79" s="89">
        <v>3.0</v>
      </c>
      <c r="E79" s="72" t="s">
        <v>16</v>
      </c>
      <c r="F79" s="26"/>
      <c r="G79" s="18"/>
      <c r="H79" s="77"/>
      <c r="I79" s="78"/>
      <c r="J79" s="35"/>
      <c r="K79" s="82">
        <v>14.0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ht="15.75" customHeight="1">
      <c r="A80" s="81"/>
      <c r="B80" s="81">
        <v>954430.0</v>
      </c>
      <c r="C80" s="68" t="s">
        <v>67</v>
      </c>
      <c r="D80" s="89">
        <v>3.0</v>
      </c>
      <c r="E80" s="72" t="s">
        <v>9</v>
      </c>
      <c r="F80" s="26"/>
      <c r="G80" s="18"/>
      <c r="H80" s="90"/>
      <c r="I80" s="91"/>
      <c r="J80" s="57"/>
      <c r="K80" s="82">
        <v>15.0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5.75" customHeight="1">
      <c r="A81" s="24"/>
      <c r="B81" s="48"/>
      <c r="C81" s="24"/>
      <c r="D81" s="25"/>
      <c r="E81" s="26"/>
      <c r="F81" s="26"/>
      <c r="G81" s="18"/>
      <c r="H81" s="18"/>
      <c r="I81" s="18"/>
      <c r="J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ht="15.75" customHeight="1">
      <c r="A82" s="24"/>
      <c r="B82" s="92"/>
      <c r="C82" s="93"/>
      <c r="D82" s="94"/>
      <c r="E82" s="26"/>
      <c r="F82" s="26"/>
      <c r="G82" s="18"/>
      <c r="H82" s="18"/>
      <c r="I82" s="18"/>
      <c r="J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ht="15.75" customHeight="1">
      <c r="A83" s="24"/>
      <c r="B83" s="92"/>
      <c r="C83" s="93"/>
      <c r="D83" s="94"/>
      <c r="E83" s="26"/>
      <c r="F83" s="26"/>
      <c r="G83" s="18"/>
      <c r="H83" s="18"/>
      <c r="I83" s="18"/>
      <c r="J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ht="15.75" customHeight="1">
      <c r="A84" s="24"/>
      <c r="B84" s="48"/>
      <c r="C84" s="48"/>
      <c r="D84" s="49"/>
      <c r="E84" s="51"/>
      <c r="F84" s="47"/>
      <c r="G84" s="18"/>
      <c r="H84" s="18"/>
      <c r="I84" s="18"/>
      <c r="J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ht="15.75" customHeight="1">
      <c r="A85" s="24"/>
      <c r="B85" s="24"/>
      <c r="C85" s="24"/>
      <c r="D85" s="25"/>
      <c r="E85" s="26"/>
      <c r="F85" s="18"/>
      <c r="G85" s="18"/>
      <c r="H85" s="18"/>
      <c r="I85" s="18"/>
      <c r="J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ht="15.75" customHeight="1">
      <c r="A86" s="24"/>
      <c r="B86" s="68"/>
      <c r="C86" s="68"/>
      <c r="D86" s="89"/>
      <c r="E86" s="26"/>
      <c r="F86" s="18"/>
      <c r="G86" s="18"/>
      <c r="H86" s="18"/>
      <c r="I86" s="26"/>
      <c r="J86" s="2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ht="15.75" customHeight="1">
      <c r="A87" s="24"/>
      <c r="B87" s="24"/>
      <c r="C87" s="24"/>
      <c r="D87" s="25"/>
      <c r="E87" s="26"/>
      <c r="F87" s="18"/>
      <c r="G87" s="18"/>
      <c r="H87" s="18"/>
      <c r="I87" s="26"/>
      <c r="J87" s="2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ht="15.75" customHeight="1">
      <c r="A88" s="24"/>
      <c r="B88" s="24"/>
      <c r="C88" s="24"/>
      <c r="D88" s="25"/>
      <c r="E88" s="26"/>
      <c r="F88" s="18"/>
      <c r="G88" s="18"/>
      <c r="H88" s="18"/>
      <c r="I88" s="18"/>
      <c r="J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ht="15.75" customHeight="1">
      <c r="A89" s="24"/>
      <c r="B89" s="24"/>
      <c r="C89" s="24"/>
      <c r="D89" s="25"/>
      <c r="E89" s="26"/>
      <c r="F89" s="18"/>
      <c r="G89" s="18"/>
      <c r="H89" s="18"/>
      <c r="I89" s="18"/>
      <c r="J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ht="15.75" customHeight="1">
      <c r="A90" s="24"/>
      <c r="B90" s="24"/>
      <c r="C90" s="24"/>
      <c r="D90" s="25"/>
      <c r="E90" s="26"/>
      <c r="F90" s="18"/>
      <c r="G90" s="18"/>
      <c r="H90" s="18"/>
      <c r="I90" s="18"/>
      <c r="J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ht="15.75" customHeight="1">
      <c r="A91" s="24"/>
      <c r="B91" s="24"/>
      <c r="C91" s="24"/>
      <c r="D91" s="25"/>
      <c r="E91" s="26"/>
      <c r="F91" s="18"/>
      <c r="G91" s="18"/>
      <c r="H91" s="18"/>
      <c r="I91" s="18"/>
      <c r="J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ht="15.75" customHeight="1">
      <c r="A92" s="24"/>
      <c r="B92" s="24"/>
      <c r="C92" s="24"/>
      <c r="D92" s="25"/>
      <c r="E92" s="26"/>
      <c r="F92" s="18"/>
      <c r="G92" s="18"/>
      <c r="H92" s="18"/>
      <c r="I92" s="18"/>
      <c r="J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ht="15.75" customHeight="1">
      <c r="A93" s="24"/>
      <c r="B93" s="24"/>
      <c r="C93" s="24"/>
      <c r="D93" s="25"/>
      <c r="E93" s="26"/>
      <c r="F93" s="18"/>
      <c r="G93" s="18"/>
      <c r="H93" s="18"/>
      <c r="I93" s="18"/>
      <c r="J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ht="15.75" customHeight="1">
      <c r="A94" s="24"/>
      <c r="B94" s="24"/>
      <c r="C94" s="24"/>
      <c r="D94" s="25"/>
      <c r="E94" s="26"/>
      <c r="F94" s="18"/>
      <c r="G94" s="18"/>
      <c r="H94" s="18"/>
      <c r="I94" s="18"/>
      <c r="J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15.75" customHeight="1">
      <c r="A95" s="24"/>
      <c r="B95" s="24"/>
      <c r="C95" s="24"/>
      <c r="D95" s="25"/>
      <c r="E95" s="26"/>
      <c r="F95" s="18"/>
      <c r="G95" s="18"/>
      <c r="H95" s="18"/>
      <c r="I95" s="18"/>
      <c r="J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ht="15.75" customHeight="1">
      <c r="A96" s="24"/>
      <c r="B96" s="24"/>
      <c r="C96" s="24"/>
      <c r="D96" s="25"/>
      <c r="E96" s="26"/>
      <c r="F96" s="18"/>
      <c r="G96" s="18"/>
      <c r="H96" s="18"/>
      <c r="I96" s="18"/>
      <c r="J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ht="15.75" customHeight="1">
      <c r="A97" s="24"/>
      <c r="B97" s="24"/>
      <c r="C97" s="24"/>
      <c r="D97" s="25"/>
      <c r="E97" s="26"/>
      <c r="F97" s="18"/>
      <c r="G97" s="18"/>
      <c r="H97" s="18"/>
      <c r="I97" s="18"/>
      <c r="J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ht="15.75" customHeight="1">
      <c r="A98" s="24"/>
      <c r="B98" s="24"/>
      <c r="C98" s="24"/>
      <c r="D98" s="25"/>
      <c r="E98" s="26"/>
      <c r="F98" s="18"/>
      <c r="G98" s="18"/>
      <c r="H98" s="18"/>
      <c r="I98" s="18"/>
      <c r="J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ht="15.75" customHeight="1">
      <c r="A99" s="24"/>
      <c r="B99" s="24"/>
      <c r="C99" s="24"/>
      <c r="D99" s="25"/>
      <c r="E99" s="26"/>
      <c r="F99" s="18"/>
      <c r="G99" s="18"/>
      <c r="H99" s="18"/>
      <c r="I99" s="18"/>
      <c r="J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ht="15.75" customHeight="1">
      <c r="A100" s="24"/>
      <c r="B100" s="24"/>
      <c r="C100" s="24"/>
      <c r="D100" s="25"/>
      <c r="E100" s="26"/>
      <c r="F100" s="18"/>
      <c r="G100" s="18"/>
      <c r="H100" s="18"/>
      <c r="I100" s="18"/>
      <c r="J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ht="15.75" customHeight="1">
      <c r="A101" s="24"/>
      <c r="B101" s="24"/>
      <c r="C101" s="24"/>
      <c r="D101" s="25"/>
      <c r="E101" s="26"/>
      <c r="F101" s="18"/>
      <c r="G101" s="18"/>
      <c r="H101" s="18"/>
      <c r="I101" s="18"/>
      <c r="J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ht="15.75" customHeight="1">
      <c r="A102" s="24"/>
      <c r="B102" s="24"/>
      <c r="C102" s="24"/>
      <c r="D102" s="25"/>
      <c r="E102" s="26"/>
      <c r="F102" s="18"/>
      <c r="G102" s="18"/>
      <c r="H102" s="18"/>
      <c r="I102" s="18"/>
      <c r="J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ht="15.75" customHeight="1">
      <c r="A103" s="24"/>
      <c r="B103" s="24"/>
      <c r="C103" s="24"/>
      <c r="D103" s="25"/>
      <c r="E103" s="26"/>
      <c r="F103" s="18"/>
      <c r="G103" s="18"/>
      <c r="H103" s="18"/>
      <c r="I103" s="18"/>
      <c r="J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ht="15.75" customHeight="1">
      <c r="A104" s="24"/>
      <c r="B104" s="24"/>
      <c r="C104" s="24"/>
      <c r="D104" s="25"/>
      <c r="E104" s="26"/>
      <c r="F104" s="18"/>
      <c r="G104" s="18"/>
      <c r="H104" s="18"/>
      <c r="I104" s="18"/>
      <c r="J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ht="15.75" customHeight="1">
      <c r="A105" s="24"/>
      <c r="B105" s="24"/>
      <c r="C105" s="24"/>
      <c r="D105" s="25"/>
      <c r="E105" s="26"/>
      <c r="F105" s="18"/>
      <c r="G105" s="18"/>
      <c r="H105" s="18"/>
      <c r="I105" s="18"/>
      <c r="J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ht="15.75" customHeight="1">
      <c r="A106" s="24"/>
      <c r="B106" s="24"/>
      <c r="C106" s="24"/>
      <c r="D106" s="25"/>
      <c r="E106" s="26"/>
      <c r="F106" s="18"/>
      <c r="G106" s="18"/>
      <c r="H106" s="18"/>
      <c r="I106" s="18"/>
      <c r="J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ht="15.75" customHeight="1">
      <c r="A107" s="24"/>
      <c r="B107" s="24"/>
      <c r="C107" s="24"/>
      <c r="D107" s="25"/>
      <c r="E107" s="26"/>
      <c r="F107" s="18"/>
      <c r="G107" s="18"/>
      <c r="H107" s="18"/>
      <c r="I107" s="18"/>
      <c r="J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ht="15.75" customHeight="1">
      <c r="A108" s="24"/>
      <c r="B108" s="24"/>
      <c r="C108" s="24"/>
      <c r="D108" s="25"/>
      <c r="E108" s="26"/>
      <c r="F108" s="18"/>
      <c r="G108" s="18"/>
      <c r="H108" s="18"/>
      <c r="I108" s="18"/>
      <c r="J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ht="15.75" customHeight="1">
      <c r="A109" s="24"/>
      <c r="B109" s="24"/>
      <c r="C109" s="24"/>
      <c r="D109" s="25"/>
      <c r="E109" s="26"/>
      <c r="F109" s="18"/>
      <c r="G109" s="18"/>
      <c r="H109" s="18"/>
      <c r="I109" s="18"/>
      <c r="J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ht="15.75" customHeight="1">
      <c r="A110" s="24"/>
      <c r="B110" s="24"/>
      <c r="C110" s="24"/>
      <c r="D110" s="25"/>
      <c r="E110" s="26"/>
      <c r="F110" s="18"/>
      <c r="G110" s="18"/>
      <c r="H110" s="18"/>
      <c r="I110" s="18"/>
      <c r="J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ht="15.75" customHeight="1">
      <c r="A111" s="24"/>
      <c r="B111" s="24"/>
      <c r="C111" s="24"/>
      <c r="D111" s="25"/>
      <c r="E111" s="26"/>
      <c r="F111" s="18"/>
      <c r="G111" s="18"/>
      <c r="H111" s="18"/>
      <c r="I111" s="18"/>
      <c r="J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ht="15.75" customHeight="1">
      <c r="A112" s="24"/>
      <c r="B112" s="24"/>
      <c r="C112" s="24"/>
      <c r="D112" s="25"/>
      <c r="E112" s="26"/>
      <c r="F112" s="18"/>
      <c r="G112" s="18"/>
      <c r="H112" s="18"/>
      <c r="I112" s="18"/>
      <c r="J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ht="15.75" customHeight="1">
      <c r="A113" s="24"/>
      <c r="B113" s="24"/>
      <c r="C113" s="24"/>
      <c r="D113" s="25"/>
      <c r="E113" s="26"/>
      <c r="F113" s="18"/>
      <c r="G113" s="18"/>
      <c r="H113" s="18"/>
      <c r="I113" s="18"/>
      <c r="J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ht="15.75" customHeight="1">
      <c r="A114" s="24"/>
      <c r="B114" s="24"/>
      <c r="C114" s="24"/>
      <c r="D114" s="25"/>
      <c r="E114" s="26"/>
      <c r="F114" s="18"/>
      <c r="G114" s="18"/>
      <c r="H114" s="18"/>
      <c r="I114" s="18"/>
      <c r="J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15.75" customHeight="1">
      <c r="A115" s="24"/>
      <c r="B115" s="24"/>
      <c r="C115" s="24"/>
      <c r="D115" s="25"/>
      <c r="E115" s="26"/>
      <c r="F115" s="18"/>
      <c r="G115" s="18"/>
      <c r="H115" s="18"/>
      <c r="I115" s="18"/>
      <c r="J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ht="15.75" customHeight="1">
      <c r="A116" s="24"/>
      <c r="B116" s="24"/>
      <c r="C116" s="24"/>
      <c r="D116" s="25"/>
      <c r="E116" s="26"/>
      <c r="F116" s="18"/>
      <c r="G116" s="18"/>
      <c r="H116" s="18"/>
      <c r="I116" s="18"/>
      <c r="J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ht="15.75" customHeight="1">
      <c r="A117" s="24"/>
      <c r="B117" s="24"/>
      <c r="C117" s="24"/>
      <c r="D117" s="25"/>
      <c r="E117" s="26"/>
      <c r="F117" s="18"/>
      <c r="G117" s="18"/>
      <c r="H117" s="18"/>
      <c r="I117" s="18"/>
      <c r="J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ht="15.75" customHeight="1">
      <c r="A118" s="24"/>
      <c r="B118" s="24"/>
      <c r="C118" s="24"/>
      <c r="D118" s="25"/>
      <c r="E118" s="26"/>
      <c r="F118" s="18"/>
      <c r="G118" s="18"/>
      <c r="H118" s="18"/>
      <c r="I118" s="18"/>
      <c r="J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ht="15.75" customHeight="1">
      <c r="A119" s="24"/>
      <c r="B119" s="24"/>
      <c r="C119" s="24"/>
      <c r="D119" s="25"/>
      <c r="E119" s="26"/>
      <c r="F119" s="18"/>
      <c r="G119" s="18"/>
      <c r="H119" s="18"/>
      <c r="I119" s="18"/>
      <c r="J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ht="15.75" customHeight="1">
      <c r="A120" s="24"/>
      <c r="B120" s="24"/>
      <c r="C120" s="24"/>
      <c r="D120" s="25"/>
      <c r="E120" s="26"/>
      <c r="F120" s="18"/>
      <c r="G120" s="18"/>
      <c r="H120" s="18"/>
      <c r="I120" s="18"/>
      <c r="J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ht="15.75" customHeight="1">
      <c r="A121" s="24"/>
      <c r="B121" s="24"/>
      <c r="C121" s="24"/>
      <c r="D121" s="25"/>
      <c r="E121" s="26"/>
      <c r="F121" s="18"/>
      <c r="G121" s="18"/>
      <c r="H121" s="18"/>
      <c r="I121" s="18"/>
      <c r="J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ht="15.75" customHeight="1">
      <c r="A122" s="24"/>
      <c r="B122" s="24"/>
      <c r="C122" s="24"/>
      <c r="D122" s="25"/>
      <c r="E122" s="26"/>
      <c r="F122" s="18"/>
      <c r="G122" s="18"/>
      <c r="H122" s="18"/>
      <c r="I122" s="18"/>
      <c r="J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ht="15.75" customHeight="1">
      <c r="A123" s="24"/>
      <c r="B123" s="24"/>
      <c r="C123" s="24"/>
      <c r="D123" s="25"/>
      <c r="E123" s="26"/>
      <c r="F123" s="18"/>
      <c r="G123" s="18"/>
      <c r="H123" s="18"/>
      <c r="I123" s="18"/>
      <c r="J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ht="15.75" customHeight="1">
      <c r="A124" s="24"/>
      <c r="B124" s="24"/>
      <c r="C124" s="24"/>
      <c r="D124" s="25"/>
      <c r="E124" s="26"/>
      <c r="F124" s="18"/>
      <c r="G124" s="18"/>
      <c r="H124" s="18"/>
      <c r="I124" s="18"/>
      <c r="J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15.75" customHeight="1">
      <c r="A125" s="24"/>
      <c r="B125" s="24"/>
      <c r="C125" s="24"/>
      <c r="D125" s="25"/>
      <c r="E125" s="26"/>
      <c r="F125" s="18"/>
      <c r="G125" s="18"/>
      <c r="H125" s="18"/>
      <c r="I125" s="18"/>
      <c r="J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ht="15.75" customHeight="1">
      <c r="A126" s="24"/>
      <c r="B126" s="24"/>
      <c r="C126" s="24"/>
      <c r="D126" s="25"/>
      <c r="E126" s="26"/>
      <c r="F126" s="18"/>
      <c r="G126" s="18"/>
      <c r="H126" s="18"/>
      <c r="I126" s="18"/>
      <c r="J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ht="15.75" customHeight="1">
      <c r="A127" s="24"/>
      <c r="B127" s="24"/>
      <c r="C127" s="24"/>
      <c r="D127" s="25"/>
      <c r="E127" s="26"/>
      <c r="F127" s="18"/>
      <c r="G127" s="18"/>
      <c r="H127" s="18"/>
      <c r="I127" s="18"/>
      <c r="J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ht="15.75" customHeight="1">
      <c r="A128" s="24"/>
      <c r="B128" s="24"/>
      <c r="C128" s="24"/>
      <c r="D128" s="25"/>
      <c r="E128" s="26"/>
      <c r="F128" s="18"/>
      <c r="G128" s="18"/>
      <c r="H128" s="18"/>
      <c r="I128" s="18"/>
      <c r="J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ht="15.75" customHeight="1">
      <c r="A129" s="24"/>
      <c r="B129" s="24"/>
      <c r="C129" s="24"/>
      <c r="D129" s="25"/>
      <c r="E129" s="26"/>
      <c r="F129" s="18"/>
      <c r="G129" s="18"/>
      <c r="H129" s="18"/>
      <c r="I129" s="18"/>
      <c r="J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ht="15.75" customHeight="1">
      <c r="A130" s="24"/>
      <c r="B130" s="24"/>
      <c r="C130" s="24"/>
      <c r="D130" s="25"/>
      <c r="E130" s="26"/>
      <c r="F130" s="18"/>
      <c r="G130" s="18"/>
      <c r="H130" s="18"/>
      <c r="I130" s="18"/>
      <c r="J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ht="15.75" customHeight="1">
      <c r="A131" s="24"/>
      <c r="B131" s="24"/>
      <c r="C131" s="24"/>
      <c r="D131" s="25"/>
      <c r="E131" s="26"/>
      <c r="F131" s="18"/>
      <c r="G131" s="18"/>
      <c r="H131" s="18"/>
      <c r="I131" s="18"/>
      <c r="J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ht="15.75" customHeight="1">
      <c r="A132" s="24"/>
      <c r="B132" s="24"/>
      <c r="C132" s="24"/>
      <c r="D132" s="25"/>
      <c r="E132" s="26"/>
      <c r="F132" s="18"/>
      <c r="G132" s="18"/>
      <c r="H132" s="18"/>
      <c r="I132" s="18"/>
      <c r="J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ht="15.75" customHeight="1">
      <c r="A133" s="24"/>
      <c r="B133" s="24"/>
      <c r="C133" s="24"/>
      <c r="D133" s="25"/>
      <c r="E133" s="26"/>
      <c r="F133" s="18"/>
      <c r="G133" s="18"/>
      <c r="H133" s="18"/>
      <c r="I133" s="18"/>
      <c r="J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ht="15.75" customHeight="1">
      <c r="A134" s="24"/>
      <c r="B134" s="24"/>
      <c r="C134" s="24"/>
      <c r="D134" s="25"/>
      <c r="E134" s="26"/>
      <c r="F134" s="18"/>
      <c r="G134" s="18"/>
      <c r="H134" s="18"/>
      <c r="I134" s="18"/>
      <c r="J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ht="15.75" customHeight="1">
      <c r="A135" s="24"/>
      <c r="B135" s="24"/>
      <c r="C135" s="24"/>
      <c r="D135" s="25"/>
      <c r="E135" s="26"/>
      <c r="F135" s="18"/>
      <c r="G135" s="18"/>
      <c r="H135" s="18"/>
      <c r="I135" s="18"/>
      <c r="J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ht="15.75" customHeight="1">
      <c r="A136" s="24"/>
      <c r="B136" s="24"/>
      <c r="C136" s="24"/>
      <c r="D136" s="25"/>
      <c r="E136" s="26"/>
      <c r="F136" s="18"/>
      <c r="G136" s="18"/>
      <c r="H136" s="18"/>
      <c r="I136" s="18"/>
      <c r="J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ht="15.75" customHeight="1">
      <c r="A137" s="24"/>
      <c r="B137" s="24"/>
      <c r="C137" s="24"/>
      <c r="D137" s="25"/>
      <c r="E137" s="26"/>
      <c r="F137" s="18"/>
      <c r="G137" s="18"/>
      <c r="H137" s="18"/>
      <c r="I137" s="18"/>
      <c r="J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ht="15.75" customHeight="1">
      <c r="A138" s="24"/>
      <c r="B138" s="24"/>
      <c r="C138" s="24"/>
      <c r="D138" s="25"/>
      <c r="E138" s="26"/>
      <c r="F138" s="18"/>
      <c r="G138" s="18"/>
      <c r="H138" s="18"/>
      <c r="I138" s="18"/>
      <c r="J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ht="15.75" customHeight="1">
      <c r="A139" s="24"/>
      <c r="B139" s="24"/>
      <c r="C139" s="24"/>
      <c r="D139" s="25"/>
      <c r="E139" s="26"/>
      <c r="F139" s="18"/>
      <c r="G139" s="18"/>
      <c r="H139" s="18"/>
      <c r="I139" s="18"/>
      <c r="J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ht="15.75" customHeight="1">
      <c r="A140" s="24"/>
      <c r="B140" s="24"/>
      <c r="C140" s="24"/>
      <c r="D140" s="25"/>
      <c r="E140" s="26"/>
      <c r="F140" s="18"/>
      <c r="G140" s="18"/>
      <c r="H140" s="18"/>
      <c r="I140" s="18"/>
      <c r="J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ht="15.75" customHeight="1">
      <c r="A141" s="24"/>
      <c r="B141" s="24"/>
      <c r="C141" s="24"/>
      <c r="D141" s="25"/>
      <c r="E141" s="26"/>
      <c r="F141" s="18"/>
      <c r="G141" s="18"/>
      <c r="H141" s="18"/>
      <c r="I141" s="18"/>
      <c r="J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 ht="15.75" customHeight="1">
      <c r="A142" s="24"/>
      <c r="B142" s="24"/>
      <c r="C142" s="24"/>
      <c r="D142" s="25"/>
      <c r="E142" s="26"/>
      <c r="F142" s="18"/>
      <c r="G142" s="18"/>
      <c r="H142" s="18"/>
      <c r="I142" s="18"/>
      <c r="J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ht="15.75" customHeight="1">
      <c r="A143" s="24"/>
      <c r="B143" s="24"/>
      <c r="C143" s="24"/>
      <c r="D143" s="25"/>
      <c r="E143" s="26"/>
      <c r="F143" s="18"/>
      <c r="G143" s="18"/>
      <c r="H143" s="18"/>
      <c r="I143" s="18"/>
      <c r="J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ht="15.75" customHeight="1">
      <c r="A144" s="24"/>
      <c r="B144" s="24"/>
      <c r="C144" s="24"/>
      <c r="D144" s="25"/>
      <c r="E144" s="26"/>
      <c r="F144" s="18"/>
      <c r="G144" s="18"/>
      <c r="H144" s="18"/>
      <c r="I144" s="18"/>
      <c r="J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ht="15.75" customHeight="1">
      <c r="A145" s="24"/>
      <c r="B145" s="24"/>
      <c r="C145" s="24"/>
      <c r="D145" s="25"/>
      <c r="E145" s="26"/>
      <c r="F145" s="18"/>
      <c r="G145" s="18"/>
      <c r="H145" s="18"/>
      <c r="I145" s="18"/>
      <c r="J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ht="15.75" customHeight="1">
      <c r="A146" s="24"/>
      <c r="B146" s="24"/>
      <c r="C146" s="24"/>
      <c r="D146" s="25"/>
      <c r="E146" s="26"/>
      <c r="F146" s="18"/>
      <c r="G146" s="18"/>
      <c r="H146" s="18"/>
      <c r="I146" s="18"/>
      <c r="J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ht="15.75" customHeight="1">
      <c r="A147" s="24"/>
      <c r="B147" s="24"/>
      <c r="C147" s="24"/>
      <c r="D147" s="25"/>
      <c r="E147" s="26"/>
      <c r="F147" s="18"/>
      <c r="G147" s="18"/>
      <c r="H147" s="18"/>
      <c r="I147" s="18"/>
      <c r="J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 ht="15.75" customHeight="1">
      <c r="A148" s="24"/>
      <c r="B148" s="24"/>
      <c r="C148" s="24"/>
      <c r="D148" s="25"/>
      <c r="E148" s="26"/>
      <c r="F148" s="18"/>
      <c r="G148" s="18"/>
      <c r="H148" s="18"/>
      <c r="I148" s="18"/>
      <c r="J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ht="15.75" customHeight="1">
      <c r="A149" s="24"/>
      <c r="B149" s="24"/>
      <c r="C149" s="24"/>
      <c r="D149" s="25"/>
      <c r="E149" s="26"/>
      <c r="F149" s="18"/>
      <c r="G149" s="18"/>
      <c r="H149" s="18"/>
      <c r="I149" s="18"/>
      <c r="J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ht="15.75" customHeight="1">
      <c r="A150" s="24"/>
      <c r="B150" s="24"/>
      <c r="C150" s="24"/>
      <c r="D150" s="25"/>
      <c r="E150" s="26"/>
      <c r="F150" s="18"/>
      <c r="G150" s="18"/>
      <c r="H150" s="18"/>
      <c r="I150" s="18"/>
      <c r="J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ht="15.75" customHeight="1">
      <c r="A151" s="24"/>
      <c r="B151" s="24"/>
      <c r="C151" s="24"/>
      <c r="D151" s="25"/>
      <c r="E151" s="26"/>
      <c r="F151" s="18"/>
      <c r="G151" s="18"/>
      <c r="H151" s="18"/>
      <c r="I151" s="18"/>
      <c r="J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ht="15.75" customHeight="1">
      <c r="A152" s="24"/>
      <c r="B152" s="24"/>
      <c r="C152" s="24"/>
      <c r="D152" s="25"/>
      <c r="E152" s="26"/>
      <c r="F152" s="18"/>
      <c r="G152" s="18"/>
      <c r="H152" s="18"/>
      <c r="I152" s="18"/>
      <c r="J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ht="15.75" customHeight="1">
      <c r="A153" s="24"/>
      <c r="B153" s="24"/>
      <c r="C153" s="24"/>
      <c r="D153" s="25"/>
      <c r="E153" s="26"/>
      <c r="F153" s="18"/>
      <c r="G153" s="18"/>
      <c r="H153" s="18"/>
      <c r="I153" s="18"/>
      <c r="J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 ht="15.75" customHeight="1">
      <c r="A154" s="24"/>
      <c r="B154" s="24"/>
      <c r="C154" s="24"/>
      <c r="D154" s="25"/>
      <c r="E154" s="26"/>
      <c r="F154" s="18"/>
      <c r="G154" s="18"/>
      <c r="H154" s="18"/>
      <c r="I154" s="18"/>
      <c r="J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ht="15.75" customHeight="1">
      <c r="A155" s="24"/>
      <c r="B155" s="24"/>
      <c r="C155" s="24"/>
      <c r="D155" s="25"/>
      <c r="E155" s="26"/>
      <c r="F155" s="18"/>
      <c r="G155" s="18"/>
      <c r="H155" s="18"/>
      <c r="I155" s="18"/>
      <c r="J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 ht="15.75" customHeight="1">
      <c r="A156" s="24"/>
      <c r="B156" s="24"/>
      <c r="C156" s="24"/>
      <c r="D156" s="25"/>
      <c r="E156" s="26"/>
      <c r="F156" s="18"/>
      <c r="G156" s="18"/>
      <c r="H156" s="18"/>
      <c r="I156" s="18"/>
      <c r="J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ht="15.75" customHeight="1">
      <c r="A157" s="24"/>
      <c r="B157" s="24"/>
      <c r="C157" s="24"/>
      <c r="D157" s="25"/>
      <c r="E157" s="26"/>
      <c r="F157" s="18"/>
      <c r="G157" s="18"/>
      <c r="H157" s="18"/>
      <c r="I157" s="18"/>
      <c r="J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ht="15.75" customHeight="1">
      <c r="A158" s="24"/>
      <c r="B158" s="24"/>
      <c r="C158" s="24"/>
      <c r="D158" s="25"/>
      <c r="E158" s="26"/>
      <c r="F158" s="18"/>
      <c r="G158" s="18"/>
      <c r="H158" s="18"/>
      <c r="I158" s="18"/>
      <c r="J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ht="15.75" customHeight="1">
      <c r="A159" s="24"/>
      <c r="B159" s="24"/>
      <c r="C159" s="24"/>
      <c r="D159" s="25"/>
      <c r="E159" s="26"/>
      <c r="F159" s="18"/>
      <c r="G159" s="18"/>
      <c r="H159" s="18"/>
      <c r="I159" s="18"/>
      <c r="J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ht="15.75" customHeight="1">
      <c r="A160" s="24"/>
      <c r="B160" s="24"/>
      <c r="C160" s="24"/>
      <c r="D160" s="25"/>
      <c r="E160" s="26"/>
      <c r="F160" s="18"/>
      <c r="G160" s="18"/>
      <c r="H160" s="18"/>
      <c r="I160" s="18"/>
      <c r="J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ht="15.75" customHeight="1">
      <c r="A161" s="24"/>
      <c r="B161" s="24"/>
      <c r="C161" s="24"/>
      <c r="D161" s="25"/>
      <c r="E161" s="26"/>
      <c r="F161" s="18"/>
      <c r="G161" s="18"/>
      <c r="H161" s="18"/>
      <c r="I161" s="18"/>
      <c r="J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ht="15.75" customHeight="1">
      <c r="A162" s="24"/>
      <c r="B162" s="24"/>
      <c r="C162" s="24"/>
      <c r="D162" s="25"/>
      <c r="E162" s="26"/>
      <c r="F162" s="18"/>
      <c r="G162" s="18"/>
      <c r="H162" s="18"/>
      <c r="I162" s="18"/>
      <c r="J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ht="15.75" customHeight="1">
      <c r="A163" s="24"/>
      <c r="B163" s="24"/>
      <c r="C163" s="24"/>
      <c r="D163" s="25"/>
      <c r="E163" s="26"/>
      <c r="F163" s="18"/>
      <c r="G163" s="18"/>
      <c r="H163" s="18"/>
      <c r="I163" s="18"/>
      <c r="J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ht="15.75" customHeight="1">
      <c r="A164" s="24"/>
      <c r="B164" s="24"/>
      <c r="C164" s="24"/>
      <c r="D164" s="25"/>
      <c r="E164" s="26"/>
      <c r="F164" s="18"/>
      <c r="G164" s="18"/>
      <c r="H164" s="18"/>
      <c r="I164" s="18"/>
      <c r="J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ht="15.75" customHeight="1">
      <c r="A165" s="24"/>
      <c r="B165" s="24"/>
      <c r="C165" s="24"/>
      <c r="D165" s="25"/>
      <c r="E165" s="26"/>
      <c r="F165" s="18"/>
      <c r="G165" s="18"/>
      <c r="H165" s="18"/>
      <c r="I165" s="18"/>
      <c r="J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ht="15.75" customHeight="1">
      <c r="A166" s="24"/>
      <c r="B166" s="24"/>
      <c r="C166" s="24"/>
      <c r="D166" s="25"/>
      <c r="E166" s="26"/>
      <c r="F166" s="18"/>
      <c r="G166" s="18"/>
      <c r="H166" s="18"/>
      <c r="I166" s="18"/>
      <c r="J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ht="15.75" customHeight="1">
      <c r="A167" s="24"/>
      <c r="B167" s="24"/>
      <c r="C167" s="24"/>
      <c r="D167" s="25"/>
      <c r="E167" s="26"/>
      <c r="F167" s="18"/>
      <c r="G167" s="18"/>
      <c r="H167" s="18"/>
      <c r="I167" s="18"/>
      <c r="J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ht="15.75" customHeight="1">
      <c r="A168" s="24"/>
      <c r="B168" s="24"/>
      <c r="C168" s="24"/>
      <c r="D168" s="25"/>
      <c r="E168" s="26"/>
      <c r="F168" s="18"/>
      <c r="G168" s="18"/>
      <c r="H168" s="18"/>
      <c r="I168" s="18"/>
      <c r="J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ht="15.75" customHeight="1">
      <c r="A169" s="24"/>
      <c r="B169" s="24"/>
      <c r="C169" s="24"/>
      <c r="D169" s="25"/>
      <c r="E169" s="26"/>
      <c r="F169" s="18"/>
      <c r="G169" s="18"/>
      <c r="H169" s="18"/>
      <c r="I169" s="18"/>
      <c r="J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ht="15.75" customHeight="1">
      <c r="A170" s="24"/>
      <c r="B170" s="24"/>
      <c r="C170" s="24"/>
      <c r="D170" s="25"/>
      <c r="E170" s="26"/>
      <c r="F170" s="18"/>
      <c r="G170" s="18"/>
      <c r="H170" s="18"/>
      <c r="I170" s="18"/>
      <c r="J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ht="15.75" customHeight="1">
      <c r="A171" s="24"/>
      <c r="B171" s="24"/>
      <c r="C171" s="24"/>
      <c r="D171" s="25"/>
      <c r="E171" s="26"/>
      <c r="F171" s="18"/>
      <c r="G171" s="18"/>
      <c r="H171" s="18"/>
      <c r="I171" s="18"/>
      <c r="J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ht="15.75" customHeight="1">
      <c r="A172" s="24"/>
      <c r="B172" s="24"/>
      <c r="C172" s="24"/>
      <c r="D172" s="25"/>
      <c r="E172" s="26"/>
      <c r="F172" s="18"/>
      <c r="G172" s="18"/>
      <c r="H172" s="18"/>
      <c r="I172" s="18"/>
      <c r="J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ht="15.75" customHeight="1">
      <c r="A173" s="24"/>
      <c r="B173" s="24"/>
      <c r="C173" s="24"/>
      <c r="D173" s="25"/>
      <c r="E173" s="26"/>
      <c r="F173" s="18"/>
      <c r="G173" s="18"/>
      <c r="H173" s="18"/>
      <c r="I173" s="18"/>
      <c r="J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ht="15.75" customHeight="1">
      <c r="A174" s="24"/>
      <c r="B174" s="24"/>
      <c r="C174" s="24"/>
      <c r="D174" s="25"/>
      <c r="E174" s="26"/>
      <c r="F174" s="18"/>
      <c r="G174" s="18"/>
      <c r="H174" s="18"/>
      <c r="I174" s="18"/>
      <c r="J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ht="15.75" customHeight="1">
      <c r="A175" s="24"/>
      <c r="B175" s="24"/>
      <c r="C175" s="24"/>
      <c r="D175" s="25"/>
      <c r="E175" s="26"/>
      <c r="F175" s="18"/>
      <c r="G175" s="18"/>
      <c r="H175" s="18"/>
      <c r="I175" s="18"/>
      <c r="J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ht="15.75" customHeight="1">
      <c r="A176" s="24"/>
      <c r="B176" s="24"/>
      <c r="C176" s="24"/>
      <c r="D176" s="25"/>
      <c r="E176" s="26"/>
      <c r="F176" s="18"/>
      <c r="G176" s="18"/>
      <c r="H176" s="18"/>
      <c r="I176" s="18"/>
      <c r="J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ht="15.75" customHeight="1">
      <c r="A177" s="24"/>
      <c r="B177" s="24"/>
      <c r="C177" s="24"/>
      <c r="D177" s="25"/>
      <c r="E177" s="26"/>
      <c r="F177" s="18"/>
      <c r="G177" s="18"/>
      <c r="H177" s="18"/>
      <c r="I177" s="18"/>
      <c r="J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 ht="15.75" customHeight="1">
      <c r="A178" s="24"/>
      <c r="B178" s="24"/>
      <c r="C178" s="24"/>
      <c r="D178" s="25"/>
      <c r="E178" s="26"/>
      <c r="F178" s="18"/>
      <c r="G178" s="18"/>
      <c r="H178" s="18"/>
      <c r="I178" s="18"/>
      <c r="J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ht="15.75" customHeight="1">
      <c r="A179" s="24"/>
      <c r="B179" s="24"/>
      <c r="C179" s="24"/>
      <c r="D179" s="25"/>
      <c r="E179" s="26"/>
      <c r="F179" s="18"/>
      <c r="G179" s="18"/>
      <c r="H179" s="18"/>
      <c r="I179" s="18"/>
      <c r="J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ht="15.75" customHeight="1">
      <c r="A180" s="24"/>
      <c r="B180" s="24"/>
      <c r="C180" s="24"/>
      <c r="D180" s="25"/>
      <c r="E180" s="26"/>
      <c r="F180" s="18"/>
      <c r="G180" s="18"/>
      <c r="H180" s="18"/>
      <c r="I180" s="18"/>
      <c r="J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ht="15.75" customHeight="1">
      <c r="A181" s="24"/>
      <c r="B181" s="24"/>
      <c r="C181" s="24"/>
      <c r="D181" s="25"/>
      <c r="E181" s="26"/>
      <c r="F181" s="18"/>
      <c r="G181" s="18"/>
      <c r="H181" s="18"/>
      <c r="I181" s="18"/>
      <c r="J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ht="15.75" customHeight="1">
      <c r="A182" s="24"/>
      <c r="B182" s="24"/>
      <c r="C182" s="24"/>
      <c r="D182" s="25"/>
      <c r="E182" s="26"/>
      <c r="F182" s="18"/>
      <c r="G182" s="18"/>
      <c r="H182" s="18"/>
      <c r="I182" s="18"/>
      <c r="J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ht="15.75" customHeight="1">
      <c r="A183" s="24"/>
      <c r="B183" s="24"/>
      <c r="C183" s="24"/>
      <c r="D183" s="25"/>
      <c r="E183" s="26"/>
      <c r="F183" s="18"/>
      <c r="G183" s="18"/>
      <c r="H183" s="18"/>
      <c r="I183" s="18"/>
      <c r="J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ht="15.75" customHeight="1">
      <c r="A184" s="24"/>
      <c r="B184" s="24"/>
      <c r="C184" s="24"/>
      <c r="D184" s="25"/>
      <c r="E184" s="26"/>
      <c r="F184" s="18"/>
      <c r="G184" s="18"/>
      <c r="H184" s="18"/>
      <c r="I184" s="18"/>
      <c r="J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ht="15.75" customHeight="1">
      <c r="A185" s="24"/>
      <c r="B185" s="24"/>
      <c r="C185" s="24"/>
      <c r="D185" s="25"/>
      <c r="E185" s="26"/>
      <c r="F185" s="18"/>
      <c r="G185" s="18"/>
      <c r="H185" s="18"/>
      <c r="I185" s="18"/>
      <c r="J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ht="15.75" customHeight="1">
      <c r="A186" s="24"/>
      <c r="B186" s="24"/>
      <c r="C186" s="24"/>
      <c r="D186" s="25"/>
      <c r="E186" s="26"/>
      <c r="F186" s="18"/>
      <c r="G186" s="18"/>
      <c r="H186" s="18"/>
      <c r="I186" s="18"/>
      <c r="J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ht="15.75" customHeight="1">
      <c r="A187" s="24"/>
      <c r="B187" s="24"/>
      <c r="C187" s="24"/>
      <c r="D187" s="25"/>
      <c r="E187" s="26"/>
      <c r="F187" s="18"/>
      <c r="G187" s="18"/>
      <c r="H187" s="18"/>
      <c r="I187" s="18"/>
      <c r="J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ht="15.75" customHeight="1">
      <c r="A188" s="24"/>
      <c r="B188" s="24"/>
      <c r="C188" s="24"/>
      <c r="D188" s="25"/>
      <c r="E188" s="26"/>
      <c r="F188" s="18"/>
      <c r="G188" s="18"/>
      <c r="H188" s="18"/>
      <c r="I188" s="18"/>
      <c r="J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ht="15.75" customHeight="1">
      <c r="A189" s="24"/>
      <c r="B189" s="24"/>
      <c r="C189" s="24"/>
      <c r="D189" s="25"/>
      <c r="E189" s="26"/>
      <c r="F189" s="18"/>
      <c r="G189" s="18"/>
      <c r="H189" s="18"/>
      <c r="I189" s="18"/>
      <c r="J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 ht="15.75" customHeight="1">
      <c r="A190" s="24"/>
      <c r="B190" s="24"/>
      <c r="C190" s="24"/>
      <c r="D190" s="25"/>
      <c r="E190" s="26"/>
      <c r="F190" s="18"/>
      <c r="G190" s="18"/>
      <c r="H190" s="18"/>
      <c r="I190" s="18"/>
      <c r="J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ht="15.75" customHeight="1">
      <c r="A191" s="24"/>
      <c r="B191" s="24"/>
      <c r="C191" s="24"/>
      <c r="D191" s="25"/>
      <c r="E191" s="26"/>
      <c r="F191" s="18"/>
      <c r="G191" s="18"/>
      <c r="H191" s="18"/>
      <c r="I191" s="18"/>
      <c r="J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ht="15.75" customHeight="1">
      <c r="A192" s="24"/>
      <c r="B192" s="24"/>
      <c r="C192" s="24"/>
      <c r="D192" s="25"/>
      <c r="E192" s="26"/>
      <c r="F192" s="18"/>
      <c r="G192" s="18"/>
      <c r="H192" s="18"/>
      <c r="I192" s="18"/>
      <c r="J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ht="15.75" customHeight="1">
      <c r="A193" s="24"/>
      <c r="B193" s="24"/>
      <c r="C193" s="24"/>
      <c r="D193" s="25"/>
      <c r="E193" s="26"/>
      <c r="F193" s="18"/>
      <c r="G193" s="18"/>
      <c r="H193" s="18"/>
      <c r="I193" s="18"/>
      <c r="J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ht="15.75" customHeight="1">
      <c r="A194" s="24"/>
      <c r="B194" s="24"/>
      <c r="C194" s="24"/>
      <c r="D194" s="25"/>
      <c r="E194" s="26"/>
      <c r="F194" s="18"/>
      <c r="G194" s="18"/>
      <c r="H194" s="18"/>
      <c r="I194" s="18"/>
      <c r="J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ht="15.75" customHeight="1">
      <c r="A195" s="24"/>
      <c r="B195" s="24"/>
      <c r="C195" s="24"/>
      <c r="D195" s="25"/>
      <c r="E195" s="26"/>
      <c r="F195" s="18"/>
      <c r="G195" s="18"/>
      <c r="H195" s="18"/>
      <c r="I195" s="18"/>
      <c r="J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ht="15.75" customHeight="1">
      <c r="A196" s="24"/>
      <c r="B196" s="24"/>
      <c r="C196" s="24"/>
      <c r="D196" s="25"/>
      <c r="E196" s="26"/>
      <c r="F196" s="18"/>
      <c r="G196" s="18"/>
      <c r="H196" s="18"/>
      <c r="I196" s="18"/>
      <c r="J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ht="15.75" customHeight="1">
      <c r="A197" s="24"/>
      <c r="B197" s="24"/>
      <c r="C197" s="24"/>
      <c r="D197" s="25"/>
      <c r="E197" s="26"/>
      <c r="F197" s="18"/>
      <c r="G197" s="18"/>
      <c r="H197" s="18"/>
      <c r="I197" s="18"/>
      <c r="J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ht="15.75" customHeight="1">
      <c r="A198" s="24"/>
      <c r="B198" s="24"/>
      <c r="C198" s="24"/>
      <c r="D198" s="25"/>
      <c r="E198" s="26"/>
      <c r="F198" s="18"/>
      <c r="G198" s="18"/>
      <c r="H198" s="18"/>
      <c r="I198" s="18"/>
      <c r="J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ht="15.75" customHeight="1">
      <c r="A199" s="24"/>
      <c r="B199" s="24"/>
      <c r="C199" s="24"/>
      <c r="D199" s="25"/>
      <c r="E199" s="26"/>
      <c r="F199" s="18"/>
      <c r="G199" s="18"/>
      <c r="H199" s="18"/>
      <c r="I199" s="18"/>
      <c r="J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ht="15.75" customHeight="1">
      <c r="A200" s="24"/>
      <c r="B200" s="24"/>
      <c r="C200" s="24"/>
      <c r="D200" s="25"/>
      <c r="E200" s="26"/>
      <c r="F200" s="18"/>
      <c r="G200" s="18"/>
      <c r="H200" s="18"/>
      <c r="I200" s="18"/>
      <c r="J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ht="15.75" customHeight="1">
      <c r="A201" s="24"/>
      <c r="B201" s="24"/>
      <c r="C201" s="24"/>
      <c r="D201" s="25"/>
      <c r="E201" s="26"/>
      <c r="F201" s="18"/>
      <c r="G201" s="18"/>
      <c r="H201" s="18"/>
      <c r="I201" s="18"/>
      <c r="J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ht="15.75" customHeight="1">
      <c r="A202" s="24"/>
      <c r="B202" s="24"/>
      <c r="C202" s="24"/>
      <c r="D202" s="25"/>
      <c r="E202" s="26"/>
      <c r="F202" s="18"/>
      <c r="G202" s="18"/>
      <c r="H202" s="18"/>
      <c r="I202" s="18"/>
      <c r="J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ht="15.75" customHeight="1">
      <c r="A203" s="24"/>
      <c r="B203" s="24"/>
      <c r="C203" s="24"/>
      <c r="D203" s="25"/>
      <c r="E203" s="26"/>
      <c r="F203" s="18"/>
      <c r="G203" s="18"/>
      <c r="H203" s="18"/>
      <c r="I203" s="18"/>
      <c r="J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ht="15.75" customHeight="1">
      <c r="A204" s="24"/>
      <c r="B204" s="24"/>
      <c r="C204" s="24"/>
      <c r="D204" s="25"/>
      <c r="E204" s="26"/>
      <c r="F204" s="18"/>
      <c r="G204" s="18"/>
      <c r="H204" s="18"/>
      <c r="I204" s="18"/>
      <c r="J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ht="15.75" customHeight="1">
      <c r="A205" s="24"/>
      <c r="B205" s="24"/>
      <c r="C205" s="24"/>
      <c r="D205" s="25"/>
      <c r="E205" s="26"/>
      <c r="F205" s="18"/>
      <c r="G205" s="18"/>
      <c r="H205" s="18"/>
      <c r="I205" s="18"/>
      <c r="J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ht="15.75" customHeight="1">
      <c r="A206" s="24"/>
      <c r="B206" s="24"/>
      <c r="C206" s="24"/>
      <c r="D206" s="25"/>
      <c r="E206" s="26"/>
      <c r="F206" s="18"/>
      <c r="G206" s="18"/>
      <c r="H206" s="18"/>
      <c r="I206" s="18"/>
      <c r="J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ht="15.75" customHeight="1">
      <c r="A207" s="24"/>
      <c r="B207" s="24"/>
      <c r="C207" s="24"/>
      <c r="D207" s="25"/>
      <c r="E207" s="26"/>
      <c r="F207" s="18"/>
      <c r="G207" s="18"/>
      <c r="H207" s="18"/>
      <c r="I207" s="18"/>
      <c r="J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ht="15.75" customHeight="1">
      <c r="A208" s="24"/>
      <c r="B208" s="24"/>
      <c r="C208" s="24"/>
      <c r="D208" s="25"/>
      <c r="E208" s="26"/>
      <c r="F208" s="18"/>
      <c r="G208" s="18"/>
      <c r="H208" s="18"/>
      <c r="I208" s="18"/>
      <c r="J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ht="15.75" customHeight="1">
      <c r="A209" s="24"/>
      <c r="B209" s="24"/>
      <c r="C209" s="24"/>
      <c r="D209" s="25"/>
      <c r="E209" s="26"/>
      <c r="F209" s="18"/>
      <c r="G209" s="18"/>
      <c r="H209" s="18"/>
      <c r="I209" s="18"/>
      <c r="J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ht="15.75" customHeight="1">
      <c r="A210" s="24"/>
      <c r="B210" s="24"/>
      <c r="C210" s="24"/>
      <c r="D210" s="25"/>
      <c r="E210" s="26"/>
      <c r="F210" s="18"/>
      <c r="G210" s="18"/>
      <c r="H210" s="18"/>
      <c r="I210" s="18"/>
      <c r="J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ht="15.75" customHeight="1">
      <c r="A211" s="24"/>
      <c r="B211" s="24"/>
      <c r="C211" s="24"/>
      <c r="D211" s="25"/>
      <c r="E211" s="26"/>
      <c r="F211" s="18"/>
      <c r="G211" s="18"/>
      <c r="H211" s="18"/>
      <c r="I211" s="18"/>
      <c r="J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ht="15.75" customHeight="1">
      <c r="A212" s="24"/>
      <c r="B212" s="24"/>
      <c r="C212" s="24"/>
      <c r="D212" s="25"/>
      <c r="E212" s="26"/>
      <c r="F212" s="18"/>
      <c r="G212" s="18"/>
      <c r="H212" s="18"/>
      <c r="I212" s="18"/>
      <c r="J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ht="15.75" customHeight="1">
      <c r="A213" s="24"/>
      <c r="B213" s="24"/>
      <c r="C213" s="24"/>
      <c r="D213" s="25"/>
      <c r="E213" s="26"/>
      <c r="F213" s="18"/>
      <c r="G213" s="18"/>
      <c r="H213" s="18"/>
      <c r="I213" s="18"/>
      <c r="J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 ht="15.75" customHeight="1">
      <c r="A214" s="24"/>
      <c r="B214" s="24"/>
      <c r="C214" s="24"/>
      <c r="D214" s="25"/>
      <c r="E214" s="26"/>
      <c r="F214" s="18"/>
      <c r="G214" s="18"/>
      <c r="H214" s="18"/>
      <c r="I214" s="18"/>
      <c r="J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ht="15.75" customHeight="1">
      <c r="A215" s="24"/>
      <c r="B215" s="24"/>
      <c r="C215" s="24"/>
      <c r="D215" s="25"/>
      <c r="E215" s="26"/>
      <c r="F215" s="18"/>
      <c r="G215" s="18"/>
      <c r="H215" s="18"/>
      <c r="I215" s="18"/>
      <c r="J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ht="15.75" customHeight="1">
      <c r="A216" s="24"/>
      <c r="B216" s="24"/>
      <c r="C216" s="24"/>
      <c r="D216" s="25"/>
      <c r="E216" s="26"/>
      <c r="F216" s="18"/>
      <c r="G216" s="18"/>
      <c r="H216" s="18"/>
      <c r="I216" s="18"/>
      <c r="J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ht="15.75" customHeight="1">
      <c r="A217" s="24"/>
      <c r="B217" s="24"/>
      <c r="C217" s="24"/>
      <c r="D217" s="25"/>
      <c r="E217" s="26"/>
      <c r="F217" s="18"/>
      <c r="G217" s="18"/>
      <c r="H217" s="18"/>
      <c r="I217" s="18"/>
      <c r="J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ht="15.75" customHeight="1">
      <c r="A218" s="24"/>
      <c r="B218" s="24"/>
      <c r="C218" s="24"/>
      <c r="D218" s="25"/>
      <c r="E218" s="26"/>
      <c r="F218" s="18"/>
      <c r="G218" s="18"/>
      <c r="H218" s="18"/>
      <c r="I218" s="18"/>
      <c r="J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ht="15.75" customHeight="1">
      <c r="A219" s="24"/>
      <c r="B219" s="24"/>
      <c r="C219" s="24"/>
      <c r="D219" s="25"/>
      <c r="E219" s="26"/>
      <c r="F219" s="18"/>
      <c r="G219" s="18"/>
      <c r="H219" s="18"/>
      <c r="I219" s="18"/>
      <c r="J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 ht="15.75" customHeight="1">
      <c r="A220" s="24"/>
      <c r="B220" s="24"/>
      <c r="C220" s="24"/>
      <c r="D220" s="25"/>
      <c r="E220" s="26"/>
      <c r="F220" s="18"/>
      <c r="G220" s="18"/>
      <c r="H220" s="18"/>
      <c r="I220" s="18"/>
      <c r="J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ht="15.75" customHeight="1">
      <c r="A221" s="24"/>
      <c r="B221" s="24"/>
      <c r="C221" s="24"/>
      <c r="D221" s="25"/>
      <c r="E221" s="26"/>
      <c r="F221" s="18"/>
      <c r="G221" s="18"/>
      <c r="H221" s="18"/>
      <c r="I221" s="18"/>
      <c r="J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 ht="15.75" customHeight="1">
      <c r="A222" s="24"/>
      <c r="B222" s="24"/>
      <c r="C222" s="24"/>
      <c r="D222" s="25"/>
      <c r="E222" s="26"/>
      <c r="F222" s="18"/>
      <c r="G222" s="18"/>
      <c r="H222" s="18"/>
      <c r="I222" s="18"/>
      <c r="J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ht="15.75" customHeight="1">
      <c r="A223" s="24"/>
      <c r="B223" s="24"/>
      <c r="C223" s="24"/>
      <c r="D223" s="25"/>
      <c r="E223" s="26"/>
      <c r="F223" s="18"/>
      <c r="G223" s="18"/>
      <c r="H223" s="18"/>
      <c r="I223" s="18"/>
      <c r="J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 ht="15.75" customHeight="1">
      <c r="A224" s="24"/>
      <c r="B224" s="24"/>
      <c r="C224" s="24"/>
      <c r="D224" s="25"/>
      <c r="E224" s="26"/>
      <c r="F224" s="18"/>
      <c r="G224" s="18"/>
      <c r="H224" s="18"/>
      <c r="I224" s="18"/>
      <c r="J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ht="15.75" customHeight="1">
      <c r="A225" s="24"/>
      <c r="B225" s="24"/>
      <c r="C225" s="24"/>
      <c r="D225" s="25"/>
      <c r="E225" s="26"/>
      <c r="F225" s="18"/>
      <c r="G225" s="18"/>
      <c r="H225" s="18"/>
      <c r="I225" s="18"/>
      <c r="J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 ht="15.75" customHeight="1">
      <c r="A226" s="24"/>
      <c r="B226" s="24"/>
      <c r="C226" s="24"/>
      <c r="D226" s="25"/>
      <c r="E226" s="26"/>
      <c r="F226" s="18"/>
      <c r="G226" s="18"/>
      <c r="H226" s="18"/>
      <c r="I226" s="18"/>
      <c r="J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ht="15.75" customHeight="1">
      <c r="A227" s="24"/>
      <c r="B227" s="24"/>
      <c r="C227" s="24"/>
      <c r="D227" s="25"/>
      <c r="E227" s="26"/>
      <c r="F227" s="18"/>
      <c r="G227" s="18"/>
      <c r="H227" s="18"/>
      <c r="I227" s="18"/>
      <c r="J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 ht="15.75" customHeight="1">
      <c r="A228" s="24"/>
      <c r="B228" s="24"/>
      <c r="C228" s="24"/>
      <c r="D228" s="25"/>
      <c r="E228" s="26"/>
      <c r="F228" s="18"/>
      <c r="G228" s="18"/>
      <c r="H228" s="18"/>
      <c r="I228" s="18"/>
      <c r="J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ht="15.75" customHeight="1">
      <c r="A229" s="24"/>
      <c r="B229" s="24"/>
      <c r="C229" s="24"/>
      <c r="D229" s="25"/>
      <c r="E229" s="26"/>
      <c r="F229" s="18"/>
      <c r="G229" s="18"/>
      <c r="H229" s="18"/>
      <c r="I229" s="18"/>
      <c r="J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 ht="15.75" customHeight="1">
      <c r="A230" s="24"/>
      <c r="B230" s="24"/>
      <c r="C230" s="24"/>
      <c r="D230" s="25"/>
      <c r="E230" s="26"/>
      <c r="F230" s="18"/>
      <c r="G230" s="18"/>
      <c r="H230" s="18"/>
      <c r="I230" s="18"/>
      <c r="J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ht="15.75" customHeight="1">
      <c r="A231" s="24"/>
      <c r="B231" s="24"/>
      <c r="C231" s="24"/>
      <c r="D231" s="25"/>
      <c r="E231" s="26"/>
      <c r="F231" s="18"/>
      <c r="G231" s="18"/>
      <c r="H231" s="18"/>
      <c r="I231" s="18"/>
      <c r="J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ht="15.75" customHeight="1">
      <c r="A232" s="24"/>
      <c r="B232" s="24"/>
      <c r="C232" s="24"/>
      <c r="D232" s="25"/>
      <c r="E232" s="26"/>
      <c r="F232" s="18"/>
      <c r="G232" s="18"/>
      <c r="H232" s="18"/>
      <c r="I232" s="18"/>
      <c r="J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ht="15.75" customHeight="1">
      <c r="A233" s="24"/>
      <c r="B233" s="24"/>
      <c r="C233" s="24"/>
      <c r="D233" s="25"/>
      <c r="E233" s="26"/>
      <c r="F233" s="18"/>
      <c r="G233" s="18"/>
      <c r="H233" s="18"/>
      <c r="I233" s="18"/>
      <c r="J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ht="15.75" customHeight="1">
      <c r="A234" s="24"/>
      <c r="B234" s="24"/>
      <c r="C234" s="24"/>
      <c r="D234" s="25"/>
      <c r="E234" s="26"/>
      <c r="F234" s="18"/>
      <c r="G234" s="18"/>
      <c r="H234" s="18"/>
      <c r="I234" s="18"/>
      <c r="J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ht="15.75" customHeight="1">
      <c r="A235" s="24"/>
      <c r="B235" s="24"/>
      <c r="C235" s="24"/>
      <c r="D235" s="25"/>
      <c r="E235" s="26"/>
      <c r="F235" s="18"/>
      <c r="G235" s="18"/>
      <c r="H235" s="18"/>
      <c r="I235" s="18"/>
      <c r="J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ht="15.75" customHeight="1">
      <c r="A236" s="24"/>
      <c r="B236" s="24"/>
      <c r="C236" s="24"/>
      <c r="D236" s="25"/>
      <c r="E236" s="26"/>
      <c r="F236" s="18"/>
      <c r="G236" s="18"/>
      <c r="H236" s="18"/>
      <c r="I236" s="18"/>
      <c r="J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ht="15.75" customHeight="1">
      <c r="A237" s="24"/>
      <c r="B237" s="24"/>
      <c r="C237" s="24"/>
      <c r="D237" s="25"/>
      <c r="E237" s="26"/>
      <c r="F237" s="18"/>
      <c r="G237" s="18"/>
      <c r="H237" s="18"/>
      <c r="I237" s="18"/>
      <c r="J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ht="15.75" customHeight="1">
      <c r="A238" s="24"/>
      <c r="B238" s="24"/>
      <c r="C238" s="24"/>
      <c r="D238" s="25"/>
      <c r="E238" s="26"/>
      <c r="F238" s="18"/>
      <c r="G238" s="18"/>
      <c r="H238" s="18"/>
      <c r="I238" s="18"/>
      <c r="J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ht="15.75" customHeight="1">
      <c r="A239" s="24"/>
      <c r="B239" s="24"/>
      <c r="C239" s="24"/>
      <c r="D239" s="25"/>
      <c r="E239" s="26"/>
      <c r="F239" s="18"/>
      <c r="G239" s="18"/>
      <c r="H239" s="18"/>
      <c r="I239" s="18"/>
      <c r="J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ht="15.75" customHeight="1">
      <c r="A240" s="24"/>
      <c r="B240" s="24"/>
      <c r="C240" s="24"/>
      <c r="D240" s="25"/>
      <c r="E240" s="26"/>
      <c r="F240" s="18"/>
      <c r="G240" s="18"/>
      <c r="H240" s="18"/>
      <c r="I240" s="18"/>
      <c r="J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ht="15.75" customHeight="1">
      <c r="A241" s="24"/>
      <c r="B241" s="24"/>
      <c r="C241" s="24"/>
      <c r="D241" s="25"/>
      <c r="E241" s="26"/>
      <c r="F241" s="18"/>
      <c r="G241" s="18"/>
      <c r="H241" s="18"/>
      <c r="I241" s="18"/>
      <c r="J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ht="15.75" customHeight="1">
      <c r="A242" s="24"/>
      <c r="B242" s="24"/>
      <c r="C242" s="24"/>
      <c r="D242" s="25"/>
      <c r="E242" s="26"/>
      <c r="F242" s="18"/>
      <c r="G242" s="18"/>
      <c r="H242" s="18"/>
      <c r="I242" s="18"/>
      <c r="J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ht="15.75" customHeight="1">
      <c r="A243" s="24"/>
      <c r="B243" s="24"/>
      <c r="C243" s="24"/>
      <c r="D243" s="25"/>
      <c r="E243" s="26"/>
      <c r="F243" s="18"/>
      <c r="G243" s="18"/>
      <c r="H243" s="18"/>
      <c r="I243" s="18"/>
      <c r="J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ht="15.75" customHeight="1">
      <c r="A244" s="24"/>
      <c r="B244" s="24"/>
      <c r="C244" s="24"/>
      <c r="D244" s="25"/>
      <c r="E244" s="26"/>
      <c r="F244" s="18"/>
      <c r="G244" s="18"/>
      <c r="H244" s="18"/>
      <c r="I244" s="18"/>
      <c r="J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ht="15.75" customHeight="1">
      <c r="A245" s="24"/>
      <c r="B245" s="24"/>
      <c r="C245" s="24"/>
      <c r="D245" s="25"/>
      <c r="E245" s="26"/>
      <c r="F245" s="18"/>
      <c r="G245" s="18"/>
      <c r="H245" s="18"/>
      <c r="I245" s="18"/>
      <c r="J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ht="15.75" customHeight="1">
      <c r="A246" s="24"/>
      <c r="B246" s="24"/>
      <c r="C246" s="24"/>
      <c r="D246" s="25"/>
      <c r="E246" s="26"/>
      <c r="F246" s="18"/>
      <c r="G246" s="18"/>
      <c r="H246" s="18"/>
      <c r="I246" s="18"/>
      <c r="J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ht="15.75" customHeight="1">
      <c r="A247" s="24"/>
      <c r="B247" s="24"/>
      <c r="C247" s="24"/>
      <c r="D247" s="25"/>
      <c r="E247" s="26"/>
      <c r="F247" s="18"/>
      <c r="G247" s="18"/>
      <c r="H247" s="18"/>
      <c r="I247" s="18"/>
      <c r="J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ht="15.75" customHeight="1">
      <c r="A248" s="24"/>
      <c r="B248" s="24"/>
      <c r="C248" s="24"/>
      <c r="D248" s="25"/>
      <c r="E248" s="26"/>
      <c r="F248" s="18"/>
      <c r="G248" s="18"/>
      <c r="H248" s="18"/>
      <c r="I248" s="18"/>
      <c r="J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ht="15.75" customHeight="1">
      <c r="A249" s="24"/>
      <c r="B249" s="24"/>
      <c r="C249" s="24"/>
      <c r="D249" s="25"/>
      <c r="E249" s="26"/>
      <c r="F249" s="18"/>
      <c r="G249" s="18"/>
      <c r="H249" s="18"/>
      <c r="I249" s="18"/>
      <c r="J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ht="15.75" customHeight="1">
      <c r="A250" s="24"/>
      <c r="B250" s="24"/>
      <c r="C250" s="24"/>
      <c r="D250" s="25"/>
      <c r="E250" s="26"/>
      <c r="F250" s="18"/>
      <c r="G250" s="18"/>
      <c r="H250" s="18"/>
      <c r="I250" s="18"/>
      <c r="J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ht="15.75" customHeight="1">
      <c r="A251" s="24"/>
      <c r="B251" s="24"/>
      <c r="C251" s="24"/>
      <c r="D251" s="25"/>
      <c r="E251" s="26"/>
      <c r="F251" s="18"/>
      <c r="G251" s="18"/>
      <c r="H251" s="18"/>
      <c r="I251" s="18"/>
      <c r="J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ht="15.75" customHeight="1">
      <c r="A252" s="24"/>
      <c r="B252" s="24"/>
      <c r="C252" s="24"/>
      <c r="D252" s="25"/>
      <c r="E252" s="26"/>
      <c r="F252" s="18"/>
      <c r="G252" s="18"/>
      <c r="H252" s="18"/>
      <c r="I252" s="18"/>
      <c r="J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ht="15.75" customHeight="1">
      <c r="A253" s="24"/>
      <c r="B253" s="24"/>
      <c r="C253" s="24"/>
      <c r="D253" s="25"/>
      <c r="E253" s="26"/>
      <c r="F253" s="18"/>
      <c r="G253" s="18"/>
      <c r="H253" s="18"/>
      <c r="I253" s="18"/>
      <c r="J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ht="15.75" customHeight="1">
      <c r="A254" s="24"/>
      <c r="B254" s="24"/>
      <c r="C254" s="24"/>
      <c r="D254" s="25"/>
      <c r="E254" s="26"/>
      <c r="F254" s="18"/>
      <c r="G254" s="18"/>
      <c r="H254" s="18"/>
      <c r="I254" s="18"/>
      <c r="J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ht="15.75" customHeight="1">
      <c r="A255" s="24"/>
      <c r="B255" s="24"/>
      <c r="C255" s="24"/>
      <c r="D255" s="25"/>
      <c r="E255" s="26"/>
      <c r="F255" s="18"/>
      <c r="G255" s="18"/>
      <c r="H255" s="18"/>
      <c r="I255" s="18"/>
      <c r="J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ht="15.75" customHeight="1">
      <c r="A256" s="24"/>
      <c r="B256" s="24"/>
      <c r="C256" s="24"/>
      <c r="D256" s="25"/>
      <c r="E256" s="26"/>
      <c r="F256" s="18"/>
      <c r="G256" s="18"/>
      <c r="H256" s="18"/>
      <c r="I256" s="18"/>
      <c r="J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ht="15.75" customHeight="1">
      <c r="A257" s="24"/>
      <c r="B257" s="24"/>
      <c r="C257" s="24"/>
      <c r="D257" s="25"/>
      <c r="E257" s="26"/>
      <c r="F257" s="18"/>
      <c r="G257" s="18"/>
      <c r="H257" s="18"/>
      <c r="I257" s="18"/>
      <c r="J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ht="15.75" customHeight="1">
      <c r="A258" s="24"/>
      <c r="B258" s="24"/>
      <c r="C258" s="24"/>
      <c r="D258" s="25"/>
      <c r="E258" s="26"/>
      <c r="F258" s="18"/>
      <c r="G258" s="18"/>
      <c r="H258" s="18"/>
      <c r="I258" s="18"/>
      <c r="J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ht="15.75" customHeight="1">
      <c r="A259" s="24"/>
      <c r="B259" s="24"/>
      <c r="C259" s="24"/>
      <c r="D259" s="25"/>
      <c r="E259" s="26"/>
      <c r="F259" s="18"/>
      <c r="G259" s="18"/>
      <c r="H259" s="18"/>
      <c r="I259" s="18"/>
      <c r="J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ht="15.75" customHeight="1">
      <c r="A260" s="24"/>
      <c r="B260" s="24"/>
      <c r="C260" s="24"/>
      <c r="D260" s="25"/>
      <c r="E260" s="26"/>
      <c r="F260" s="18"/>
      <c r="G260" s="18"/>
      <c r="H260" s="18"/>
      <c r="I260" s="18"/>
      <c r="J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ht="15.75" customHeight="1">
      <c r="A261" s="24"/>
      <c r="B261" s="24"/>
      <c r="C261" s="24"/>
      <c r="D261" s="25"/>
      <c r="E261" s="26"/>
      <c r="F261" s="18"/>
      <c r="G261" s="18"/>
      <c r="H261" s="18"/>
      <c r="I261" s="18"/>
      <c r="J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ht="15.75" customHeight="1">
      <c r="A262" s="24"/>
      <c r="B262" s="24"/>
      <c r="C262" s="24"/>
      <c r="D262" s="25"/>
      <c r="E262" s="26"/>
      <c r="F262" s="18"/>
      <c r="G262" s="18"/>
      <c r="H262" s="18"/>
      <c r="I262" s="18"/>
      <c r="J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ht="15.75" customHeight="1">
      <c r="A263" s="24"/>
      <c r="B263" s="24"/>
      <c r="C263" s="24"/>
      <c r="D263" s="25"/>
      <c r="E263" s="26"/>
      <c r="F263" s="18"/>
      <c r="G263" s="18"/>
      <c r="H263" s="18"/>
      <c r="I263" s="18"/>
      <c r="J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ht="15.75" customHeight="1">
      <c r="A264" s="24"/>
      <c r="B264" s="24"/>
      <c r="C264" s="24"/>
      <c r="D264" s="25"/>
      <c r="E264" s="26"/>
      <c r="F264" s="18"/>
      <c r="G264" s="18"/>
      <c r="H264" s="18"/>
      <c r="I264" s="18"/>
      <c r="J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ht="15.75" customHeight="1">
      <c r="A265" s="24"/>
      <c r="B265" s="24"/>
      <c r="C265" s="24"/>
      <c r="D265" s="25"/>
      <c r="E265" s="26"/>
      <c r="F265" s="18"/>
      <c r="G265" s="18"/>
      <c r="H265" s="18"/>
      <c r="I265" s="18"/>
      <c r="J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</sheetData>
  <autoFilter ref="$E$1:$E$983"/>
  <mergeCells count="2">
    <mergeCell ref="H1:I1"/>
    <mergeCell ref="H2:I2"/>
  </mergeCells>
  <dataValidations>
    <dataValidation type="list" allowBlank="1" sqref="E4:E84">
      <formula1>'รายขื่ออาจารย์'!$B$2:$B$34</formula1>
    </dataValidation>
    <dataValidation type="list" allowBlank="1" sqref="E2:E3">
      <formula1>'รายขื่ออาจารย์'!$B$2:$B$33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6" width="7.43"/>
    <col customWidth="1" min="7" max="7" width="9.29"/>
    <col customWidth="1" min="8" max="9" width="7.43"/>
    <col customWidth="1" min="10" max="10" width="9.71"/>
    <col customWidth="1" min="11" max="11" width="7.43"/>
    <col customWidth="1" min="12" max="12" width="10.71"/>
    <col customWidth="1" min="13" max="14" width="7.71"/>
    <col customWidth="1" min="15" max="17" width="7.43"/>
    <col customWidth="1" min="18" max="19" width="7.14"/>
    <col customWidth="1" min="20" max="21" width="7.43"/>
    <col customWidth="1" min="22" max="22" width="15.14"/>
    <col customWidth="1" min="23" max="23" width="7.43"/>
    <col customWidth="1" min="24" max="24" width="8.57"/>
    <col customWidth="1" min="25" max="25" width="12.0"/>
    <col customWidth="1" min="26" max="26" width="11.29"/>
    <col customWidth="1" min="27" max="27" width="11.57"/>
    <col customWidth="1" min="28" max="28" width="11.43"/>
    <col customWidth="1" min="29" max="29" width="12.71"/>
  </cols>
  <sheetData>
    <row r="1" ht="33.0" customHeight="1">
      <c r="A1" s="95" t="s">
        <v>103</v>
      </c>
      <c r="X1" s="96"/>
      <c r="Y1" s="96"/>
      <c r="Z1" s="96"/>
      <c r="AA1" s="96"/>
      <c r="AB1" s="96"/>
      <c r="AC1" s="96"/>
      <c r="AD1" s="96"/>
      <c r="AE1" s="96"/>
      <c r="AF1" s="96"/>
    </row>
    <row r="2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5"/>
      <c r="W2" s="95"/>
      <c r="X2" s="96"/>
      <c r="Y2" s="96"/>
      <c r="Z2" s="96"/>
      <c r="AA2" s="96"/>
      <c r="AB2" s="96"/>
      <c r="AC2" s="96"/>
      <c r="AE2" s="96"/>
      <c r="AF2" s="96"/>
    </row>
    <row r="3">
      <c r="A3" s="97"/>
      <c r="B3" s="98" t="s">
        <v>104</v>
      </c>
      <c r="C3" s="99"/>
      <c r="D3" s="98" t="s">
        <v>105</v>
      </c>
      <c r="E3" s="99"/>
      <c r="F3" s="98" t="s">
        <v>106</v>
      </c>
      <c r="G3" s="99"/>
      <c r="H3" s="98" t="s">
        <v>107</v>
      </c>
      <c r="I3" s="99"/>
      <c r="J3" s="98" t="s">
        <v>108</v>
      </c>
      <c r="K3" s="99"/>
      <c r="L3" s="100" t="s">
        <v>109</v>
      </c>
      <c r="M3" s="99"/>
      <c r="N3" s="100" t="s">
        <v>110</v>
      </c>
      <c r="O3" s="99"/>
      <c r="P3" s="98" t="s">
        <v>111</v>
      </c>
      <c r="Q3" s="99"/>
      <c r="R3" s="101" t="s">
        <v>112</v>
      </c>
      <c r="S3" s="102"/>
      <c r="T3" s="101" t="s">
        <v>113</v>
      </c>
      <c r="U3" s="102"/>
      <c r="V3" s="95" t="s">
        <v>114</v>
      </c>
      <c r="W3" s="95"/>
      <c r="X3" s="96"/>
      <c r="AE3" s="96"/>
      <c r="AF3" s="96"/>
    </row>
    <row r="4">
      <c r="A4" s="98" t="s">
        <v>115</v>
      </c>
      <c r="B4" s="103" t="s">
        <v>116</v>
      </c>
      <c r="C4" s="104"/>
      <c r="D4" s="104"/>
      <c r="E4" s="102"/>
      <c r="F4" s="105" t="s">
        <v>117</v>
      </c>
      <c r="G4" s="104"/>
      <c r="H4" s="104"/>
      <c r="I4" s="102"/>
      <c r="J4" s="106"/>
      <c r="K4" s="107"/>
      <c r="L4" s="108" t="s">
        <v>118</v>
      </c>
      <c r="M4" s="104"/>
      <c r="N4" s="102"/>
      <c r="O4" s="109" t="s">
        <v>119</v>
      </c>
      <c r="P4" s="104"/>
      <c r="Q4" s="102"/>
      <c r="R4" s="110"/>
      <c r="S4" s="110"/>
      <c r="T4" s="110"/>
      <c r="U4" s="111"/>
      <c r="V4" s="112" t="s">
        <v>120</v>
      </c>
      <c r="W4" s="112">
        <v>40.0</v>
      </c>
      <c r="X4" s="96"/>
      <c r="Y4" s="113" t="s">
        <v>121</v>
      </c>
      <c r="Z4" s="114"/>
      <c r="AA4" s="114"/>
      <c r="AE4" s="96"/>
      <c r="AF4" s="96"/>
    </row>
    <row r="5">
      <c r="A5" s="115"/>
      <c r="B5" s="105" t="s">
        <v>122</v>
      </c>
      <c r="C5" s="104"/>
      <c r="D5" s="104"/>
      <c r="E5" s="102"/>
      <c r="F5" s="105" t="s">
        <v>123</v>
      </c>
      <c r="G5" s="104"/>
      <c r="H5" s="104"/>
      <c r="I5" s="102"/>
      <c r="J5" s="9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7"/>
      <c r="V5" s="112" t="s">
        <v>124</v>
      </c>
      <c r="W5" s="112">
        <v>34.0</v>
      </c>
      <c r="X5" s="96"/>
      <c r="Y5" s="118" t="s">
        <v>125</v>
      </c>
      <c r="Z5" s="119"/>
      <c r="AA5" s="119"/>
      <c r="AB5" s="96"/>
      <c r="AC5" s="96"/>
      <c r="AE5" s="96"/>
      <c r="AF5" s="96"/>
    </row>
    <row r="6">
      <c r="A6" s="115"/>
      <c r="B6" s="120"/>
      <c r="C6" s="121"/>
      <c r="D6" s="121"/>
      <c r="E6" s="121"/>
      <c r="F6" s="121"/>
      <c r="G6" s="121"/>
      <c r="H6" s="121"/>
      <c r="I6" s="121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7"/>
      <c r="V6" s="112" t="s">
        <v>126</v>
      </c>
      <c r="W6" s="112">
        <v>36.0</v>
      </c>
      <c r="X6" s="96"/>
      <c r="Y6" s="118" t="s">
        <v>127</v>
      </c>
      <c r="Z6" s="119"/>
      <c r="AA6" s="119"/>
      <c r="AB6" s="96"/>
      <c r="AC6" s="96"/>
      <c r="AE6" s="96"/>
      <c r="AF6" s="96"/>
    </row>
    <row r="7">
      <c r="A7" s="122"/>
      <c r="B7" s="123"/>
      <c r="C7" s="124"/>
      <c r="D7" s="124"/>
      <c r="E7" s="124"/>
      <c r="F7" s="124"/>
      <c r="G7" s="124"/>
      <c r="H7" s="124"/>
      <c r="I7" s="124"/>
      <c r="J7" s="125"/>
      <c r="K7" s="124"/>
      <c r="L7" s="124"/>
      <c r="M7" s="124"/>
      <c r="N7" s="124"/>
      <c r="O7" s="124"/>
      <c r="P7" s="124"/>
      <c r="Q7" s="126" t="s">
        <v>128</v>
      </c>
      <c r="R7" s="124"/>
      <c r="S7" s="124"/>
      <c r="T7" s="124"/>
      <c r="U7" s="127"/>
      <c r="V7" s="112" t="s">
        <v>129</v>
      </c>
      <c r="W7" s="112">
        <v>36.0</v>
      </c>
      <c r="X7" s="96"/>
      <c r="Y7" s="118" t="s">
        <v>130</v>
      </c>
      <c r="Z7" s="119"/>
      <c r="AA7" s="119"/>
      <c r="AB7" s="96"/>
      <c r="AC7" s="96"/>
      <c r="AE7" s="96"/>
      <c r="AF7" s="96"/>
    </row>
    <row r="8">
      <c r="A8" s="128" t="s">
        <v>131</v>
      </c>
      <c r="E8" s="129" t="s">
        <v>132</v>
      </c>
      <c r="F8" s="130"/>
      <c r="G8" s="99"/>
      <c r="H8" s="129" t="s">
        <v>133</v>
      </c>
      <c r="I8" s="130"/>
      <c r="J8" s="99"/>
      <c r="K8" s="131"/>
      <c r="L8" s="132" t="s">
        <v>134</v>
      </c>
      <c r="M8" s="104"/>
      <c r="N8" s="104"/>
      <c r="O8" s="102"/>
      <c r="P8" s="132" t="s">
        <v>135</v>
      </c>
      <c r="Q8" s="104"/>
      <c r="R8" s="104"/>
      <c r="S8" s="102"/>
      <c r="T8" s="133" t="s">
        <v>136</v>
      </c>
      <c r="U8" s="134"/>
      <c r="V8" s="112" t="s">
        <v>137</v>
      </c>
      <c r="W8" s="112">
        <v>36.0</v>
      </c>
      <c r="X8" s="96"/>
      <c r="Y8" s="135" t="s">
        <v>138</v>
      </c>
      <c r="Z8" s="136"/>
      <c r="AA8" s="136"/>
      <c r="AB8" s="137"/>
      <c r="AC8" s="137"/>
      <c r="AE8" s="96"/>
      <c r="AF8" s="96"/>
    </row>
    <row r="9">
      <c r="A9" s="138"/>
      <c r="B9" s="139"/>
      <c r="C9" s="137"/>
      <c r="D9" s="137"/>
      <c r="E9" s="140" t="s">
        <v>139</v>
      </c>
      <c r="F9" s="141"/>
      <c r="G9" s="142"/>
      <c r="H9" s="140" t="s">
        <v>139</v>
      </c>
      <c r="I9" s="141"/>
      <c r="J9" s="142"/>
      <c r="K9" s="143"/>
      <c r="L9" s="132" t="s">
        <v>140</v>
      </c>
      <c r="M9" s="104"/>
      <c r="N9" s="104"/>
      <c r="O9" s="102"/>
      <c r="P9" s="132" t="s">
        <v>141</v>
      </c>
      <c r="Q9" s="104"/>
      <c r="R9" s="104"/>
      <c r="S9" s="102"/>
      <c r="T9" s="144" t="s">
        <v>120</v>
      </c>
      <c r="U9" s="145"/>
      <c r="V9" s="112" t="s">
        <v>142</v>
      </c>
      <c r="W9" s="112">
        <v>60.0</v>
      </c>
      <c r="X9" s="96"/>
      <c r="Y9" s="137"/>
      <c r="Z9" s="137"/>
      <c r="AA9" s="137"/>
      <c r="AB9" s="137"/>
      <c r="AC9" s="137"/>
      <c r="AD9" s="137"/>
      <c r="AE9" s="96"/>
      <c r="AF9" s="96"/>
    </row>
    <row r="10">
      <c r="A10" s="138"/>
      <c r="B10" s="139"/>
      <c r="C10" s="137"/>
      <c r="D10" s="137"/>
      <c r="E10" s="146" t="s">
        <v>143</v>
      </c>
      <c r="F10" s="104"/>
      <c r="G10" s="102"/>
      <c r="L10" s="147" t="s">
        <v>144</v>
      </c>
      <c r="M10" s="104"/>
      <c r="N10" s="104"/>
      <c r="O10" s="102"/>
      <c r="P10" s="147" t="s">
        <v>145</v>
      </c>
      <c r="Q10" s="104"/>
      <c r="R10" s="104"/>
      <c r="S10" s="102"/>
      <c r="T10" s="148" t="s">
        <v>146</v>
      </c>
      <c r="U10" s="149"/>
      <c r="V10" s="112" t="s">
        <v>147</v>
      </c>
      <c r="W10" s="112">
        <v>40.0</v>
      </c>
      <c r="X10" s="96"/>
      <c r="Y10" s="137"/>
      <c r="Z10" s="137"/>
      <c r="AA10" s="137"/>
      <c r="AB10" s="137"/>
      <c r="AC10" s="137"/>
      <c r="AD10" s="137"/>
      <c r="AE10" s="96"/>
      <c r="AF10" s="96"/>
    </row>
    <row r="11">
      <c r="A11" s="138"/>
      <c r="B11" s="139"/>
      <c r="C11" s="137"/>
      <c r="D11" s="137"/>
      <c r="L11" s="147" t="s">
        <v>148</v>
      </c>
      <c r="M11" s="104"/>
      <c r="N11" s="104"/>
      <c r="O11" s="102"/>
      <c r="P11" s="147" t="s">
        <v>149</v>
      </c>
      <c r="Q11" s="104"/>
      <c r="R11" s="104"/>
      <c r="S11" s="102"/>
      <c r="T11" s="95"/>
      <c r="U11" s="149"/>
      <c r="V11" s="112" t="s">
        <v>150</v>
      </c>
      <c r="W11" s="112">
        <v>36.0</v>
      </c>
      <c r="X11" s="96"/>
      <c r="Y11" s="137"/>
      <c r="Z11" s="137"/>
      <c r="AA11" s="137"/>
      <c r="AB11" s="137"/>
      <c r="AC11" s="137"/>
      <c r="AD11" s="137"/>
      <c r="AE11" s="96"/>
      <c r="AF11" s="96"/>
    </row>
    <row r="12">
      <c r="A12" s="150"/>
      <c r="B12" s="139"/>
      <c r="C12" s="137"/>
      <c r="D12" s="137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2"/>
      <c r="U12" s="153"/>
      <c r="V12" s="112" t="s">
        <v>151</v>
      </c>
      <c r="W12" s="112">
        <v>36.0</v>
      </c>
      <c r="X12" s="96"/>
      <c r="Y12" s="137"/>
      <c r="Z12" s="137"/>
      <c r="AA12" s="137"/>
      <c r="AB12" s="137"/>
      <c r="AC12" s="137"/>
      <c r="AD12" s="137"/>
      <c r="AE12" s="96"/>
      <c r="AF12" s="96"/>
    </row>
    <row r="13">
      <c r="A13" s="98" t="s">
        <v>152</v>
      </c>
      <c r="B13" s="154"/>
      <c r="C13" s="106"/>
      <c r="D13" s="106"/>
      <c r="E13" s="106"/>
      <c r="F13" s="106"/>
      <c r="G13" s="106"/>
      <c r="H13" s="106"/>
      <c r="I13" s="106"/>
      <c r="J13" s="96"/>
      <c r="K13" s="96"/>
      <c r="L13" s="106"/>
      <c r="M13" s="106"/>
      <c r="N13" s="106"/>
      <c r="O13" s="106"/>
      <c r="P13" s="106"/>
      <c r="Q13" s="106"/>
      <c r="R13" s="106"/>
      <c r="S13" s="106"/>
      <c r="T13" s="96"/>
      <c r="U13" s="111"/>
      <c r="X13" s="96"/>
      <c r="Y13" s="96"/>
      <c r="Z13" s="96"/>
      <c r="AA13" s="96"/>
      <c r="AB13" s="96"/>
      <c r="AC13" s="96"/>
      <c r="AD13" s="96"/>
      <c r="AE13" s="96"/>
      <c r="AF13" s="96"/>
    </row>
    <row r="14">
      <c r="A14" s="122"/>
      <c r="B14" s="155"/>
      <c r="C14" s="156"/>
      <c r="D14" s="156"/>
      <c r="E14" s="156"/>
      <c r="F14" s="156"/>
      <c r="G14" s="156"/>
      <c r="H14" s="156"/>
      <c r="I14" s="156"/>
      <c r="J14" s="96"/>
      <c r="K14" s="96"/>
      <c r="L14" s="156"/>
      <c r="M14" s="156"/>
      <c r="N14" s="156"/>
      <c r="O14" s="156"/>
      <c r="P14" s="156"/>
      <c r="Q14" s="156"/>
      <c r="R14" s="96"/>
      <c r="S14" s="96"/>
      <c r="U14" s="149"/>
      <c r="V14" s="112"/>
      <c r="W14" s="112"/>
      <c r="X14" s="96"/>
      <c r="Y14" s="96"/>
      <c r="Z14" s="96"/>
      <c r="AA14" s="96"/>
      <c r="AB14" s="96"/>
      <c r="AC14" s="96"/>
      <c r="AD14" s="96"/>
      <c r="AE14" s="96"/>
      <c r="AF14" s="96"/>
    </row>
    <row r="15">
      <c r="A15" s="128" t="s">
        <v>153</v>
      </c>
      <c r="B15" s="105" t="s">
        <v>154</v>
      </c>
      <c r="C15" s="104"/>
      <c r="D15" s="104"/>
      <c r="E15" s="102"/>
      <c r="F15" s="105" t="s">
        <v>155</v>
      </c>
      <c r="G15" s="104"/>
      <c r="H15" s="104"/>
      <c r="I15" s="102"/>
      <c r="J15" s="157"/>
      <c r="K15" s="158"/>
      <c r="L15" s="108" t="s">
        <v>118</v>
      </c>
      <c r="M15" s="104"/>
      <c r="N15" s="102"/>
      <c r="O15" s="109" t="s">
        <v>119</v>
      </c>
      <c r="P15" s="104"/>
      <c r="Q15" s="102"/>
      <c r="R15" s="106"/>
      <c r="S15" s="106"/>
      <c r="T15" s="106"/>
      <c r="U15" s="111"/>
      <c r="V15" s="112"/>
      <c r="W15" s="112"/>
      <c r="X15" s="96"/>
      <c r="AE15" s="96"/>
      <c r="AF15" s="96"/>
    </row>
    <row r="16">
      <c r="A16" s="138"/>
      <c r="B16" s="103" t="s">
        <v>156</v>
      </c>
      <c r="C16" s="104"/>
      <c r="D16" s="104"/>
      <c r="E16" s="102"/>
      <c r="F16" s="105" t="s">
        <v>157</v>
      </c>
      <c r="G16" s="104"/>
      <c r="H16" s="104"/>
      <c r="I16" s="102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60"/>
      <c r="V16" s="112"/>
      <c r="W16" s="112"/>
      <c r="X16" s="96"/>
      <c r="AE16" s="96"/>
      <c r="AF16" s="96"/>
    </row>
    <row r="17">
      <c r="A17" s="138"/>
      <c r="B17" s="161" t="s">
        <v>158</v>
      </c>
      <c r="C17" s="104"/>
      <c r="D17" s="104"/>
      <c r="E17" s="102"/>
      <c r="F17" s="161" t="s">
        <v>159</v>
      </c>
      <c r="G17" s="104"/>
      <c r="H17" s="104"/>
      <c r="I17" s="102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/>
      <c r="V17" s="95"/>
      <c r="W17" s="95"/>
      <c r="X17" s="96"/>
      <c r="Y17" s="96"/>
      <c r="Z17" s="96"/>
      <c r="AA17" s="96"/>
      <c r="AB17" s="96"/>
      <c r="AC17" s="96"/>
      <c r="AD17" s="96"/>
      <c r="AE17" s="96"/>
      <c r="AF17" s="96"/>
    </row>
    <row r="18">
      <c r="A18" s="138"/>
      <c r="B18" s="161" t="s">
        <v>160</v>
      </c>
      <c r="C18" s="104"/>
      <c r="D18" s="104"/>
      <c r="E18" s="102"/>
      <c r="F18" s="161" t="s">
        <v>161</v>
      </c>
      <c r="G18" s="104"/>
      <c r="H18" s="104"/>
      <c r="I18" s="102"/>
      <c r="J18" s="148" t="s">
        <v>146</v>
      </c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/>
      <c r="V18" s="95"/>
      <c r="W18" s="95"/>
      <c r="X18" s="96"/>
      <c r="Y18" s="96"/>
      <c r="Z18" s="96"/>
      <c r="AA18" s="96"/>
      <c r="AB18" s="96"/>
      <c r="AC18" s="96"/>
      <c r="AD18" s="96"/>
      <c r="AE18" s="96"/>
      <c r="AF18" s="96"/>
    </row>
    <row r="19">
      <c r="A19" s="150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2"/>
      <c r="V19" s="95"/>
      <c r="W19" s="95"/>
      <c r="X19" s="96"/>
      <c r="Y19" s="96"/>
      <c r="Z19" s="96"/>
      <c r="AA19" s="96"/>
      <c r="AB19" s="96"/>
      <c r="AC19" s="96"/>
      <c r="AD19" s="96"/>
      <c r="AE19" s="96"/>
      <c r="AF19" s="96"/>
    </row>
    <row r="20" ht="15.75" customHeight="1">
      <c r="A20" s="98" t="s">
        <v>162</v>
      </c>
      <c r="E20" s="163" t="s">
        <v>132</v>
      </c>
      <c r="F20" s="130"/>
      <c r="G20" s="99"/>
      <c r="H20" s="163" t="s">
        <v>133</v>
      </c>
      <c r="I20" s="130"/>
      <c r="J20" s="99"/>
      <c r="K20" s="131"/>
      <c r="L20" s="132" t="s">
        <v>163</v>
      </c>
      <c r="M20" s="104"/>
      <c r="N20" s="104"/>
      <c r="O20" s="102"/>
      <c r="P20" s="132" t="s">
        <v>135</v>
      </c>
      <c r="Q20" s="104"/>
      <c r="R20" s="104"/>
      <c r="S20" s="102"/>
      <c r="T20" s="164" t="s">
        <v>147</v>
      </c>
      <c r="U20" s="165"/>
      <c r="V20" s="95"/>
      <c r="W20" s="95"/>
      <c r="X20" s="96"/>
      <c r="Y20" s="137"/>
      <c r="Z20" s="137"/>
      <c r="AA20" s="137"/>
      <c r="AB20" s="137"/>
      <c r="AC20" s="137"/>
      <c r="AD20" s="137"/>
      <c r="AE20" s="96"/>
      <c r="AF20" s="96"/>
    </row>
    <row r="21" ht="15.75" customHeight="1">
      <c r="A21" s="115"/>
      <c r="B21" s="166"/>
      <c r="C21" s="96"/>
      <c r="D21" s="96"/>
      <c r="E21" s="140" t="s">
        <v>164</v>
      </c>
      <c r="F21" s="141"/>
      <c r="G21" s="142"/>
      <c r="H21" s="140" t="s">
        <v>164</v>
      </c>
      <c r="I21" s="141"/>
      <c r="J21" s="142"/>
      <c r="K21" s="143"/>
      <c r="L21" s="132" t="s">
        <v>165</v>
      </c>
      <c r="M21" s="104"/>
      <c r="N21" s="104"/>
      <c r="O21" s="102"/>
      <c r="P21" s="132" t="s">
        <v>166</v>
      </c>
      <c r="Q21" s="104"/>
      <c r="R21" s="104"/>
      <c r="S21" s="102"/>
      <c r="T21" s="137"/>
      <c r="U21" s="167"/>
      <c r="V21" s="95"/>
      <c r="W21" s="95"/>
      <c r="X21" s="96"/>
      <c r="Y21" s="137"/>
      <c r="Z21" s="137"/>
      <c r="AA21" s="137"/>
      <c r="AB21" s="137"/>
      <c r="AC21" s="137"/>
      <c r="AD21" s="137"/>
      <c r="AE21" s="96"/>
      <c r="AF21" s="96"/>
    </row>
    <row r="22" ht="15.75" customHeight="1">
      <c r="A22" s="115"/>
      <c r="B22" s="166"/>
      <c r="C22" s="96"/>
      <c r="D22" s="96"/>
      <c r="E22" s="146" t="s">
        <v>143</v>
      </c>
      <c r="F22" s="104"/>
      <c r="G22" s="102"/>
      <c r="K22" s="143"/>
      <c r="U22" s="167"/>
      <c r="V22" s="95"/>
      <c r="W22" s="95"/>
      <c r="X22" s="96"/>
      <c r="Y22" s="137"/>
      <c r="Z22" s="137"/>
      <c r="AA22" s="137"/>
      <c r="AB22" s="137"/>
      <c r="AC22" s="137"/>
      <c r="AD22" s="137"/>
      <c r="AE22" s="96"/>
      <c r="AF22" s="96"/>
    </row>
    <row r="23" ht="15.75" customHeight="1">
      <c r="A23" s="115"/>
      <c r="B23" s="166"/>
      <c r="C23" s="96"/>
      <c r="D23" s="96"/>
      <c r="K23" s="143"/>
      <c r="L23" s="168" t="s">
        <v>167</v>
      </c>
      <c r="M23" s="130"/>
      <c r="N23" s="130"/>
      <c r="O23" s="130"/>
      <c r="P23" s="130"/>
      <c r="Q23" s="99"/>
      <c r="R23" s="169" t="s">
        <v>168</v>
      </c>
      <c r="U23" s="170"/>
      <c r="W23" s="95"/>
      <c r="X23" s="96"/>
      <c r="Y23" s="137"/>
      <c r="Z23" s="137"/>
      <c r="AA23" s="137"/>
      <c r="AB23" s="137"/>
      <c r="AC23" s="137"/>
      <c r="AD23" s="137"/>
      <c r="AE23" s="96"/>
      <c r="AF23" s="96"/>
    </row>
    <row r="24" ht="15.75" customHeight="1">
      <c r="A24" s="122"/>
      <c r="B24" s="155"/>
      <c r="C24" s="156"/>
      <c r="D24" s="156"/>
      <c r="E24" s="171"/>
      <c r="F24" s="151"/>
      <c r="G24" s="151"/>
      <c r="H24" s="172"/>
      <c r="I24" s="151"/>
      <c r="J24" s="172"/>
      <c r="K24" s="172"/>
      <c r="L24" s="173" t="s">
        <v>169</v>
      </c>
      <c r="M24" s="141"/>
      <c r="N24" s="141"/>
      <c r="O24" s="141"/>
      <c r="P24" s="141"/>
      <c r="Q24" s="142"/>
      <c r="R24" s="151"/>
      <c r="S24" s="151"/>
      <c r="T24" s="151"/>
      <c r="U24" s="174"/>
      <c r="W24" s="95"/>
      <c r="X24" s="96"/>
      <c r="Y24" s="137"/>
      <c r="Z24" s="137"/>
      <c r="AA24" s="137"/>
      <c r="AB24" s="137"/>
      <c r="AC24" s="137"/>
      <c r="AD24" s="137"/>
      <c r="AE24" s="96"/>
      <c r="AF24" s="96"/>
    </row>
    <row r="25" ht="15.75" customHeight="1">
      <c r="A25" s="17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Y25" s="96"/>
      <c r="Z25" s="96"/>
      <c r="AA25" s="96"/>
      <c r="AB25" s="96"/>
      <c r="AC25" s="96"/>
      <c r="AD25" s="96"/>
      <c r="AE25" s="96"/>
      <c r="AF25" s="96"/>
    </row>
    <row r="26" ht="15.75" customHeight="1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43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43"/>
      <c r="Z26" s="143"/>
      <c r="AA26" s="143"/>
      <c r="AB26" s="143"/>
      <c r="AC26" s="143"/>
      <c r="AD26" s="143"/>
      <c r="AE26" s="143"/>
      <c r="AF26" s="143"/>
    </row>
    <row r="27" ht="15.75" customHeight="1">
      <c r="A27" s="176"/>
      <c r="B27" s="178" t="s">
        <v>170</v>
      </c>
      <c r="C27" s="178" t="s">
        <v>171</v>
      </c>
      <c r="D27" s="178"/>
      <c r="E27" s="178"/>
      <c r="F27" s="178"/>
      <c r="G27" s="178"/>
      <c r="H27" s="178"/>
      <c r="I27" s="178" t="s">
        <v>172</v>
      </c>
      <c r="J27" s="178" t="s">
        <v>173</v>
      </c>
      <c r="K27" s="179"/>
      <c r="L27" s="179"/>
      <c r="M27" s="180"/>
      <c r="N27" s="181" t="s">
        <v>170</v>
      </c>
      <c r="O27" s="181" t="s">
        <v>171</v>
      </c>
      <c r="P27" s="181"/>
      <c r="Q27" s="181"/>
      <c r="R27" s="181"/>
      <c r="T27" s="181" t="s">
        <v>172</v>
      </c>
      <c r="U27" s="181" t="s">
        <v>173</v>
      </c>
      <c r="V27" s="179"/>
      <c r="W27" s="179"/>
      <c r="X27" s="179"/>
      <c r="Y27" s="180"/>
      <c r="Z27" s="180"/>
      <c r="AA27" s="180"/>
      <c r="AB27" s="180"/>
      <c r="AC27" s="180"/>
      <c r="AD27" s="180"/>
      <c r="AE27" s="180"/>
      <c r="AF27" s="180"/>
    </row>
    <row r="28" ht="15.75" customHeight="1">
      <c r="A28" s="175"/>
      <c r="B28" s="182" t="s">
        <v>174</v>
      </c>
      <c r="C28" s="183" t="s">
        <v>175</v>
      </c>
      <c r="D28" s="183"/>
      <c r="E28" s="183"/>
      <c r="F28" s="183"/>
      <c r="G28" s="183"/>
      <c r="H28" s="183"/>
      <c r="I28" s="184" t="s">
        <v>176</v>
      </c>
      <c r="J28" s="112">
        <v>3.0</v>
      </c>
      <c r="K28" s="185" t="s">
        <v>177</v>
      </c>
      <c r="M28" s="96"/>
      <c r="N28" s="182" t="s">
        <v>174</v>
      </c>
      <c r="O28" s="183" t="s">
        <v>178</v>
      </c>
      <c r="P28" s="186"/>
      <c r="Q28" s="186"/>
      <c r="R28" s="187"/>
      <c r="S28" s="188"/>
      <c r="T28" s="189" t="s">
        <v>179</v>
      </c>
      <c r="U28" s="112">
        <v>3.0</v>
      </c>
      <c r="V28" s="185" t="s">
        <v>177</v>
      </c>
      <c r="W28" s="190"/>
      <c r="Y28" s="96"/>
      <c r="Z28" s="96"/>
      <c r="AA28" s="96"/>
      <c r="AB28" s="96"/>
      <c r="AC28" s="96"/>
      <c r="AD28" s="96"/>
      <c r="AE28" s="96"/>
      <c r="AF28" s="96"/>
    </row>
    <row r="29" ht="15.75" customHeight="1">
      <c r="A29" s="175"/>
      <c r="B29" s="191">
        <v>140104.0</v>
      </c>
      <c r="C29" s="183" t="s">
        <v>180</v>
      </c>
      <c r="D29" s="183"/>
      <c r="E29" s="183"/>
      <c r="F29" s="183"/>
      <c r="G29" s="183"/>
      <c r="H29" s="183"/>
      <c r="I29" s="184" t="s">
        <v>176</v>
      </c>
      <c r="J29" s="112">
        <v>3.0</v>
      </c>
      <c r="K29" s="185" t="s">
        <v>177</v>
      </c>
      <c r="M29" s="96"/>
      <c r="N29" s="191">
        <v>140104.0</v>
      </c>
      <c r="O29" s="183" t="s">
        <v>181</v>
      </c>
      <c r="P29" s="186"/>
      <c r="Q29" s="186"/>
      <c r="R29" s="187"/>
      <c r="S29" s="188"/>
      <c r="T29" s="189" t="s">
        <v>179</v>
      </c>
      <c r="U29" s="112">
        <v>3.0</v>
      </c>
      <c r="V29" s="185" t="s">
        <v>177</v>
      </c>
      <c r="W29" s="190"/>
      <c r="Y29" s="96"/>
      <c r="Z29" s="96"/>
      <c r="AA29" s="96"/>
      <c r="AB29" s="96"/>
      <c r="AC29" s="96"/>
      <c r="AD29" s="96"/>
      <c r="AE29" s="96"/>
      <c r="AF29" s="96"/>
    </row>
    <row r="30" ht="15.75" customHeight="1">
      <c r="A30" s="175"/>
      <c r="B30" s="191">
        <v>954140.0</v>
      </c>
      <c r="C30" s="183" t="s">
        <v>182</v>
      </c>
      <c r="D30" s="183"/>
      <c r="E30" s="183"/>
      <c r="F30" s="183"/>
      <c r="G30" s="183"/>
      <c r="H30" s="183"/>
      <c r="I30" s="183" t="s">
        <v>183</v>
      </c>
      <c r="J30" s="112">
        <v>3.0</v>
      </c>
      <c r="K30" s="185" t="s">
        <v>177</v>
      </c>
      <c r="M30" s="96"/>
      <c r="N30" s="191">
        <v>954140.0</v>
      </c>
      <c r="O30" s="183" t="s">
        <v>184</v>
      </c>
      <c r="P30" s="186"/>
      <c r="Q30" s="186"/>
      <c r="R30" s="187"/>
      <c r="S30" s="188"/>
      <c r="T30" s="192">
        <v>701.0</v>
      </c>
      <c r="U30" s="112">
        <v>3.0</v>
      </c>
      <c r="V30" s="190"/>
      <c r="W30" s="190"/>
      <c r="Y30" s="96"/>
      <c r="Z30" s="96"/>
      <c r="AA30" s="96"/>
      <c r="AB30" s="96"/>
      <c r="AC30" s="96"/>
      <c r="AD30" s="96"/>
      <c r="AE30" s="96"/>
      <c r="AF30" s="96"/>
    </row>
    <row r="31" ht="15.75" customHeight="1">
      <c r="A31" s="175"/>
      <c r="B31" s="191">
        <v>954142.0</v>
      </c>
      <c r="C31" s="183" t="s">
        <v>185</v>
      </c>
      <c r="D31" s="183"/>
      <c r="E31" s="183"/>
      <c r="F31" s="183"/>
      <c r="G31" s="183"/>
      <c r="H31" s="183"/>
      <c r="I31" s="183" t="s">
        <v>183</v>
      </c>
      <c r="J31" s="112">
        <v>3.0</v>
      </c>
      <c r="K31" s="96"/>
      <c r="M31" s="96"/>
      <c r="N31" s="191">
        <v>954142.0</v>
      </c>
      <c r="O31" s="183" t="s">
        <v>186</v>
      </c>
      <c r="P31" s="186"/>
      <c r="Q31" s="186"/>
      <c r="R31" s="187"/>
      <c r="S31" s="188"/>
      <c r="T31" s="192">
        <v>701.0</v>
      </c>
      <c r="U31" s="112">
        <v>3.0</v>
      </c>
      <c r="V31" s="190"/>
      <c r="W31" s="190"/>
      <c r="Y31" s="96"/>
      <c r="Z31" s="96"/>
      <c r="AA31" s="96"/>
      <c r="AB31" s="96"/>
      <c r="AC31" s="96"/>
      <c r="AD31" s="96"/>
      <c r="AE31" s="96"/>
      <c r="AF31" s="96"/>
    </row>
    <row r="32" ht="15.75" customHeight="1">
      <c r="A32" s="175"/>
      <c r="B32" s="191">
        <v>954100.0</v>
      </c>
      <c r="C32" s="183" t="s">
        <v>187</v>
      </c>
      <c r="D32" s="183"/>
      <c r="E32" s="183"/>
      <c r="F32" s="183"/>
      <c r="G32" s="183"/>
      <c r="H32" s="183"/>
      <c r="I32" s="183" t="s">
        <v>188</v>
      </c>
      <c r="J32" s="112">
        <v>3.0</v>
      </c>
      <c r="K32" s="96"/>
      <c r="M32" s="96"/>
      <c r="N32" s="191">
        <v>954100.0</v>
      </c>
      <c r="O32" s="183" t="s">
        <v>189</v>
      </c>
      <c r="P32" s="186"/>
      <c r="Q32" s="186"/>
      <c r="R32" s="187"/>
      <c r="S32" s="188"/>
      <c r="T32" s="192">
        <v>701.0</v>
      </c>
      <c r="U32" s="112">
        <v>3.0</v>
      </c>
      <c r="V32" s="190"/>
      <c r="W32" s="190"/>
      <c r="Y32" s="96"/>
      <c r="Z32" s="96"/>
      <c r="AA32" s="96"/>
      <c r="AB32" s="96"/>
      <c r="AC32" s="96"/>
      <c r="AD32" s="96"/>
      <c r="AE32" s="96"/>
      <c r="AF32" s="96"/>
    </row>
    <row r="33" ht="15.75" customHeight="1">
      <c r="A33" s="175"/>
      <c r="B33" s="191" t="s">
        <v>190</v>
      </c>
      <c r="C33" s="183" t="s">
        <v>191</v>
      </c>
      <c r="D33" s="183"/>
      <c r="E33" s="183"/>
      <c r="F33" s="183"/>
      <c r="G33" s="183"/>
      <c r="H33" s="183"/>
      <c r="I33" s="112" t="s">
        <v>176</v>
      </c>
      <c r="J33" s="112">
        <v>3.0</v>
      </c>
      <c r="K33" s="185" t="s">
        <v>177</v>
      </c>
      <c r="M33" s="96"/>
      <c r="N33" s="191">
        <v>953111.0</v>
      </c>
      <c r="O33" s="183" t="s">
        <v>191</v>
      </c>
      <c r="P33" s="186"/>
      <c r="Q33" s="186"/>
      <c r="R33" s="187"/>
      <c r="S33" s="187"/>
      <c r="T33" s="192">
        <v>701.0</v>
      </c>
      <c r="U33" s="112">
        <v>3.0</v>
      </c>
      <c r="V33" s="185" t="s">
        <v>177</v>
      </c>
      <c r="W33" s="186"/>
      <c r="X33" s="183"/>
      <c r="Y33" s="193"/>
      <c r="Z33" s="96"/>
      <c r="AA33" s="96"/>
      <c r="AB33" s="96"/>
      <c r="AC33" s="96"/>
      <c r="AD33" s="96"/>
      <c r="AE33" s="96"/>
      <c r="AF33" s="96"/>
    </row>
    <row r="34" ht="15.75" customHeight="1">
      <c r="A34" s="175"/>
      <c r="B34" s="183"/>
      <c r="C34" s="183"/>
      <c r="E34" s="194"/>
      <c r="F34" s="183"/>
      <c r="G34" s="183"/>
      <c r="H34" s="183"/>
      <c r="I34" s="183"/>
      <c r="J34" s="195"/>
      <c r="K34" s="96"/>
      <c r="M34" s="96"/>
      <c r="N34" s="186"/>
      <c r="O34" s="186"/>
      <c r="P34" s="186"/>
      <c r="Q34" s="186"/>
      <c r="S34" s="186" t="s">
        <v>192</v>
      </c>
      <c r="T34" s="186"/>
      <c r="U34" s="186"/>
      <c r="V34" s="190"/>
      <c r="W34" s="190"/>
      <c r="Y34" s="96"/>
      <c r="Z34" s="96"/>
      <c r="AA34" s="96"/>
      <c r="AB34" s="96"/>
      <c r="AC34" s="96"/>
      <c r="AD34" s="96"/>
      <c r="AE34" s="96"/>
      <c r="AF34" s="96"/>
    </row>
    <row r="35" ht="15.75" customHeight="1">
      <c r="A35" s="96"/>
      <c r="B35" s="183"/>
      <c r="C35" s="187"/>
      <c r="D35" s="187"/>
      <c r="E35" s="183"/>
      <c r="F35" s="183"/>
      <c r="G35" s="196" t="s">
        <v>193</v>
      </c>
      <c r="H35" s="183"/>
      <c r="I35" s="183"/>
      <c r="J35" s="197">
        <f>SUM(J28:J34)</f>
        <v>18</v>
      </c>
      <c r="K35" s="96"/>
      <c r="M35" s="96"/>
      <c r="N35" s="187"/>
      <c r="O35" s="187"/>
      <c r="P35" s="187"/>
      <c r="Q35" s="187"/>
      <c r="R35" s="187"/>
      <c r="S35" s="198" t="s">
        <v>194</v>
      </c>
      <c r="U35" s="197">
        <f>SUM(U28:U33)</f>
        <v>18</v>
      </c>
      <c r="Y35" s="96"/>
      <c r="Z35" s="96"/>
      <c r="AA35" s="96"/>
      <c r="AB35" s="96"/>
      <c r="AC35" s="96"/>
      <c r="AD35" s="96"/>
      <c r="AE35" s="96"/>
      <c r="AF35" s="96"/>
    </row>
    <row r="36" ht="15.75" customHeight="1">
      <c r="A36" s="96"/>
      <c r="B36" s="96"/>
      <c r="C36" s="96"/>
      <c r="L36" s="96"/>
      <c r="M36" s="96"/>
      <c r="Y36" s="96"/>
      <c r="Z36" s="96"/>
      <c r="AA36" s="96"/>
      <c r="AB36" s="96"/>
      <c r="AC36" s="96"/>
      <c r="AD36" s="96"/>
      <c r="AE36" s="96"/>
      <c r="AF36" s="96"/>
    </row>
    <row r="37" ht="15.75" customHeight="1">
      <c r="A37" s="119"/>
      <c r="B37" s="199" t="s">
        <v>195</v>
      </c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</row>
    <row r="38" ht="15.75" customHeight="1">
      <c r="A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</row>
    <row r="39" ht="15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121"/>
      <c r="P39" s="201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</row>
    <row r="40" ht="15.75" customHeight="1">
      <c r="A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</row>
    <row r="41" ht="15.75" customHeight="1">
      <c r="A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</row>
    <row r="42" ht="15.75" customHeight="1">
      <c r="A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</row>
    <row r="43" ht="15.75" customHeight="1">
      <c r="A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</row>
    <row r="44" ht="15.75" customHeight="1">
      <c r="A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</row>
    <row r="45" ht="15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</row>
    <row r="46" ht="15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</row>
    <row r="47" ht="15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</row>
    <row r="48" ht="15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</row>
    <row r="49" ht="15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</row>
    <row r="50" ht="15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</row>
    <row r="51" ht="15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</row>
    <row r="52" ht="15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</row>
    <row r="53" ht="15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</row>
    <row r="54" ht="15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</row>
    <row r="55" ht="15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</row>
    <row r="56" ht="15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</row>
    <row r="57" ht="15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</row>
    <row r="58" ht="15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</row>
    <row r="59" ht="15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</row>
    <row r="60" ht="15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</row>
    <row r="61" ht="15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</row>
    <row r="62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</row>
    <row r="63" ht="15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</row>
    <row r="64" ht="15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</row>
    <row r="65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</row>
    <row r="66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</row>
    <row r="67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</row>
    <row r="68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</row>
    <row r="69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</row>
    <row r="70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</row>
    <row r="71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</row>
    <row r="72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</row>
    <row r="73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</row>
    <row r="74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</row>
    <row r="75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</row>
    <row r="7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</row>
    <row r="77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</row>
    <row r="78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</row>
    <row r="79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</row>
    <row r="80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</row>
    <row r="81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</row>
    <row r="82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</row>
    <row r="83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</row>
    <row r="84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</row>
    <row r="85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</row>
    <row r="86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</row>
    <row r="87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</row>
    <row r="88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</row>
    <row r="89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</row>
    <row r="90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</row>
    <row r="91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</row>
    <row r="92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</row>
    <row r="93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</row>
    <row r="94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</row>
    <row r="95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</row>
    <row r="96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</row>
    <row r="97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</row>
    <row r="98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</row>
    <row r="99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</row>
    <row r="100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</row>
    <row r="101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</row>
    <row r="102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</row>
    <row r="103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</row>
    <row r="105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</row>
    <row r="10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</row>
    <row r="107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</row>
    <row r="108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</row>
    <row r="109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</row>
    <row r="110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</row>
    <row r="111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</row>
    <row r="112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</row>
    <row r="114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</row>
    <row r="115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</row>
    <row r="11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</row>
    <row r="117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</row>
    <row r="118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</row>
    <row r="119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</row>
    <row r="120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</row>
    <row r="122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</row>
    <row r="123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</row>
    <row r="124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</row>
    <row r="125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</row>
    <row r="1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</row>
    <row r="127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</row>
    <row r="129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</row>
    <row r="130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</row>
    <row r="131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</row>
    <row r="132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</row>
    <row r="133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</row>
    <row r="134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</row>
    <row r="135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</row>
    <row r="137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</row>
    <row r="138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</row>
    <row r="139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</row>
    <row r="140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</row>
    <row r="141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</row>
    <row r="142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</row>
    <row r="143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</row>
    <row r="145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</row>
    <row r="14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</row>
    <row r="147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</row>
    <row r="148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</row>
    <row r="149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</row>
    <row r="150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</row>
    <row r="151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</row>
    <row r="152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</row>
    <row r="153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</row>
    <row r="154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</row>
    <row r="155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</row>
    <row r="15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</row>
    <row r="157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</row>
    <row r="158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</row>
    <row r="159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</row>
    <row r="160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</row>
    <row r="161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</row>
    <row r="162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</row>
    <row r="163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</row>
    <row r="164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</row>
    <row r="165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</row>
    <row r="16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</row>
    <row r="16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</row>
    <row r="168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</row>
    <row r="169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</row>
    <row r="170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</row>
    <row r="171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</row>
    <row r="172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</row>
    <row r="173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</row>
    <row r="174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</row>
    <row r="175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</row>
    <row r="17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</row>
    <row r="17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</row>
    <row r="178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</row>
    <row r="179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</row>
    <row r="180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</row>
    <row r="181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</row>
    <row r="182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</row>
    <row r="183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</row>
    <row r="184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</row>
    <row r="185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</row>
    <row r="18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</row>
    <row r="18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</row>
    <row r="188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</row>
    <row r="189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</row>
    <row r="190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</row>
    <row r="191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</row>
    <row r="192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</row>
    <row r="193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</row>
    <row r="194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</row>
    <row r="195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</row>
    <row r="19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</row>
    <row r="19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</row>
    <row r="198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</row>
    <row r="199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</row>
    <row r="200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</row>
    <row r="201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</row>
    <row r="202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</row>
    <row r="203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</row>
    <row r="204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</row>
    <row r="205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</row>
    <row r="20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</row>
    <row r="20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</row>
    <row r="208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</row>
    <row r="209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</row>
    <row r="210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</row>
    <row r="211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</row>
    <row r="212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</row>
    <row r="213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</row>
    <row r="214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</row>
    <row r="215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</row>
    <row r="21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</row>
    <row r="21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</row>
    <row r="218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</row>
    <row r="219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</row>
    <row r="220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</row>
    <row r="221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59">
    <mergeCell ref="B15:E15"/>
    <mergeCell ref="F15:I15"/>
    <mergeCell ref="L15:N15"/>
    <mergeCell ref="O15:Q15"/>
    <mergeCell ref="B16:E16"/>
    <mergeCell ref="F16:I16"/>
    <mergeCell ref="F17:I17"/>
    <mergeCell ref="B17:E17"/>
    <mergeCell ref="B18:E18"/>
    <mergeCell ref="F18:I18"/>
    <mergeCell ref="E20:G20"/>
    <mergeCell ref="H20:J20"/>
    <mergeCell ref="L20:O20"/>
    <mergeCell ref="P20:S20"/>
    <mergeCell ref="R3:S3"/>
    <mergeCell ref="T3:U3"/>
    <mergeCell ref="S35:T35"/>
    <mergeCell ref="N39:O39"/>
    <mergeCell ref="A1:W1"/>
    <mergeCell ref="B3:C3"/>
    <mergeCell ref="D3:E3"/>
    <mergeCell ref="F3:G3"/>
    <mergeCell ref="H3:I3"/>
    <mergeCell ref="J3:K3"/>
    <mergeCell ref="L3:M3"/>
    <mergeCell ref="L8:O8"/>
    <mergeCell ref="P8:S8"/>
    <mergeCell ref="L9:O9"/>
    <mergeCell ref="P9:S9"/>
    <mergeCell ref="L10:O10"/>
    <mergeCell ref="P10:S10"/>
    <mergeCell ref="L11:O11"/>
    <mergeCell ref="P11:S11"/>
    <mergeCell ref="N3:O3"/>
    <mergeCell ref="P3:Q3"/>
    <mergeCell ref="A4:A7"/>
    <mergeCell ref="B4:E4"/>
    <mergeCell ref="F4:I4"/>
    <mergeCell ref="L4:N4"/>
    <mergeCell ref="O4:Q4"/>
    <mergeCell ref="A8:A12"/>
    <mergeCell ref="A13:A14"/>
    <mergeCell ref="A15:A19"/>
    <mergeCell ref="A20:A24"/>
    <mergeCell ref="C34:D34"/>
    <mergeCell ref="B5:E5"/>
    <mergeCell ref="F5:I5"/>
    <mergeCell ref="E8:G8"/>
    <mergeCell ref="H8:J8"/>
    <mergeCell ref="E9:G9"/>
    <mergeCell ref="H9:J9"/>
    <mergeCell ref="E10:G10"/>
    <mergeCell ref="E21:G21"/>
    <mergeCell ref="H21:J21"/>
    <mergeCell ref="L21:O21"/>
    <mergeCell ref="P21:S21"/>
    <mergeCell ref="E22:G22"/>
    <mergeCell ref="L23:Q23"/>
    <mergeCell ref="L24:Q24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8" width="8.14"/>
    <col customWidth="1" min="9" max="9" width="11.71"/>
    <col customWidth="1" min="10" max="19" width="8.14"/>
    <col customWidth="1" min="20" max="20" width="14.14"/>
    <col customWidth="1" min="21" max="21" width="8.14"/>
    <col customWidth="1" min="22" max="23" width="7.43"/>
    <col customWidth="1" min="24" max="24" width="8.57"/>
    <col customWidth="1" min="25" max="25" width="12.0"/>
    <col customWidth="1" min="26" max="26" width="11.29"/>
    <col customWidth="1" min="27" max="27" width="11.57"/>
    <col customWidth="1" min="28" max="28" width="11.43"/>
    <col customWidth="1" min="29" max="29" width="12.71"/>
  </cols>
  <sheetData>
    <row r="1" ht="33.0" customHeight="1">
      <c r="A1" s="95" t="s">
        <v>196</v>
      </c>
      <c r="V1" s="95"/>
      <c r="W1" s="95"/>
      <c r="X1" s="96"/>
      <c r="Y1" s="96"/>
      <c r="Z1" s="96"/>
      <c r="AA1" s="96"/>
      <c r="AB1" s="96"/>
      <c r="AC1" s="96"/>
      <c r="AD1" s="96"/>
      <c r="AE1" s="96"/>
      <c r="AF1" s="96"/>
      <c r="AG1" s="96"/>
    </row>
    <row r="2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5"/>
      <c r="W2" s="95"/>
      <c r="X2" s="96"/>
      <c r="Y2" s="96"/>
      <c r="Z2" s="96"/>
      <c r="AA2" s="96"/>
      <c r="AB2" s="96"/>
      <c r="AC2" s="96"/>
      <c r="AD2" s="137"/>
      <c r="AE2" s="96"/>
      <c r="AF2" s="96"/>
      <c r="AG2" s="96"/>
    </row>
    <row r="3">
      <c r="A3" s="97"/>
      <c r="B3" s="101" t="s">
        <v>104</v>
      </c>
      <c r="C3" s="102"/>
      <c r="D3" s="101" t="s">
        <v>105</v>
      </c>
      <c r="E3" s="102"/>
      <c r="F3" s="98" t="s">
        <v>106</v>
      </c>
      <c r="G3" s="99"/>
      <c r="H3" s="98" t="s">
        <v>107</v>
      </c>
      <c r="I3" s="99"/>
      <c r="J3" s="98" t="s">
        <v>108</v>
      </c>
      <c r="K3" s="99"/>
      <c r="L3" s="202" t="s">
        <v>109</v>
      </c>
      <c r="M3" s="102"/>
      <c r="N3" s="202" t="s">
        <v>110</v>
      </c>
      <c r="O3" s="102"/>
      <c r="P3" s="101" t="s">
        <v>111</v>
      </c>
      <c r="Q3" s="102"/>
      <c r="R3" s="101" t="s">
        <v>112</v>
      </c>
      <c r="S3" s="102"/>
      <c r="T3" s="101" t="s">
        <v>113</v>
      </c>
      <c r="U3" s="102"/>
      <c r="V3" s="95"/>
      <c r="W3" s="95"/>
      <c r="X3" s="96"/>
      <c r="Y3" s="137"/>
      <c r="Z3" s="137"/>
      <c r="AA3" s="137"/>
      <c r="AB3" s="137"/>
      <c r="AC3" s="137"/>
      <c r="AD3" s="137"/>
      <c r="AE3" s="96"/>
      <c r="AF3" s="96"/>
      <c r="AG3" s="96"/>
    </row>
    <row r="4">
      <c r="A4" s="128" t="s">
        <v>115</v>
      </c>
      <c r="E4" s="203" t="s">
        <v>197</v>
      </c>
      <c r="F4" s="130"/>
      <c r="G4" s="99"/>
      <c r="H4" s="204" t="s">
        <v>198</v>
      </c>
      <c r="I4" s="130"/>
      <c r="J4" s="99"/>
      <c r="K4" s="110"/>
      <c r="L4" s="205" t="s">
        <v>199</v>
      </c>
      <c r="M4" s="206"/>
      <c r="N4" s="207"/>
      <c r="U4" s="134"/>
      <c r="V4" s="95"/>
      <c r="W4" s="95"/>
      <c r="X4" s="96"/>
      <c r="Y4" s="137"/>
      <c r="Z4" s="137"/>
      <c r="AA4" s="137"/>
      <c r="AB4" s="137"/>
      <c r="AC4" s="137"/>
      <c r="AD4" s="137"/>
      <c r="AE4" s="96"/>
      <c r="AF4" s="96"/>
      <c r="AG4" s="96"/>
    </row>
    <row r="5">
      <c r="A5" s="138"/>
      <c r="E5" s="208" t="s">
        <v>200</v>
      </c>
      <c r="F5" s="141"/>
      <c r="G5" s="142"/>
      <c r="H5" s="209" t="s">
        <v>200</v>
      </c>
      <c r="I5" s="141"/>
      <c r="J5" s="142"/>
      <c r="K5" s="137"/>
      <c r="L5" s="210" t="s">
        <v>201</v>
      </c>
      <c r="M5" s="211"/>
      <c r="N5" s="212"/>
      <c r="O5" s="137"/>
      <c r="P5" s="137"/>
      <c r="Q5" s="137"/>
      <c r="R5" s="137"/>
      <c r="S5" s="137"/>
      <c r="T5" s="137"/>
      <c r="U5" s="213"/>
      <c r="V5" s="95"/>
      <c r="W5" s="95"/>
      <c r="X5" s="96"/>
      <c r="Y5" s="96"/>
      <c r="Z5" s="96"/>
      <c r="AA5" s="96"/>
      <c r="AB5" s="96"/>
      <c r="AC5" s="96"/>
      <c r="AD5" s="137"/>
      <c r="AE5" s="96"/>
      <c r="AF5" s="96"/>
      <c r="AG5" s="96"/>
    </row>
    <row r="6">
      <c r="A6" s="138"/>
      <c r="E6" s="214" t="s">
        <v>202</v>
      </c>
      <c r="F6" s="130"/>
      <c r="G6" s="99"/>
      <c r="H6" s="215" t="s">
        <v>203</v>
      </c>
      <c r="I6" s="130"/>
      <c r="J6" s="99"/>
      <c r="K6" s="137"/>
      <c r="O6" s="184"/>
      <c r="P6" s="216"/>
      <c r="T6" s="137"/>
      <c r="U6" s="213"/>
      <c r="V6" s="95"/>
      <c r="W6" s="217"/>
      <c r="X6" s="96"/>
      <c r="Y6" s="96"/>
      <c r="Z6" s="96"/>
      <c r="AA6" s="96"/>
      <c r="AB6" s="96"/>
      <c r="AC6" s="96"/>
      <c r="AD6" s="137"/>
      <c r="AE6" s="96"/>
      <c r="AF6" s="96"/>
      <c r="AG6" s="96"/>
    </row>
    <row r="7">
      <c r="A7" s="138"/>
      <c r="E7" s="218" t="s">
        <v>204</v>
      </c>
      <c r="F7" s="141"/>
      <c r="G7" s="142"/>
      <c r="H7" s="219" t="s">
        <v>205</v>
      </c>
      <c r="I7" s="141"/>
      <c r="J7" s="142"/>
      <c r="K7" s="137"/>
      <c r="T7" s="137"/>
      <c r="U7" s="213"/>
      <c r="V7" s="95"/>
      <c r="W7" s="217"/>
      <c r="X7" s="96"/>
      <c r="Y7" s="96"/>
      <c r="Z7" s="96"/>
      <c r="AA7" s="96"/>
      <c r="AB7" s="96"/>
      <c r="AC7" s="96"/>
      <c r="AD7" s="137"/>
      <c r="AE7" s="96"/>
      <c r="AF7" s="96"/>
      <c r="AG7" s="96"/>
    </row>
    <row r="8">
      <c r="A8" s="138"/>
      <c r="E8" s="214" t="s">
        <v>206</v>
      </c>
      <c r="F8" s="130"/>
      <c r="G8" s="99"/>
      <c r="H8" s="220" t="s">
        <v>207</v>
      </c>
      <c r="I8" s="130"/>
      <c r="J8" s="99"/>
      <c r="K8" s="137"/>
      <c r="L8" s="221" t="s">
        <v>208</v>
      </c>
      <c r="M8" s="104"/>
      <c r="N8" s="104"/>
      <c r="O8" s="102"/>
      <c r="P8" s="221" t="s">
        <v>209</v>
      </c>
      <c r="Q8" s="104"/>
      <c r="R8" s="104"/>
      <c r="S8" s="102"/>
      <c r="T8" s="137"/>
      <c r="U8" s="213"/>
      <c r="V8" s="95"/>
      <c r="W8" s="217"/>
      <c r="X8" s="96"/>
      <c r="Y8" s="96"/>
      <c r="Z8" s="96"/>
      <c r="AA8" s="96"/>
      <c r="AB8" s="96"/>
      <c r="AC8" s="96"/>
      <c r="AD8" s="137"/>
      <c r="AE8" s="96"/>
      <c r="AF8" s="96"/>
      <c r="AG8" s="96"/>
    </row>
    <row r="9">
      <c r="A9" s="138"/>
      <c r="E9" s="218" t="s">
        <v>210</v>
      </c>
      <c r="F9" s="141"/>
      <c r="G9" s="142"/>
      <c r="H9" s="219" t="s">
        <v>211</v>
      </c>
      <c r="I9" s="141"/>
      <c r="J9" s="142"/>
      <c r="K9" s="137"/>
      <c r="L9" s="221" t="s">
        <v>212</v>
      </c>
      <c r="M9" s="104"/>
      <c r="N9" s="104"/>
      <c r="O9" s="102"/>
      <c r="P9" s="221" t="s">
        <v>213</v>
      </c>
      <c r="Q9" s="104"/>
      <c r="R9" s="104"/>
      <c r="S9" s="102"/>
      <c r="T9" s="137"/>
      <c r="U9" s="213"/>
      <c r="V9" s="95"/>
      <c r="W9" s="217"/>
      <c r="X9" s="96"/>
      <c r="Y9" s="96"/>
      <c r="Z9" s="96"/>
      <c r="AA9" s="96"/>
      <c r="AB9" s="96"/>
      <c r="AC9" s="96"/>
      <c r="AD9" s="137"/>
      <c r="AE9" s="96"/>
      <c r="AF9" s="96"/>
      <c r="AG9" s="96"/>
    </row>
    <row r="10">
      <c r="A10" s="138"/>
      <c r="H10" s="137"/>
      <c r="I10" s="137"/>
      <c r="J10" s="137"/>
      <c r="K10" s="137"/>
      <c r="O10" s="137"/>
      <c r="P10" s="137"/>
      <c r="Q10" s="137"/>
      <c r="R10" s="137"/>
      <c r="S10" s="137"/>
      <c r="T10" s="137"/>
      <c r="U10" s="213"/>
      <c r="V10" s="95"/>
      <c r="W10" s="217"/>
      <c r="X10" s="96"/>
      <c r="Y10" s="137"/>
      <c r="Z10" s="137"/>
      <c r="AA10" s="137"/>
      <c r="AB10" s="137"/>
      <c r="AC10" s="137"/>
      <c r="AD10" s="137"/>
      <c r="AE10" s="96"/>
      <c r="AF10" s="96"/>
      <c r="AG10" s="96"/>
    </row>
    <row r="11">
      <c r="A11" s="150"/>
      <c r="B11" s="151"/>
      <c r="C11" s="151"/>
      <c r="D11" s="151"/>
      <c r="H11" s="137"/>
      <c r="I11" s="137"/>
      <c r="J11" s="137"/>
      <c r="K11" s="222"/>
      <c r="L11" s="223"/>
      <c r="M11" s="223"/>
      <c r="N11" s="223"/>
      <c r="O11" s="222"/>
      <c r="P11" s="222"/>
      <c r="Q11" s="222"/>
      <c r="R11" s="222"/>
      <c r="S11" s="222"/>
      <c r="T11" s="222"/>
      <c r="U11" s="224"/>
      <c r="V11" s="95"/>
      <c r="W11" s="217"/>
      <c r="X11" s="96"/>
      <c r="Y11" s="137"/>
      <c r="Z11" s="137"/>
      <c r="AA11" s="137"/>
      <c r="AB11" s="137"/>
      <c r="AC11" s="137"/>
      <c r="AD11" s="137"/>
      <c r="AE11" s="96"/>
      <c r="AF11" s="96"/>
      <c r="AG11" s="96"/>
    </row>
    <row r="12">
      <c r="A12" s="128" t="s">
        <v>131</v>
      </c>
      <c r="E12" s="225" t="s">
        <v>214</v>
      </c>
      <c r="F12" s="130"/>
      <c r="G12" s="99"/>
      <c r="H12" s="226"/>
      <c r="I12" s="226"/>
      <c r="J12" s="110"/>
      <c r="K12" s="110"/>
      <c r="L12" s="227" t="s">
        <v>215</v>
      </c>
      <c r="M12" s="130"/>
      <c r="N12" s="99"/>
      <c r="O12" s="228" t="s">
        <v>216</v>
      </c>
      <c r="P12" s="104"/>
      <c r="Q12" s="104"/>
      <c r="R12" s="102"/>
      <c r="S12" s="229" t="s">
        <v>217</v>
      </c>
      <c r="T12" s="110"/>
      <c r="U12" s="134"/>
      <c r="V12" s="95"/>
      <c r="W12" s="95"/>
      <c r="X12" s="96"/>
      <c r="Y12" s="230" t="s">
        <v>128</v>
      </c>
      <c r="Z12" s="137"/>
      <c r="AA12" s="137"/>
      <c r="AB12" s="137"/>
      <c r="AC12" s="137"/>
      <c r="AD12" s="137"/>
      <c r="AE12" s="96"/>
      <c r="AF12" s="96"/>
      <c r="AG12" s="96"/>
    </row>
    <row r="13">
      <c r="A13" s="138"/>
      <c r="B13" s="231"/>
      <c r="E13" s="232" t="s">
        <v>218</v>
      </c>
      <c r="F13" s="141"/>
      <c r="G13" s="142"/>
      <c r="J13" s="137"/>
      <c r="K13" s="137"/>
      <c r="L13" s="232" t="s">
        <v>218</v>
      </c>
      <c r="M13" s="141"/>
      <c r="N13" s="142"/>
      <c r="P13" s="137"/>
      <c r="Q13" s="137"/>
      <c r="T13" s="137"/>
      <c r="U13" s="213"/>
      <c r="V13" s="95"/>
      <c r="W13" s="95"/>
      <c r="X13" s="96"/>
      <c r="Y13" s="137"/>
      <c r="Z13" s="137"/>
      <c r="AA13" s="137"/>
      <c r="AB13" s="137"/>
      <c r="AC13" s="137"/>
      <c r="AD13" s="137"/>
      <c r="AE13" s="96"/>
      <c r="AF13" s="96"/>
      <c r="AG13" s="96"/>
    </row>
    <row r="14">
      <c r="A14" s="138"/>
      <c r="B14" s="233" t="s">
        <v>219</v>
      </c>
      <c r="C14" s="104"/>
      <c r="D14" s="104"/>
      <c r="E14" s="102"/>
      <c r="F14" s="233" t="s">
        <v>220</v>
      </c>
      <c r="G14" s="104"/>
      <c r="H14" s="104"/>
      <c r="I14" s="102"/>
      <c r="J14" s="137"/>
      <c r="K14" s="137"/>
      <c r="L14" s="234" t="s">
        <v>221</v>
      </c>
      <c r="M14" s="104"/>
      <c r="N14" s="104"/>
      <c r="O14" s="102"/>
      <c r="P14" s="221" t="s">
        <v>222</v>
      </c>
      <c r="Q14" s="104"/>
      <c r="R14" s="104"/>
      <c r="S14" s="102"/>
      <c r="T14" s="235"/>
      <c r="U14" s="213"/>
      <c r="V14" s="95"/>
      <c r="W14" s="95"/>
      <c r="X14" s="96"/>
      <c r="Y14" s="137"/>
      <c r="Z14" s="137"/>
      <c r="AA14" s="137"/>
      <c r="AB14" s="137"/>
      <c r="AC14" s="137"/>
      <c r="AD14" s="137"/>
      <c r="AE14" s="96"/>
      <c r="AF14" s="96"/>
      <c r="AG14" s="96"/>
    </row>
    <row r="15">
      <c r="A15" s="138"/>
      <c r="B15" s="233" t="s">
        <v>223</v>
      </c>
      <c r="C15" s="104"/>
      <c r="D15" s="104"/>
      <c r="E15" s="102"/>
      <c r="F15" s="233" t="s">
        <v>224</v>
      </c>
      <c r="G15" s="104"/>
      <c r="H15" s="104"/>
      <c r="I15" s="102"/>
      <c r="J15" s="137"/>
      <c r="K15" s="137"/>
      <c r="L15" s="234" t="s">
        <v>225</v>
      </c>
      <c r="M15" s="104"/>
      <c r="N15" s="104"/>
      <c r="O15" s="102"/>
      <c r="P15" s="221" t="s">
        <v>226</v>
      </c>
      <c r="Q15" s="104"/>
      <c r="R15" s="104"/>
      <c r="S15" s="102"/>
      <c r="T15" s="137"/>
      <c r="U15" s="213"/>
      <c r="V15" s="95"/>
      <c r="W15" s="95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>
      <c r="A16" s="150"/>
      <c r="B16" s="236"/>
      <c r="C16" s="151"/>
      <c r="D16" s="151"/>
      <c r="E16" s="151"/>
      <c r="F16" s="151"/>
      <c r="G16" s="151"/>
      <c r="H16" s="151"/>
      <c r="I16" s="151"/>
      <c r="J16" s="151"/>
      <c r="K16" s="222"/>
      <c r="L16" s="237" t="s">
        <v>227</v>
      </c>
      <c r="M16" s="104"/>
      <c r="N16" s="102"/>
      <c r="O16" s="151"/>
      <c r="P16" s="151"/>
      <c r="Q16" s="151"/>
      <c r="R16" s="222"/>
      <c r="S16" s="222"/>
      <c r="T16" s="222"/>
      <c r="U16" s="224"/>
      <c r="V16" s="95"/>
      <c r="W16" s="95"/>
      <c r="X16" s="96"/>
      <c r="Y16" s="137"/>
      <c r="Z16" s="137"/>
      <c r="AA16" s="137"/>
      <c r="AB16" s="137"/>
      <c r="AC16" s="137"/>
      <c r="AD16" s="137"/>
      <c r="AE16" s="96"/>
      <c r="AF16" s="96"/>
      <c r="AG16" s="96"/>
    </row>
    <row r="17">
      <c r="A17" s="98" t="s">
        <v>152</v>
      </c>
      <c r="B17" s="238"/>
      <c r="C17" s="226"/>
      <c r="D17" s="226"/>
      <c r="E17" s="226"/>
      <c r="F17" s="226"/>
      <c r="G17" s="226"/>
      <c r="H17" s="226"/>
      <c r="I17" s="226"/>
      <c r="J17" s="226"/>
      <c r="K17" s="226"/>
      <c r="T17" s="110"/>
      <c r="U17" s="134"/>
      <c r="V17" s="95"/>
      <c r="W17" s="95"/>
      <c r="X17" s="96"/>
      <c r="Y17" s="137"/>
      <c r="Z17" s="137"/>
      <c r="AA17" s="137"/>
      <c r="AB17" s="137"/>
      <c r="AC17" s="137"/>
      <c r="AD17" s="137"/>
      <c r="AE17" s="96"/>
      <c r="AF17" s="96"/>
      <c r="AG17" s="96"/>
    </row>
    <row r="18">
      <c r="A18" s="115"/>
      <c r="B18" s="239"/>
      <c r="C18" s="121"/>
      <c r="D18" s="121"/>
      <c r="E18" s="121"/>
      <c r="F18" s="121"/>
      <c r="G18" s="121"/>
      <c r="H18" s="121"/>
      <c r="U18" s="170"/>
      <c r="V18" s="95"/>
      <c r="W18" s="95"/>
      <c r="X18" s="96"/>
      <c r="Y18" s="137"/>
      <c r="Z18" s="137"/>
      <c r="AA18" s="137"/>
      <c r="AB18" s="137"/>
      <c r="AC18" s="137"/>
      <c r="AD18" s="137"/>
      <c r="AE18" s="96"/>
      <c r="AF18" s="96"/>
      <c r="AG18" s="96"/>
    </row>
    <row r="19">
      <c r="A19" s="122"/>
      <c r="B19" s="123"/>
      <c r="C19" s="124"/>
      <c r="D19" s="124"/>
      <c r="E19" s="124"/>
      <c r="F19" s="124"/>
      <c r="G19" s="124"/>
      <c r="H19" s="124"/>
      <c r="K19" s="240"/>
      <c r="L19" s="240"/>
      <c r="M19" s="240"/>
      <c r="N19" s="240"/>
      <c r="O19" s="240"/>
      <c r="Q19" s="222"/>
      <c r="R19" s="222"/>
      <c r="S19" s="222"/>
      <c r="T19" s="222"/>
      <c r="U19" s="224"/>
      <c r="V19" s="95"/>
      <c r="W19" s="95"/>
      <c r="X19" s="96"/>
      <c r="Y19" s="137"/>
      <c r="Z19" s="137"/>
      <c r="AA19" s="137"/>
      <c r="AB19" s="137"/>
      <c r="AC19" s="137"/>
      <c r="AD19" s="137"/>
      <c r="AE19" s="96"/>
      <c r="AF19" s="96"/>
      <c r="AG19" s="96"/>
    </row>
    <row r="20">
      <c r="A20" s="128" t="s">
        <v>153</v>
      </c>
      <c r="E20" s="203" t="s">
        <v>197</v>
      </c>
      <c r="F20" s="130"/>
      <c r="G20" s="99"/>
      <c r="H20" s="204" t="s">
        <v>198</v>
      </c>
      <c r="I20" s="130"/>
      <c r="J20" s="99"/>
      <c r="K20" s="137"/>
      <c r="L20" s="205" t="s">
        <v>199</v>
      </c>
      <c r="M20" s="206"/>
      <c r="N20" s="207"/>
      <c r="O20" s="241" t="s">
        <v>228</v>
      </c>
      <c r="P20" s="141"/>
      <c r="Q20" s="141"/>
      <c r="R20" s="141"/>
      <c r="S20" s="141"/>
      <c r="T20" s="142"/>
      <c r="U20" s="213"/>
      <c r="V20" s="95"/>
      <c r="W20" s="95"/>
      <c r="AD20" s="137"/>
      <c r="AE20" s="96"/>
      <c r="AF20" s="96"/>
      <c r="AG20" s="96"/>
    </row>
    <row r="21">
      <c r="A21" s="138"/>
      <c r="E21" s="208" t="s">
        <v>200</v>
      </c>
      <c r="F21" s="141"/>
      <c r="G21" s="142"/>
      <c r="H21" s="209" t="s">
        <v>200</v>
      </c>
      <c r="I21" s="141"/>
      <c r="J21" s="142"/>
      <c r="K21" s="137"/>
      <c r="L21" s="210" t="s">
        <v>201</v>
      </c>
      <c r="M21" s="211"/>
      <c r="N21" s="212"/>
      <c r="O21" s="242" t="s">
        <v>229</v>
      </c>
      <c r="P21" s="104"/>
      <c r="Q21" s="104"/>
      <c r="R21" s="104"/>
      <c r="S21" s="104"/>
      <c r="T21" s="102"/>
      <c r="U21" s="213"/>
      <c r="V21" s="95"/>
      <c r="W21" s="95"/>
      <c r="AD21" s="137"/>
      <c r="AE21" s="96"/>
      <c r="AF21" s="96"/>
      <c r="AG21" s="96"/>
    </row>
    <row r="22">
      <c r="A22" s="138"/>
      <c r="E22" s="214" t="s">
        <v>202</v>
      </c>
      <c r="F22" s="130"/>
      <c r="G22" s="99"/>
      <c r="H22" s="215" t="s">
        <v>203</v>
      </c>
      <c r="I22" s="130"/>
      <c r="J22" s="99"/>
      <c r="K22" s="137"/>
      <c r="O22" s="243" t="s">
        <v>230</v>
      </c>
      <c r="P22" s="104"/>
      <c r="Q22" s="104"/>
      <c r="R22" s="104"/>
      <c r="S22" s="104"/>
      <c r="T22" s="102"/>
      <c r="U22" s="213"/>
      <c r="V22" s="95"/>
      <c r="W22" s="95"/>
      <c r="AD22" s="96"/>
      <c r="AE22" s="96"/>
      <c r="AF22" s="96"/>
      <c r="AG22" s="96"/>
    </row>
    <row r="23">
      <c r="A23" s="138"/>
      <c r="B23" s="231"/>
      <c r="E23" s="218" t="s">
        <v>204</v>
      </c>
      <c r="F23" s="141"/>
      <c r="G23" s="142"/>
      <c r="H23" s="219" t="s">
        <v>205</v>
      </c>
      <c r="I23" s="141"/>
      <c r="J23" s="142"/>
      <c r="O23" s="244" t="s">
        <v>231</v>
      </c>
      <c r="P23" s="104"/>
      <c r="Q23" s="104"/>
      <c r="R23" s="104"/>
      <c r="S23" s="104"/>
      <c r="T23" s="102"/>
      <c r="U23" s="245"/>
      <c r="V23" s="95"/>
      <c r="W23" s="95"/>
      <c r="AD23" s="96"/>
      <c r="AE23" s="96"/>
      <c r="AF23" s="96"/>
      <c r="AG23" s="96"/>
    </row>
    <row r="24" ht="15.75" customHeight="1">
      <c r="A24" s="138"/>
      <c r="B24" s="231"/>
      <c r="E24" s="214" t="s">
        <v>206</v>
      </c>
      <c r="F24" s="130"/>
      <c r="G24" s="99"/>
      <c r="H24" s="220" t="s">
        <v>207</v>
      </c>
      <c r="I24" s="130"/>
      <c r="J24" s="99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213"/>
      <c r="V24" s="95"/>
      <c r="W24" s="95"/>
      <c r="X24" s="96"/>
      <c r="Y24" s="143"/>
      <c r="Z24" s="143"/>
      <c r="AA24" s="143"/>
      <c r="AB24" s="143"/>
      <c r="AC24" s="143"/>
      <c r="AD24" s="143"/>
      <c r="AE24" s="143"/>
      <c r="AF24" s="143"/>
      <c r="AG24" s="143"/>
    </row>
    <row r="25" ht="15.75" customHeight="1">
      <c r="A25" s="150"/>
      <c r="B25" s="236"/>
      <c r="C25" s="151"/>
      <c r="D25" s="151"/>
      <c r="E25" s="246" t="s">
        <v>210</v>
      </c>
      <c r="F25" s="141"/>
      <c r="G25" s="142"/>
      <c r="H25" s="219" t="s">
        <v>211</v>
      </c>
      <c r="I25" s="141"/>
      <c r="J25" s="142"/>
      <c r="K25" s="137"/>
      <c r="U25" s="213"/>
      <c r="V25" s="95"/>
      <c r="W25" s="95"/>
      <c r="X25" s="96"/>
      <c r="Y25" s="143"/>
      <c r="Z25" s="143"/>
      <c r="AA25" s="143"/>
      <c r="AB25" s="143"/>
      <c r="AC25" s="143"/>
      <c r="AD25" s="143"/>
      <c r="AE25" s="143"/>
      <c r="AF25" s="143"/>
      <c r="AG25" s="143"/>
    </row>
    <row r="26" ht="15.75" customHeight="1">
      <c r="A26" s="128" t="s">
        <v>162</v>
      </c>
      <c r="B26" s="247"/>
      <c r="C26" s="248"/>
      <c r="D26" s="248"/>
      <c r="E26" s="228" t="s">
        <v>232</v>
      </c>
      <c r="F26" s="104"/>
      <c r="G26" s="104"/>
      <c r="H26" s="102"/>
      <c r="I26" s="110"/>
      <c r="J26" s="110"/>
      <c r="K26" s="110"/>
      <c r="L26" s="227" t="s">
        <v>215</v>
      </c>
      <c r="M26" s="130"/>
      <c r="N26" s="99"/>
      <c r="O26" s="248"/>
      <c r="P26" s="248"/>
      <c r="Q26" s="248"/>
      <c r="R26" s="110"/>
      <c r="S26" s="110"/>
      <c r="T26" s="110"/>
      <c r="U26" s="134"/>
      <c r="V26" s="95"/>
      <c r="W26" s="95"/>
      <c r="X26" s="96"/>
      <c r="Y26" s="137"/>
      <c r="Z26" s="137"/>
      <c r="AA26" s="137"/>
      <c r="AB26" s="137"/>
      <c r="AC26" s="137"/>
      <c r="AD26" s="137"/>
      <c r="AE26" s="96"/>
      <c r="AF26" s="96"/>
      <c r="AG26" s="96"/>
    </row>
    <row r="27" ht="15.75" customHeight="1">
      <c r="A27" s="138"/>
      <c r="B27" s="249"/>
      <c r="E27" s="225" t="s">
        <v>214</v>
      </c>
      <c r="F27" s="130"/>
      <c r="G27" s="99"/>
      <c r="H27" s="121"/>
      <c r="I27" s="121"/>
      <c r="J27" s="137"/>
      <c r="K27" s="137"/>
      <c r="L27" s="232" t="s">
        <v>218</v>
      </c>
      <c r="M27" s="141"/>
      <c r="N27" s="142"/>
      <c r="T27" s="137"/>
      <c r="U27" s="213"/>
      <c r="V27" s="95"/>
      <c r="W27" s="95"/>
      <c r="X27" s="96"/>
      <c r="Y27" s="137"/>
      <c r="Z27" s="137"/>
      <c r="AA27" s="137"/>
      <c r="AB27" s="137"/>
      <c r="AC27" s="137"/>
      <c r="AD27" s="137"/>
      <c r="AE27" s="96"/>
      <c r="AF27" s="96"/>
      <c r="AG27" s="96"/>
    </row>
    <row r="28">
      <c r="A28" s="138"/>
      <c r="B28" s="239"/>
      <c r="C28" s="121"/>
      <c r="D28" s="121"/>
      <c r="E28" s="232" t="s">
        <v>218</v>
      </c>
      <c r="F28" s="141"/>
      <c r="G28" s="142"/>
      <c r="H28" s="121"/>
      <c r="I28" s="121"/>
      <c r="J28" s="121"/>
      <c r="K28" s="137"/>
      <c r="O28" s="137"/>
      <c r="P28" s="137"/>
      <c r="Q28" s="137"/>
      <c r="R28" s="137"/>
      <c r="S28" s="137"/>
      <c r="T28" s="137"/>
      <c r="U28" s="213"/>
      <c r="V28" s="95"/>
      <c r="W28" s="95"/>
      <c r="X28" s="96"/>
      <c r="Y28" s="137"/>
      <c r="Z28" s="137"/>
      <c r="AA28" s="137"/>
      <c r="AB28" s="137"/>
      <c r="AC28" s="137"/>
      <c r="AD28" s="137"/>
      <c r="AE28" s="96"/>
      <c r="AF28" s="96"/>
      <c r="AG28" s="96"/>
    </row>
    <row r="29" ht="16.5" customHeight="1">
      <c r="A29" s="150"/>
      <c r="B29" s="236"/>
      <c r="C29" s="151"/>
      <c r="D29" s="151"/>
      <c r="E29" s="151"/>
      <c r="F29" s="151"/>
      <c r="G29" s="151"/>
      <c r="H29" s="151"/>
      <c r="I29" s="151"/>
      <c r="J29" s="222"/>
      <c r="K29" s="222"/>
      <c r="L29" s="237" t="s">
        <v>227</v>
      </c>
      <c r="M29" s="104"/>
      <c r="N29" s="102"/>
      <c r="O29" s="151"/>
      <c r="P29" s="222"/>
      <c r="Q29" s="222"/>
      <c r="R29" s="222"/>
      <c r="S29" s="222"/>
      <c r="T29" s="222"/>
      <c r="U29" s="224"/>
      <c r="V29" s="95"/>
      <c r="W29" s="95"/>
      <c r="X29" s="137"/>
      <c r="Y29" s="137"/>
      <c r="Z29" s="137"/>
      <c r="AA29" s="137"/>
      <c r="AB29" s="137"/>
      <c r="AC29" s="137"/>
      <c r="AD29" s="137"/>
      <c r="AE29" s="96"/>
      <c r="AF29" s="96"/>
      <c r="AG29" s="96"/>
    </row>
    <row r="30" ht="15.75" customHeight="1">
      <c r="A30" s="17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96"/>
      <c r="Z30" s="96"/>
      <c r="AA30" s="96"/>
      <c r="AB30" s="96"/>
      <c r="AC30" s="96"/>
      <c r="AD30" s="96"/>
      <c r="AE30" s="96"/>
      <c r="AF30" s="96"/>
      <c r="AG30" s="96"/>
    </row>
    <row r="31" ht="15.75" customHeight="1">
      <c r="A31" s="17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96"/>
      <c r="Z31" s="96"/>
      <c r="AA31" s="96"/>
      <c r="AB31" s="96"/>
      <c r="AC31" s="96"/>
      <c r="AD31" s="96"/>
      <c r="AE31" s="96"/>
      <c r="AF31" s="96"/>
      <c r="AG31" s="96"/>
    </row>
    <row r="32" ht="15.75" customHeight="1">
      <c r="A32" s="176"/>
      <c r="B32" s="250" t="s">
        <v>170</v>
      </c>
      <c r="C32" s="250"/>
      <c r="D32" s="250" t="s">
        <v>171</v>
      </c>
      <c r="E32" s="250"/>
      <c r="F32" s="250"/>
      <c r="G32" s="250"/>
      <c r="H32" s="250"/>
      <c r="I32" s="250" t="s">
        <v>172</v>
      </c>
      <c r="J32" s="250" t="s">
        <v>173</v>
      </c>
      <c r="K32" s="251"/>
      <c r="L32" s="251"/>
      <c r="M32" s="250" t="s">
        <v>170</v>
      </c>
      <c r="N32" s="250" t="s">
        <v>171</v>
      </c>
      <c r="O32" s="250"/>
      <c r="P32" s="250"/>
      <c r="Q32" s="252"/>
      <c r="R32" s="252"/>
      <c r="S32" s="253"/>
      <c r="T32" s="250" t="s">
        <v>172</v>
      </c>
      <c r="U32" s="250" t="s">
        <v>173</v>
      </c>
      <c r="W32" s="251"/>
      <c r="X32" s="251"/>
      <c r="Y32" s="143"/>
      <c r="Z32" s="143"/>
      <c r="AA32" s="143"/>
      <c r="AB32" s="143"/>
      <c r="AC32" s="143"/>
      <c r="AD32" s="143"/>
      <c r="AE32" s="143"/>
      <c r="AF32" s="143"/>
      <c r="AG32" s="143"/>
    </row>
    <row r="33" ht="24.75" customHeight="1">
      <c r="A33" s="254" t="s">
        <v>233</v>
      </c>
      <c r="B33" s="255" t="s">
        <v>234</v>
      </c>
      <c r="D33" s="256" t="s">
        <v>235</v>
      </c>
      <c r="I33" s="257" t="s">
        <v>236</v>
      </c>
      <c r="J33" s="258">
        <v>3.0</v>
      </c>
      <c r="K33" s="185"/>
      <c r="L33" s="137"/>
      <c r="M33" s="259" t="s">
        <v>234</v>
      </c>
      <c r="N33" s="137" t="s">
        <v>237</v>
      </c>
      <c r="O33" s="137"/>
      <c r="P33" s="137"/>
      <c r="Q33" s="137"/>
      <c r="R33" s="137"/>
      <c r="T33" s="260">
        <v>701.0</v>
      </c>
      <c r="U33" s="137">
        <v>3.0</v>
      </c>
      <c r="V33" s="261"/>
      <c r="W33" s="193"/>
      <c r="X33" s="137"/>
      <c r="Y33" s="96"/>
      <c r="Z33" s="96"/>
      <c r="AA33" s="96"/>
      <c r="AB33" s="96"/>
      <c r="AC33" s="96"/>
      <c r="AD33" s="96"/>
      <c r="AE33" s="96"/>
      <c r="AF33" s="96"/>
      <c r="AG33" s="96"/>
    </row>
    <row r="34" ht="15.75" customHeight="1">
      <c r="A34" s="262" t="s">
        <v>238</v>
      </c>
      <c r="B34" s="263">
        <v>208262.0</v>
      </c>
      <c r="C34" s="263"/>
      <c r="D34" s="264" t="s">
        <v>239</v>
      </c>
      <c r="E34" s="137"/>
      <c r="F34" s="265"/>
      <c r="G34" s="265"/>
      <c r="H34" s="265"/>
      <c r="I34" s="266" t="s">
        <v>240</v>
      </c>
      <c r="J34" s="265">
        <v>3.0</v>
      </c>
      <c r="K34" s="261"/>
      <c r="L34" s="137"/>
      <c r="M34" s="259" t="s">
        <v>81</v>
      </c>
      <c r="N34" s="137" t="s">
        <v>241</v>
      </c>
      <c r="O34" s="137"/>
      <c r="P34" s="137"/>
      <c r="Q34" s="137"/>
      <c r="R34" s="137"/>
      <c r="T34" s="137">
        <v>701.0</v>
      </c>
      <c r="U34" s="137">
        <v>3.0</v>
      </c>
      <c r="V34" s="258" t="s">
        <v>242</v>
      </c>
      <c r="W34" s="193"/>
      <c r="X34" s="137"/>
      <c r="Y34" s="96"/>
      <c r="Z34" s="96"/>
      <c r="AA34" s="96"/>
      <c r="AB34" s="96"/>
      <c r="AC34" s="96"/>
      <c r="AD34" s="96"/>
      <c r="AE34" s="96"/>
      <c r="AF34" s="96"/>
      <c r="AG34" s="96"/>
    </row>
    <row r="35" ht="15.75" customHeight="1">
      <c r="A35" s="175"/>
      <c r="B35" s="191">
        <v>954230.0</v>
      </c>
      <c r="D35" s="137" t="s">
        <v>243</v>
      </c>
      <c r="E35" s="137"/>
      <c r="F35" s="265"/>
      <c r="G35" s="265"/>
      <c r="H35" s="265"/>
      <c r="I35" s="267" t="s">
        <v>188</v>
      </c>
      <c r="J35" s="265">
        <v>3.0</v>
      </c>
      <c r="K35" s="137"/>
      <c r="L35" s="137"/>
      <c r="M35" s="259" t="s">
        <v>78</v>
      </c>
      <c r="N35" s="137" t="s">
        <v>244</v>
      </c>
      <c r="O35" s="137"/>
      <c r="P35" s="137"/>
      <c r="Q35" s="137"/>
      <c r="R35" s="137"/>
      <c r="T35" s="137">
        <v>701.0</v>
      </c>
      <c r="U35" s="137">
        <v>3.0</v>
      </c>
      <c r="W35" s="137"/>
      <c r="X35" s="137"/>
      <c r="Y35" s="96"/>
      <c r="Z35" s="96"/>
      <c r="AA35" s="96"/>
      <c r="AB35" s="96"/>
      <c r="AC35" s="96"/>
      <c r="AD35" s="96"/>
      <c r="AE35" s="96"/>
      <c r="AF35" s="96"/>
      <c r="AG35" s="96"/>
    </row>
    <row r="36" ht="15.75" customHeight="1">
      <c r="A36" s="175"/>
      <c r="B36" s="191">
        <v>954231.0</v>
      </c>
      <c r="D36" s="183" t="s">
        <v>245</v>
      </c>
      <c r="E36" s="137"/>
      <c r="F36" s="265"/>
      <c r="G36" s="265"/>
      <c r="H36" s="265"/>
      <c r="I36" s="267" t="s">
        <v>188</v>
      </c>
      <c r="J36" s="265">
        <v>3.0</v>
      </c>
      <c r="K36" s="137"/>
      <c r="L36" s="137"/>
      <c r="M36" s="259" t="s">
        <v>80</v>
      </c>
      <c r="N36" s="137" t="s">
        <v>246</v>
      </c>
      <c r="O36" s="137"/>
      <c r="P36" s="137"/>
      <c r="Q36" s="137"/>
      <c r="R36" s="137"/>
      <c r="T36" s="137">
        <v>701.0</v>
      </c>
      <c r="U36" s="137">
        <v>3.0</v>
      </c>
      <c r="W36" s="137"/>
      <c r="X36" s="137"/>
      <c r="Y36" s="96"/>
      <c r="Z36" s="96"/>
      <c r="AA36" s="96"/>
      <c r="AB36" s="96"/>
      <c r="AC36" s="96"/>
      <c r="AD36" s="96"/>
      <c r="AE36" s="96"/>
      <c r="AF36" s="96"/>
      <c r="AG36" s="96"/>
    </row>
    <row r="37" ht="15.75" customHeight="1">
      <c r="A37" s="175"/>
      <c r="B37" s="191">
        <v>954244.0</v>
      </c>
      <c r="D37" s="183" t="s">
        <v>247</v>
      </c>
      <c r="E37" s="137"/>
      <c r="F37" s="265"/>
      <c r="G37" s="265"/>
      <c r="H37" s="265"/>
      <c r="I37" s="267" t="s">
        <v>248</v>
      </c>
      <c r="J37" s="265">
        <v>3.0</v>
      </c>
      <c r="K37" s="137"/>
      <c r="L37" s="137"/>
      <c r="M37" s="259" t="s">
        <v>82</v>
      </c>
      <c r="N37" s="137" t="s">
        <v>249</v>
      </c>
      <c r="O37" s="137"/>
      <c r="P37" s="137"/>
      <c r="Q37" s="137"/>
      <c r="R37" s="137"/>
      <c r="T37" s="137">
        <v>701.0</v>
      </c>
      <c r="U37" s="137">
        <v>3.0</v>
      </c>
      <c r="W37" s="137"/>
      <c r="X37" s="137"/>
      <c r="Y37" s="96"/>
      <c r="Z37" s="96"/>
      <c r="AA37" s="96"/>
      <c r="AB37" s="96"/>
      <c r="AC37" s="96"/>
      <c r="AD37" s="96"/>
      <c r="AE37" s="96"/>
      <c r="AF37" s="96"/>
      <c r="AG37" s="96"/>
    </row>
    <row r="38" ht="15.75" customHeight="1">
      <c r="A38" s="175"/>
      <c r="B38" s="191">
        <v>954340.0</v>
      </c>
      <c r="D38" s="183" t="s">
        <v>250</v>
      </c>
      <c r="E38" s="137"/>
      <c r="F38" s="265"/>
      <c r="G38" s="265"/>
      <c r="H38" s="265"/>
      <c r="I38" s="267" t="s">
        <v>183</v>
      </c>
      <c r="J38" s="265">
        <v>3.0</v>
      </c>
      <c r="K38" s="137"/>
      <c r="L38" s="137"/>
      <c r="M38" s="259" t="s">
        <v>83</v>
      </c>
      <c r="N38" s="137" t="s">
        <v>251</v>
      </c>
      <c r="O38" s="137"/>
      <c r="P38" s="137"/>
      <c r="Q38" s="137"/>
      <c r="R38" s="137"/>
      <c r="T38" s="137">
        <v>701.0</v>
      </c>
      <c r="U38" s="137">
        <v>3.0</v>
      </c>
      <c r="W38" s="137"/>
      <c r="X38" s="137"/>
      <c r="Y38" s="96"/>
      <c r="Z38" s="96"/>
      <c r="AA38" s="96"/>
      <c r="AB38" s="96"/>
      <c r="AC38" s="96"/>
      <c r="AD38" s="96"/>
      <c r="AE38" s="96"/>
      <c r="AF38" s="96"/>
      <c r="AG38" s="96"/>
    </row>
    <row r="39" ht="15.75" customHeight="1">
      <c r="A39" s="268"/>
      <c r="B39" s="269"/>
      <c r="C39" s="270"/>
      <c r="D39" s="96" t="s">
        <v>252</v>
      </c>
      <c r="E39" s="137"/>
      <c r="F39" s="271"/>
      <c r="G39" s="271"/>
      <c r="H39" s="271"/>
      <c r="I39" s="267" t="s">
        <v>176</v>
      </c>
      <c r="J39" s="137">
        <v>3.0</v>
      </c>
      <c r="K39" s="185"/>
      <c r="L39" s="137"/>
      <c r="M39" s="272">
        <v>888102.0</v>
      </c>
      <c r="N39" s="273" t="s">
        <v>253</v>
      </c>
      <c r="O39" s="258"/>
      <c r="P39" s="258"/>
      <c r="Q39" s="258"/>
      <c r="R39" s="258"/>
      <c r="S39" s="274"/>
      <c r="T39" s="273">
        <v>705.0</v>
      </c>
      <c r="U39" s="258">
        <v>3.0</v>
      </c>
      <c r="V39" s="185"/>
      <c r="W39" s="193"/>
      <c r="X39" s="137"/>
      <c r="Y39" s="96"/>
      <c r="Z39" s="96"/>
      <c r="AA39" s="96"/>
      <c r="AB39" s="96"/>
      <c r="AC39" s="96"/>
      <c r="AD39" s="96"/>
      <c r="AE39" s="96"/>
      <c r="AF39" s="96"/>
      <c r="AG39" s="96"/>
    </row>
    <row r="40" ht="15.75" customHeight="1">
      <c r="A40" s="115"/>
      <c r="B40" s="275"/>
      <c r="C40" s="96"/>
      <c r="D40" s="96"/>
      <c r="E40" s="137"/>
      <c r="F40" s="96"/>
      <c r="G40" s="96"/>
      <c r="H40" s="96"/>
      <c r="I40" s="143"/>
      <c r="K40" s="137"/>
      <c r="L40" s="137"/>
      <c r="M40" s="230"/>
      <c r="N40" s="137"/>
      <c r="O40" s="190"/>
      <c r="P40" s="137"/>
      <c r="Q40" s="137"/>
      <c r="R40" s="137"/>
      <c r="S40" s="190"/>
      <c r="T40" s="137"/>
      <c r="U40" s="137"/>
      <c r="W40" s="276"/>
      <c r="X40" s="137"/>
      <c r="Y40" s="96"/>
      <c r="Z40" s="96"/>
      <c r="AA40" s="96"/>
      <c r="AB40" s="96"/>
      <c r="AC40" s="96"/>
      <c r="AD40" s="96"/>
      <c r="AE40" s="96"/>
      <c r="AF40" s="96"/>
      <c r="AG40" s="96"/>
    </row>
    <row r="41" ht="15.75" customHeight="1">
      <c r="A41" s="115"/>
      <c r="B41" s="275"/>
      <c r="C41" s="137"/>
      <c r="D41" s="276"/>
      <c r="E41" s="96"/>
      <c r="F41" s="96"/>
      <c r="G41" s="196" t="s">
        <v>193</v>
      </c>
      <c r="H41" s="96"/>
      <c r="I41" s="96"/>
      <c r="J41" s="197">
        <f>SUM(J33:J39)</f>
        <v>21</v>
      </c>
      <c r="K41" s="96"/>
      <c r="L41" s="137"/>
      <c r="M41" s="137"/>
      <c r="N41" s="137"/>
      <c r="O41" s="137"/>
      <c r="P41" s="137"/>
      <c r="Q41" s="137"/>
      <c r="R41" s="137"/>
      <c r="S41" s="198" t="s">
        <v>194</v>
      </c>
      <c r="U41" s="197">
        <f>SUM(U33:U40)</f>
        <v>21</v>
      </c>
      <c r="W41" s="137"/>
      <c r="X41" s="137"/>
      <c r="Y41" s="96"/>
      <c r="Z41" s="96"/>
      <c r="AA41" s="96"/>
      <c r="AB41" s="96"/>
      <c r="AC41" s="96"/>
      <c r="AD41" s="96"/>
      <c r="AE41" s="96"/>
      <c r="AF41" s="96"/>
      <c r="AG41" s="96"/>
    </row>
    <row r="42" ht="15.75" customHeight="1">
      <c r="C42" s="96"/>
      <c r="D42" s="137"/>
      <c r="E42" s="137"/>
      <c r="F42" s="137"/>
      <c r="G42" s="137"/>
      <c r="H42" s="137"/>
      <c r="I42" s="137"/>
      <c r="J42" s="137"/>
      <c r="K42" s="137"/>
      <c r="L42" s="96"/>
      <c r="M42" s="96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96"/>
      <c r="Z42" s="96"/>
      <c r="AA42" s="96"/>
      <c r="AB42" s="96"/>
      <c r="AC42" s="96"/>
      <c r="AD42" s="96"/>
      <c r="AE42" s="96"/>
      <c r="AF42" s="96"/>
      <c r="AG42" s="96"/>
    </row>
    <row r="43" ht="15.75" customHeight="1">
      <c r="A43" s="277" t="s">
        <v>254</v>
      </c>
      <c r="B43" s="278" t="s">
        <v>255</v>
      </c>
      <c r="F43" s="279" t="s">
        <v>256</v>
      </c>
      <c r="R43" s="137"/>
      <c r="S43" s="137"/>
      <c r="T43" s="137"/>
      <c r="U43" s="137"/>
      <c r="V43" s="137"/>
      <c r="W43" s="137"/>
      <c r="X43" s="137"/>
      <c r="Y43" s="96"/>
      <c r="Z43" s="96"/>
      <c r="AA43" s="96"/>
      <c r="AB43" s="96"/>
      <c r="AC43" s="96"/>
      <c r="AD43" s="96"/>
      <c r="AE43" s="96"/>
      <c r="AF43" s="96"/>
      <c r="AG43" s="96"/>
    </row>
    <row r="44" ht="15.75" customHeight="1">
      <c r="A44" s="277" t="s">
        <v>257</v>
      </c>
      <c r="B44" s="274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</row>
    <row r="45" ht="15.75" customHeight="1">
      <c r="A45" s="96"/>
      <c r="B45" s="280" t="s">
        <v>258</v>
      </c>
      <c r="C45" s="281"/>
      <c r="D45" s="281"/>
      <c r="E45" s="281"/>
      <c r="F45" s="281"/>
      <c r="G45" s="281"/>
      <c r="H45" s="281"/>
      <c r="I45" s="114"/>
      <c r="K45" s="282"/>
      <c r="M45" s="180"/>
      <c r="N45" s="180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ht="15.75" customHeight="1">
      <c r="A46" s="96"/>
      <c r="B46" s="283" t="s">
        <v>259</v>
      </c>
      <c r="D46" s="284" t="s">
        <v>260</v>
      </c>
      <c r="K46" s="285"/>
      <c r="M46" s="286"/>
      <c r="N46" s="285"/>
      <c r="P46" s="28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ht="15.75" customHeight="1">
      <c r="A47" s="96"/>
      <c r="B47" s="191">
        <v>208262.0</v>
      </c>
      <c r="C47" s="191"/>
      <c r="D47" s="264" t="s">
        <v>239</v>
      </c>
      <c r="E47" s="137"/>
      <c r="F47" s="265"/>
      <c r="G47" s="265"/>
      <c r="H47" s="265"/>
      <c r="K47" s="287"/>
      <c r="N47" s="287"/>
      <c r="P47" s="287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</row>
    <row r="48" ht="15.75" customHeight="1">
      <c r="A48" s="144"/>
      <c r="B48" s="259" t="s">
        <v>81</v>
      </c>
      <c r="C48" s="191"/>
      <c r="D48" s="288" t="s">
        <v>261</v>
      </c>
      <c r="E48" s="137"/>
      <c r="F48" s="265"/>
      <c r="G48" s="265"/>
      <c r="H48" s="265"/>
      <c r="K48" s="285"/>
      <c r="M48" s="96"/>
      <c r="N48" s="285"/>
      <c r="P48" s="96"/>
      <c r="R48" s="96"/>
      <c r="S48" s="96"/>
      <c r="T48" s="96"/>
      <c r="U48" s="95"/>
      <c r="V48" s="95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</row>
    <row r="49" ht="15.75" customHeight="1">
      <c r="A49" s="96"/>
      <c r="B49" s="191">
        <v>954230.0</v>
      </c>
      <c r="D49" s="137" t="s">
        <v>243</v>
      </c>
      <c r="E49" s="137"/>
      <c r="F49" s="265"/>
      <c r="G49" s="265"/>
      <c r="H49" s="265"/>
      <c r="K49" s="285"/>
      <c r="M49" s="96"/>
      <c r="N49" s="285"/>
      <c r="P49" s="286"/>
      <c r="R49" s="96"/>
      <c r="S49" s="96"/>
      <c r="T49" s="96"/>
      <c r="U49" s="95"/>
      <c r="V49" s="95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</row>
    <row r="50" ht="15.75" customHeight="1">
      <c r="A50" s="96"/>
      <c r="B50" s="191">
        <v>954231.0</v>
      </c>
      <c r="D50" s="183" t="s">
        <v>245</v>
      </c>
      <c r="E50" s="137"/>
      <c r="F50" s="265"/>
      <c r="G50" s="265"/>
      <c r="H50" s="265"/>
      <c r="I50" s="96"/>
      <c r="J50" s="137"/>
      <c r="K50" s="285"/>
      <c r="M50" s="286"/>
      <c r="N50" s="285"/>
      <c r="P50" s="286"/>
      <c r="Q50" s="289"/>
      <c r="R50" s="290"/>
      <c r="S50" s="258"/>
      <c r="T50" s="235"/>
      <c r="U50" s="258"/>
      <c r="V50" s="290"/>
      <c r="W50" s="290"/>
      <c r="X50" s="96"/>
      <c r="Y50" s="96"/>
      <c r="Z50" s="96"/>
      <c r="AA50" s="96"/>
      <c r="AB50" s="96"/>
      <c r="AC50" s="96"/>
      <c r="AD50" s="96"/>
      <c r="AE50" s="96"/>
      <c r="AF50" s="96"/>
      <c r="AG50" s="96"/>
    </row>
    <row r="51" ht="15.75" customHeight="1">
      <c r="A51" s="96"/>
      <c r="B51" s="191">
        <v>954244.0</v>
      </c>
      <c r="D51" s="183" t="s">
        <v>247</v>
      </c>
      <c r="E51" s="137"/>
      <c r="F51" s="265"/>
      <c r="G51" s="265"/>
      <c r="H51" s="265"/>
      <c r="I51" s="96"/>
      <c r="J51" s="137"/>
      <c r="K51" s="291"/>
      <c r="M51" s="96"/>
      <c r="N51" s="285"/>
      <c r="P51" s="286"/>
      <c r="Q51" s="137"/>
      <c r="R51" s="137"/>
      <c r="S51" s="137"/>
      <c r="T51" s="137"/>
      <c r="U51" s="137"/>
      <c r="V51" s="290"/>
      <c r="W51" s="290"/>
      <c r="X51" s="96"/>
      <c r="Y51" s="96"/>
      <c r="Z51" s="96"/>
      <c r="AA51" s="96"/>
      <c r="AB51" s="96"/>
      <c r="AC51" s="96"/>
      <c r="AD51" s="96"/>
      <c r="AE51" s="96"/>
      <c r="AF51" s="96"/>
      <c r="AG51" s="96"/>
    </row>
    <row r="52" ht="15.75" customHeight="1">
      <c r="A52" s="96"/>
      <c r="B52" s="191">
        <v>954340.0</v>
      </c>
      <c r="D52" s="183" t="s">
        <v>250</v>
      </c>
      <c r="E52" s="137"/>
      <c r="F52" s="265"/>
      <c r="G52" s="265"/>
      <c r="H52" s="265"/>
      <c r="I52" s="96"/>
      <c r="J52" s="96"/>
      <c r="K52" s="292"/>
      <c r="M52" s="286"/>
      <c r="N52" s="285"/>
      <c r="P52" s="96"/>
      <c r="Q52" s="289"/>
      <c r="R52" s="290"/>
      <c r="S52" s="293"/>
      <c r="T52" s="293"/>
      <c r="U52" s="293"/>
      <c r="V52" s="290"/>
      <c r="W52" s="290"/>
      <c r="X52" s="96"/>
      <c r="Y52" s="96"/>
      <c r="Z52" s="96"/>
      <c r="AA52" s="96"/>
      <c r="AB52" s="96"/>
      <c r="AC52" s="96"/>
      <c r="AD52" s="96"/>
      <c r="AE52" s="96"/>
      <c r="AF52" s="96"/>
      <c r="AG52" s="96"/>
    </row>
    <row r="53" ht="15.75" customHeight="1">
      <c r="A53" s="96"/>
      <c r="B53" s="294"/>
      <c r="C53" s="270"/>
      <c r="D53" s="96" t="s">
        <v>252</v>
      </c>
      <c r="E53" s="137"/>
      <c r="F53" s="271"/>
      <c r="G53" s="271"/>
      <c r="H53" s="271"/>
      <c r="I53" s="96"/>
      <c r="J53" s="96"/>
      <c r="K53" s="286"/>
      <c r="L53" s="286"/>
      <c r="M53" s="286"/>
      <c r="N53" s="287"/>
      <c r="O53" s="287"/>
      <c r="P53" s="295"/>
      <c r="Q53" s="289"/>
      <c r="R53" s="290"/>
      <c r="S53" s="258"/>
      <c r="T53" s="258"/>
      <c r="U53" s="258"/>
      <c r="V53" s="290"/>
      <c r="W53" s="290"/>
      <c r="X53" s="96"/>
      <c r="Y53" s="96"/>
      <c r="Z53" s="96"/>
      <c r="AA53" s="96"/>
      <c r="AB53" s="96"/>
      <c r="AC53" s="96"/>
      <c r="AD53" s="96"/>
      <c r="AE53" s="96"/>
      <c r="AF53" s="96"/>
      <c r="AG53" s="96"/>
    </row>
    <row r="54" ht="15.75" customHeight="1">
      <c r="A54" s="96"/>
      <c r="B54" s="96"/>
      <c r="C54" s="96"/>
      <c r="D54" s="96" t="s">
        <v>262</v>
      </c>
      <c r="E54" s="137"/>
      <c r="F54" s="96"/>
      <c r="G54" s="96"/>
      <c r="H54" s="96"/>
      <c r="I54" s="96"/>
      <c r="J54" s="96"/>
      <c r="K54" s="286"/>
      <c r="L54" s="286"/>
      <c r="M54" s="286"/>
      <c r="N54" s="287"/>
      <c r="O54" s="287"/>
      <c r="P54" s="295"/>
      <c r="Q54" s="289"/>
      <c r="R54" s="290"/>
      <c r="S54" s="258"/>
      <c r="T54" s="258"/>
      <c r="U54" s="258"/>
      <c r="V54" s="290"/>
      <c r="W54" s="290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 ht="15.75" customHeight="1">
      <c r="A55" s="96"/>
      <c r="K55" s="251"/>
      <c r="L55" s="251"/>
      <c r="M55" s="143"/>
      <c r="N55" s="143"/>
      <c r="O55" s="143"/>
      <c r="P55" s="96"/>
      <c r="Q55" s="96"/>
      <c r="R55" s="96"/>
      <c r="S55" s="290"/>
      <c r="T55" s="290"/>
      <c r="U55" s="290"/>
      <c r="V55" s="290"/>
      <c r="W55" s="290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 ht="15.75" customHeight="1">
      <c r="A56" s="96"/>
      <c r="B56" s="296" t="s">
        <v>263</v>
      </c>
      <c r="C56" s="114"/>
      <c r="D56" s="114"/>
      <c r="E56" s="114"/>
      <c r="F56" s="114"/>
      <c r="G56" s="114"/>
      <c r="H56" s="114"/>
      <c r="I56" s="114"/>
      <c r="K56" s="282"/>
      <c r="M56" s="180"/>
      <c r="N56" s="180"/>
      <c r="P56" s="96"/>
      <c r="Q56" s="96"/>
      <c r="R56" s="96"/>
      <c r="S56" s="290"/>
      <c r="T56" s="290"/>
      <c r="U56" s="290"/>
      <c r="V56" s="290"/>
      <c r="W56" s="290"/>
      <c r="X56" s="96"/>
      <c r="Y56" s="96"/>
      <c r="Z56" s="96"/>
      <c r="AA56" s="96"/>
      <c r="AB56" s="96"/>
      <c r="AC56" s="96"/>
      <c r="AD56" s="96"/>
      <c r="AE56" s="96"/>
      <c r="AF56" s="96"/>
      <c r="AG56" s="96"/>
    </row>
    <row r="57" ht="15.75" customHeight="1">
      <c r="A57" s="96"/>
      <c r="B57" s="137" t="s">
        <v>264</v>
      </c>
      <c r="C57" s="137"/>
      <c r="D57" s="137" t="s">
        <v>265</v>
      </c>
      <c r="E57" s="137"/>
      <c r="F57" s="137"/>
      <c r="G57" s="137"/>
      <c r="H57" s="137"/>
      <c r="I57" s="137">
        <v>3.0</v>
      </c>
      <c r="K57" s="287"/>
      <c r="N57" s="292"/>
      <c r="P57" s="96"/>
      <c r="Q57" s="96"/>
      <c r="R57" s="96"/>
      <c r="S57" s="137"/>
      <c r="T57" s="137"/>
      <c r="U57" s="137"/>
      <c r="V57" s="297"/>
      <c r="W57" s="297"/>
      <c r="X57" s="96"/>
      <c r="Y57" s="96"/>
      <c r="Z57" s="96"/>
      <c r="AA57" s="96"/>
      <c r="AB57" s="96"/>
      <c r="AC57" s="96"/>
      <c r="AD57" s="96"/>
      <c r="AE57" s="96"/>
      <c r="AF57" s="96"/>
      <c r="AG57" s="96"/>
    </row>
    <row r="58" ht="15.75" customHeight="1">
      <c r="A58" s="96"/>
      <c r="B58" s="298" t="s">
        <v>266</v>
      </c>
      <c r="C58" s="299"/>
      <c r="D58" s="265" t="s">
        <v>267</v>
      </c>
      <c r="E58" s="265"/>
      <c r="F58" s="265"/>
      <c r="G58" s="265"/>
      <c r="H58" s="265"/>
      <c r="I58" s="265">
        <v>3.0</v>
      </c>
      <c r="K58" s="291"/>
      <c r="M58" s="96"/>
      <c r="N58" s="292"/>
      <c r="P58" s="96"/>
      <c r="Q58" s="96"/>
      <c r="R58" s="96"/>
      <c r="S58" s="297"/>
      <c r="T58" s="297"/>
      <c r="U58" s="297"/>
      <c r="V58" s="137"/>
      <c r="W58" s="290"/>
      <c r="X58" s="96"/>
      <c r="Y58" s="96"/>
      <c r="Z58" s="96"/>
      <c r="AA58" s="96"/>
      <c r="AB58" s="96"/>
      <c r="AC58" s="96"/>
      <c r="AD58" s="96"/>
      <c r="AE58" s="96"/>
      <c r="AF58" s="96"/>
      <c r="AG58" s="96"/>
    </row>
    <row r="59" ht="15.75" customHeight="1">
      <c r="A59" s="96"/>
      <c r="B59" s="300" t="s">
        <v>268</v>
      </c>
      <c r="C59" s="300"/>
      <c r="D59" s="300" t="s">
        <v>269</v>
      </c>
      <c r="E59" s="300"/>
      <c r="F59" s="300"/>
      <c r="G59" s="300"/>
      <c r="H59" s="300"/>
      <c r="I59" s="300">
        <v>3.0</v>
      </c>
      <c r="K59" s="291"/>
      <c r="M59" s="96"/>
      <c r="N59" s="292"/>
      <c r="P59" s="96"/>
      <c r="Q59" s="96"/>
      <c r="R59" s="96"/>
      <c r="S59" s="290"/>
      <c r="T59" s="290"/>
      <c r="U59" s="290"/>
      <c r="V59" s="290"/>
      <c r="W59" s="290"/>
      <c r="X59" s="96"/>
      <c r="Y59" s="96"/>
      <c r="Z59" s="96"/>
      <c r="AA59" s="96"/>
      <c r="AB59" s="96"/>
      <c r="AC59" s="96"/>
      <c r="AD59" s="96"/>
      <c r="AE59" s="96"/>
      <c r="AF59" s="96"/>
      <c r="AG59" s="96"/>
    </row>
    <row r="60" ht="15.75" customHeight="1">
      <c r="A60" s="96"/>
      <c r="B60" s="137" t="s">
        <v>270</v>
      </c>
      <c r="C60" s="137"/>
      <c r="D60" s="137" t="s">
        <v>271</v>
      </c>
      <c r="E60" s="137"/>
      <c r="F60" s="137"/>
      <c r="G60" s="137"/>
      <c r="H60" s="137"/>
      <c r="I60" s="137">
        <v>3.0</v>
      </c>
      <c r="K60" s="70"/>
      <c r="M60" s="96"/>
      <c r="N60" s="286"/>
      <c r="P60" s="96"/>
      <c r="Q60" s="96"/>
      <c r="R60" s="96"/>
      <c r="S60" s="290"/>
      <c r="T60" s="290"/>
      <c r="U60" s="290"/>
      <c r="V60" s="290"/>
      <c r="W60" s="290"/>
      <c r="X60" s="96"/>
      <c r="Y60" s="96"/>
      <c r="Z60" s="96"/>
      <c r="AA60" s="96"/>
      <c r="AB60" s="96"/>
      <c r="AC60" s="96"/>
      <c r="AD60" s="96"/>
      <c r="AE60" s="96"/>
      <c r="AF60" s="96"/>
      <c r="AG60" s="96"/>
    </row>
    <row r="61" ht="15.75" customHeight="1">
      <c r="A61" s="96"/>
      <c r="B61" s="137" t="s">
        <v>272</v>
      </c>
      <c r="C61" s="137"/>
      <c r="D61" s="137" t="s">
        <v>273</v>
      </c>
      <c r="E61" s="137"/>
      <c r="F61" s="137"/>
      <c r="G61" s="137"/>
      <c r="H61" s="137"/>
      <c r="I61" s="137">
        <v>3.0</v>
      </c>
      <c r="K61" s="291"/>
      <c r="M61" s="96"/>
      <c r="N61" s="292"/>
      <c r="P61" s="286"/>
      <c r="Q61" s="180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</row>
    <row r="62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ht="15.75" customHeight="1"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</row>
    <row r="64" ht="15.75" customHeight="1"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</row>
    <row r="66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</row>
    <row r="67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</row>
    <row r="68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</row>
    <row r="69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</row>
    <row r="70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</row>
    <row r="71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</row>
    <row r="72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</row>
    <row r="73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</row>
    <row r="74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</row>
    <row r="75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</row>
    <row r="7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</row>
    <row r="77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</row>
    <row r="78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</row>
    <row r="79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</row>
    <row r="80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</row>
    <row r="81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</row>
    <row r="110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</row>
    <row r="111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</row>
    <row r="112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</row>
    <row r="113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</row>
    <row r="114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</row>
    <row r="115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</row>
    <row r="11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</row>
    <row r="117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</row>
    <row r="118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</row>
    <row r="119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</row>
    <row r="120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</row>
    <row r="121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</row>
    <row r="122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</row>
    <row r="123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</row>
    <row r="124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</row>
    <row r="125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</row>
    <row r="1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</row>
    <row r="127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</row>
    <row r="128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</row>
    <row r="129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</row>
    <row r="130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</row>
    <row r="131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</row>
    <row r="132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</row>
    <row r="133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</row>
    <row r="134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</row>
    <row r="135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</row>
    <row r="13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</row>
    <row r="137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</row>
    <row r="138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</row>
    <row r="139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</row>
    <row r="140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</row>
    <row r="141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</row>
    <row r="142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</row>
    <row r="143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</row>
    <row r="144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</row>
    <row r="145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</row>
    <row r="14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</row>
    <row r="147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</row>
    <row r="148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</row>
    <row r="149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</row>
    <row r="150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</row>
    <row r="151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</row>
    <row r="152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</row>
    <row r="153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</row>
    <row r="154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</row>
    <row r="155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</row>
    <row r="15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</row>
    <row r="157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</row>
    <row r="158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</row>
    <row r="159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</row>
    <row r="160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</row>
    <row r="161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</row>
    <row r="162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</row>
    <row r="163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</row>
    <row r="164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</row>
    <row r="165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</row>
    <row r="16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</row>
    <row r="16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</row>
    <row r="168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</row>
    <row r="169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</row>
    <row r="170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</row>
    <row r="171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</row>
    <row r="172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</row>
    <row r="173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</row>
    <row r="174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</row>
    <row r="175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</row>
    <row r="17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</row>
    <row r="17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</row>
    <row r="178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</row>
    <row r="179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</row>
    <row r="180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</row>
    <row r="181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</row>
    <row r="182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</row>
    <row r="183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</row>
    <row r="184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</row>
    <row r="185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</row>
    <row r="18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</row>
    <row r="18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</row>
    <row r="188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</row>
    <row r="189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</row>
    <row r="190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</row>
    <row r="191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</row>
    <row r="192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</row>
    <row r="193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</row>
    <row r="194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</row>
    <row r="195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</row>
    <row r="19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</row>
    <row r="19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</row>
    <row r="198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</row>
    <row r="199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</row>
    <row r="200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</row>
    <row r="201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</row>
    <row r="202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</row>
    <row r="203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</row>
    <row r="204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</row>
    <row r="205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</row>
    <row r="20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</row>
    <row r="20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</row>
    <row r="208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</row>
    <row r="209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</row>
    <row r="210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</row>
    <row r="211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</row>
    <row r="212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</row>
    <row r="213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</row>
    <row r="214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</row>
    <row r="215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</row>
    <row r="21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</row>
    <row r="21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</row>
    <row r="218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</row>
    <row r="219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</row>
    <row r="220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</row>
    <row r="221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</row>
    <row r="222" ht="15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</row>
    <row r="223" ht="15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</row>
    <row r="224" ht="15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</row>
    <row r="225" ht="15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</row>
    <row r="226" ht="15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</row>
    <row r="227" ht="15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</row>
    <row r="228" ht="15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</row>
    <row r="229" ht="15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</row>
    <row r="230" ht="15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</row>
    <row r="231" ht="15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</row>
    <row r="232" ht="15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</row>
    <row r="233" ht="15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</row>
    <row r="234" ht="15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</row>
    <row r="235" ht="15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</row>
    <row r="236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</row>
    <row r="23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</row>
    <row r="238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</row>
    <row r="239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</row>
    <row r="240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</row>
    <row r="241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</row>
    <row r="242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</row>
    <row r="243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</row>
    <row r="244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</row>
    <row r="245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</row>
    <row r="246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</row>
    <row r="24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</row>
    <row r="24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</row>
    <row r="249" ht="15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</row>
    <row r="250" ht="15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</row>
    <row r="251" ht="15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</row>
    <row r="252" ht="15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</row>
    <row r="253" ht="15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</row>
    <row r="254" ht="15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</row>
    <row r="255" ht="15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</row>
    <row r="256" ht="15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</row>
    <row r="257" ht="15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</row>
    <row r="258" ht="15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</row>
    <row r="259" ht="15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</row>
    <row r="260" ht="15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</row>
    <row r="261" ht="15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</row>
    <row r="262" ht="15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</row>
    <row r="263" ht="15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</row>
    <row r="264" ht="15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</row>
    <row r="265" ht="15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</row>
    <row r="266" ht="15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</row>
    <row r="267" ht="15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</row>
    <row r="268" ht="15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</row>
    <row r="269" ht="15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</row>
    <row r="270" ht="15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</row>
    <row r="271" ht="15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</row>
    <row r="272" ht="15.75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</row>
    <row r="273" ht="15.75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</row>
    <row r="274" ht="15.75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</row>
    <row r="275" ht="15.75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</row>
    <row r="276" ht="15.75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</row>
    <row r="277" ht="15.75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</row>
    <row r="278" ht="15.75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</row>
    <row r="279" ht="15.75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</row>
    <row r="280" ht="15.75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</row>
    <row r="281" ht="15.75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</row>
    <row r="282" ht="15.75" customHeight="1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</row>
    <row r="283" ht="15.75" customHeight="1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</row>
    <row r="284" ht="15.75" customHeight="1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</row>
    <row r="285" ht="15.75" customHeight="1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</row>
    <row r="286" ht="15.75" customHeight="1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</row>
    <row r="287" ht="15.75" customHeight="1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</row>
    <row r="288" ht="15.75" customHeight="1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</row>
    <row r="289" ht="15.75" customHeight="1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</row>
    <row r="290" ht="15.75" customHeight="1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</row>
    <row r="291" ht="15.75" customHeight="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</row>
    <row r="292" ht="15.75" customHeight="1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</row>
    <row r="293" ht="15.75" customHeight="1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</row>
    <row r="294" ht="15.75" customHeight="1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</row>
    <row r="295" ht="15.75" customHeight="1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</row>
    <row r="296" ht="15.75" customHeight="1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</row>
    <row r="297" ht="15.75" customHeight="1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</row>
    <row r="298" ht="15.75" customHeight="1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</row>
    <row r="299" ht="15.75" customHeight="1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</row>
    <row r="300" ht="15.75" customHeight="1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</row>
    <row r="301" ht="15.75" customHeight="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</row>
    <row r="302" ht="15.75" customHeight="1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</row>
    <row r="303" ht="15.75" customHeight="1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</row>
    <row r="304" ht="15.75" customHeight="1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</row>
    <row r="305" ht="15.75" customHeight="1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</row>
    <row r="306" ht="15.75" customHeight="1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</row>
    <row r="307" ht="15.75" customHeight="1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</row>
    <row r="308" ht="15.75" customHeight="1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</row>
    <row r="309" ht="15.75" customHeight="1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</row>
    <row r="310" ht="15.7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</row>
    <row r="311" ht="15.75" customHeight="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</row>
    <row r="312" ht="15.75" customHeight="1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</row>
    <row r="313" ht="15.75" customHeight="1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</row>
    <row r="314" ht="15.75" customHeight="1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</row>
    <row r="315" ht="15.75" customHeight="1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</row>
    <row r="316" ht="15.75" customHeight="1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</row>
    <row r="317" ht="15.75" customHeight="1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</row>
    <row r="318" ht="15.75" customHeight="1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</row>
    <row r="319" ht="15.75" customHeight="1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</row>
    <row r="320" ht="15.75" customHeight="1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</row>
    <row r="321" ht="15.75" customHeight="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</row>
    <row r="322" ht="15.75" customHeight="1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</row>
    <row r="323" ht="15.75" customHeight="1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</row>
    <row r="324" ht="15.75" customHeight="1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</row>
    <row r="325" ht="15.75" customHeight="1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</row>
    <row r="326" ht="15.75" customHeight="1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</row>
    <row r="327" ht="15.75" customHeight="1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</row>
    <row r="328" ht="15.75" customHeight="1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</row>
    <row r="329" ht="15.75" customHeight="1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</row>
    <row r="330" ht="15.75" customHeight="1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</row>
    <row r="331" ht="15.75" customHeight="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</row>
    <row r="332" ht="15.75" customHeight="1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</row>
    <row r="333" ht="15.75" customHeight="1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</row>
    <row r="334" ht="15.75" customHeight="1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</row>
    <row r="335" ht="15.75" customHeight="1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</row>
    <row r="336" ht="15.75" customHeight="1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</row>
    <row r="337" ht="15.75" customHeight="1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</row>
    <row r="338" ht="15.75" customHeight="1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</row>
    <row r="339" ht="15.75" customHeight="1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</row>
    <row r="340" ht="15.75" customHeight="1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</row>
    <row r="341" ht="15.75" customHeight="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</row>
    <row r="342" ht="15.75" customHeight="1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</row>
    <row r="343" ht="15.75" customHeight="1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</row>
    <row r="344" ht="15.75" customHeight="1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</row>
    <row r="345" ht="15.75" customHeight="1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</row>
    <row r="346" ht="15.75" customHeight="1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</row>
    <row r="347" ht="15.75" customHeight="1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</row>
    <row r="348" ht="15.75" customHeight="1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</row>
    <row r="349" ht="15.75" customHeight="1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</row>
    <row r="350" ht="15.75" customHeight="1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</row>
    <row r="351" ht="15.75" customHeight="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</row>
    <row r="352" ht="15.75" customHeight="1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</row>
    <row r="353" ht="15.75" customHeight="1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</row>
    <row r="354" ht="15.75" customHeight="1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</row>
    <row r="355" ht="15.75" customHeight="1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</row>
    <row r="356" ht="15.75" customHeight="1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</row>
    <row r="357" ht="15.75" customHeight="1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</row>
    <row r="358" ht="15.75" customHeight="1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</row>
    <row r="359" ht="15.75" customHeight="1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</row>
    <row r="360" ht="15.75" customHeight="1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</row>
    <row r="361" ht="15.75" customHeight="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</row>
    <row r="362" ht="15.75" customHeight="1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</row>
    <row r="363" ht="15.75" customHeight="1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</row>
    <row r="364" ht="15.75" customHeight="1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</row>
    <row r="365" ht="15.75" customHeight="1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</row>
    <row r="366" ht="15.75" customHeight="1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</row>
    <row r="367" ht="15.75" customHeight="1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</row>
    <row r="368" ht="15.75" customHeight="1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</row>
    <row r="369" ht="15.75" customHeight="1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</row>
    <row r="370" ht="15.75" customHeight="1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</row>
    <row r="371" ht="15.75" customHeight="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</row>
    <row r="372" ht="15.75" customHeight="1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</row>
    <row r="373" ht="15.75" customHeight="1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</row>
    <row r="374" ht="15.75" customHeight="1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</row>
    <row r="375" ht="15.75" customHeight="1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</row>
    <row r="376" ht="15.75" customHeight="1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</row>
    <row r="377" ht="15.75" customHeight="1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</row>
    <row r="378" ht="15.75" customHeight="1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</row>
    <row r="379" ht="15.75" customHeight="1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</row>
    <row r="380" ht="15.75" customHeight="1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</row>
    <row r="381" ht="15.75" customHeight="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</row>
    <row r="382" ht="15.75" customHeight="1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</row>
    <row r="383" ht="15.75" customHeight="1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</row>
    <row r="384" ht="15.75" customHeight="1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</row>
    <row r="385" ht="15.75" customHeight="1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</row>
    <row r="386" ht="15.75" customHeight="1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</row>
    <row r="387" ht="15.75" customHeight="1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</row>
    <row r="388" ht="15.75" customHeight="1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</row>
    <row r="389" ht="15.75" customHeight="1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</row>
    <row r="390" ht="15.75" customHeight="1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</row>
    <row r="391" ht="15.75" customHeight="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</row>
    <row r="392" ht="15.75" customHeight="1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</row>
    <row r="393" ht="15.75" customHeight="1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</row>
    <row r="394" ht="15.75" customHeight="1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</row>
    <row r="395" ht="15.75" customHeight="1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</row>
    <row r="396" ht="15.75" customHeight="1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</row>
    <row r="397" ht="15.75" customHeight="1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</row>
    <row r="398" ht="15.75" customHeight="1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</row>
    <row r="399" ht="15.75" customHeight="1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</row>
    <row r="400" ht="15.75" customHeight="1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</row>
    <row r="401" ht="15.75" customHeight="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</row>
    <row r="402" ht="15.75" customHeight="1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</row>
    <row r="403" ht="15.75" customHeight="1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</row>
    <row r="404" ht="15.75" customHeight="1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</row>
    <row r="405" ht="15.75" customHeight="1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</row>
    <row r="406" ht="15.75" customHeight="1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</row>
    <row r="407" ht="15.75" customHeight="1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</row>
    <row r="408" ht="15.75" customHeight="1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</row>
    <row r="409" ht="15.75" customHeight="1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</row>
    <row r="410" ht="15.75" customHeight="1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</row>
    <row r="411" ht="15.75" customHeight="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</row>
    <row r="412" ht="15.75" customHeight="1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</row>
    <row r="413" ht="15.75" customHeight="1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</row>
    <row r="414" ht="15.75" customHeight="1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</row>
    <row r="415" ht="15.75" customHeight="1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</row>
    <row r="416" ht="15.75" customHeight="1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</row>
    <row r="417" ht="15.75" customHeight="1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</row>
    <row r="418" ht="15.75" customHeight="1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</row>
    <row r="419" ht="15.75" customHeight="1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</row>
    <row r="420" ht="15.75" customHeight="1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</row>
    <row r="421" ht="15.75" customHeight="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</row>
    <row r="422" ht="15.75" customHeight="1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</row>
    <row r="423" ht="15.75" customHeight="1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</row>
    <row r="424" ht="15.75" customHeight="1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</row>
    <row r="425" ht="15.75" customHeight="1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</row>
    <row r="426" ht="15.75" customHeight="1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</row>
    <row r="427" ht="15.75" customHeight="1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</row>
    <row r="428" ht="15.75" customHeight="1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</row>
    <row r="429" ht="15.75" customHeight="1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</row>
    <row r="430" ht="15.75" customHeight="1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</row>
    <row r="431" ht="15.75" customHeight="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</row>
    <row r="432" ht="15.75" customHeight="1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</row>
    <row r="433" ht="15.75" customHeight="1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</row>
    <row r="434" ht="15.75" customHeight="1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</row>
    <row r="435" ht="15.75" customHeight="1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</row>
    <row r="436" ht="15.75" customHeight="1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</row>
    <row r="437" ht="15.75" customHeight="1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</row>
    <row r="438" ht="15.75" customHeight="1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</row>
    <row r="439" ht="15.75" customHeight="1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</row>
    <row r="440" ht="15.75" customHeight="1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</row>
    <row r="441" ht="15.75" customHeight="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</row>
    <row r="442" ht="15.75" customHeight="1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</row>
    <row r="443" ht="15.75" customHeight="1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</row>
    <row r="444" ht="15.75" customHeight="1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</row>
    <row r="445" ht="15.75" customHeight="1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</row>
    <row r="446" ht="15.75" customHeight="1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</row>
    <row r="447" ht="15.75" customHeight="1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</row>
    <row r="448" ht="15.75" customHeight="1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</row>
    <row r="449" ht="15.75" customHeight="1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</row>
    <row r="450" ht="15.75" customHeight="1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</row>
    <row r="451" ht="15.75" customHeight="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</row>
    <row r="452" ht="15.75" customHeight="1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</row>
    <row r="453" ht="15.75" customHeight="1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</row>
    <row r="454" ht="15.75" customHeight="1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</row>
    <row r="455" ht="15.75" customHeight="1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</row>
    <row r="456" ht="15.75" customHeight="1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</row>
    <row r="457" ht="15.75" customHeight="1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</row>
    <row r="458" ht="15.75" customHeight="1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</row>
    <row r="459" ht="15.75" customHeight="1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</row>
    <row r="460" ht="15.75" customHeight="1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</row>
    <row r="461" ht="15.75" customHeight="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</row>
    <row r="462" ht="15.75" customHeight="1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</row>
    <row r="463" ht="15.75" customHeight="1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</row>
    <row r="464" ht="15.75" customHeight="1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</row>
    <row r="465" ht="15.75" customHeight="1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</row>
    <row r="466" ht="15.75" customHeight="1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</row>
    <row r="467" ht="15.75" customHeight="1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</row>
    <row r="468" ht="15.75" customHeight="1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</row>
    <row r="469" ht="15.75" customHeight="1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</row>
    <row r="470" ht="15.75" customHeight="1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</row>
    <row r="471" ht="15.75" customHeight="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</row>
    <row r="472" ht="15.75" customHeight="1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</row>
    <row r="473" ht="15.75" customHeight="1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</row>
    <row r="474" ht="15.75" customHeight="1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</row>
    <row r="475" ht="15.75" customHeight="1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</row>
    <row r="476" ht="15.75" customHeight="1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</row>
    <row r="477" ht="15.75" customHeight="1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</row>
    <row r="478" ht="15.75" customHeight="1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</row>
    <row r="479" ht="15.75" customHeight="1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</row>
    <row r="480" ht="15.75" customHeight="1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</row>
    <row r="481" ht="15.75" customHeight="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</row>
    <row r="482" ht="15.75" customHeight="1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</row>
    <row r="483" ht="15.75" customHeight="1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</row>
    <row r="484" ht="15.75" customHeight="1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</row>
    <row r="485" ht="15.75" customHeight="1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</row>
    <row r="486" ht="15.75" customHeight="1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</row>
    <row r="487" ht="15.75" customHeight="1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</row>
    <row r="488" ht="15.75" customHeight="1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</row>
    <row r="489" ht="15.75" customHeight="1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</row>
    <row r="490" ht="15.75" customHeight="1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</row>
    <row r="491" ht="15.75" customHeight="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</row>
    <row r="492" ht="15.75" customHeight="1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</row>
    <row r="493" ht="15.75" customHeight="1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</row>
    <row r="494" ht="15.75" customHeight="1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</row>
    <row r="495" ht="15.75" customHeight="1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</row>
    <row r="496" ht="15.75" customHeight="1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</row>
    <row r="497" ht="15.75" customHeight="1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</row>
    <row r="498" ht="15.75" customHeight="1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</row>
    <row r="499" ht="15.75" customHeight="1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</row>
    <row r="500" ht="15.75" customHeight="1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</row>
    <row r="501" ht="15.75" customHeight="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</row>
    <row r="502" ht="15.75" customHeight="1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</row>
    <row r="503" ht="15.75" customHeight="1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</row>
    <row r="504" ht="15.75" customHeight="1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</row>
    <row r="505" ht="15.75" customHeight="1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</row>
    <row r="506" ht="15.75" customHeight="1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</row>
    <row r="507" ht="15.75" customHeight="1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</row>
    <row r="508" ht="15.75" customHeight="1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</row>
    <row r="509" ht="15.75" customHeight="1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</row>
    <row r="510" ht="15.75" customHeight="1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</row>
    <row r="511" ht="15.75" customHeight="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</row>
    <row r="512" ht="15.75" customHeight="1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</row>
    <row r="513" ht="15.75" customHeight="1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</row>
    <row r="514" ht="15.75" customHeight="1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</row>
    <row r="515" ht="15.75" customHeight="1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</row>
    <row r="516" ht="15.75" customHeight="1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</row>
    <row r="517" ht="15.75" customHeight="1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</row>
    <row r="518" ht="15.75" customHeight="1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</row>
    <row r="519" ht="15.75" customHeight="1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</row>
    <row r="520" ht="15.75" customHeight="1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</row>
    <row r="521" ht="15.75" customHeight="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</row>
    <row r="522" ht="15.75" customHeight="1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</row>
    <row r="523" ht="15.75" customHeight="1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</row>
    <row r="524" ht="15.75" customHeight="1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</row>
    <row r="525" ht="15.75" customHeight="1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</row>
    <row r="526" ht="15.75" customHeight="1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</row>
    <row r="527" ht="15.75" customHeight="1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</row>
    <row r="528" ht="15.75" customHeight="1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</row>
    <row r="529" ht="15.75" customHeight="1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</row>
    <row r="530" ht="15.75" customHeight="1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</row>
    <row r="531" ht="15.75" customHeight="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</row>
    <row r="532" ht="15.75" customHeight="1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</row>
    <row r="533" ht="15.75" customHeight="1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</row>
    <row r="534" ht="15.75" customHeight="1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</row>
    <row r="535" ht="15.75" customHeight="1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</row>
    <row r="536" ht="15.75" customHeight="1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</row>
    <row r="537" ht="15.75" customHeight="1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</row>
    <row r="538" ht="15.75" customHeight="1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</row>
    <row r="539" ht="15.75" customHeight="1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</row>
    <row r="540" ht="15.75" customHeight="1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</row>
    <row r="541" ht="15.75" customHeight="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</row>
    <row r="542" ht="15.75" customHeight="1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</row>
    <row r="543" ht="15.75" customHeight="1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</row>
    <row r="544" ht="15.75" customHeight="1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</row>
    <row r="545" ht="15.75" customHeight="1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</row>
    <row r="546" ht="15.75" customHeight="1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</row>
    <row r="547" ht="15.75" customHeight="1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</row>
    <row r="548" ht="15.75" customHeight="1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</row>
    <row r="549" ht="15.75" customHeight="1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</row>
    <row r="550" ht="15.75" customHeight="1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</row>
    <row r="551" ht="15.75" customHeight="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</row>
    <row r="552" ht="15.75" customHeight="1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</row>
    <row r="553" ht="15.75" customHeight="1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</row>
    <row r="554" ht="15.75" customHeight="1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</row>
    <row r="555" ht="15.75" customHeight="1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</row>
    <row r="556" ht="15.75" customHeight="1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</row>
    <row r="557" ht="15.75" customHeight="1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</row>
    <row r="558" ht="15.75" customHeight="1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</row>
    <row r="559" ht="15.75" customHeight="1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</row>
    <row r="560" ht="15.75" customHeight="1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</row>
    <row r="561" ht="15.75" customHeight="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</row>
    <row r="562" ht="15.75" customHeight="1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</row>
    <row r="563" ht="15.75" customHeight="1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</row>
    <row r="564" ht="15.75" customHeight="1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</row>
    <row r="565" ht="15.75" customHeight="1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</row>
    <row r="566" ht="15.75" customHeight="1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</row>
    <row r="567" ht="15.75" customHeight="1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</row>
    <row r="568" ht="15.75" customHeight="1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</row>
    <row r="569" ht="15.75" customHeight="1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</row>
    <row r="570" ht="15.75" customHeight="1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</row>
    <row r="571" ht="15.75" customHeight="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</row>
    <row r="572" ht="15.75" customHeight="1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</row>
    <row r="573" ht="15.75" customHeight="1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</row>
    <row r="574" ht="15.75" customHeight="1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</row>
    <row r="575" ht="15.75" customHeight="1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</row>
    <row r="576" ht="15.75" customHeight="1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</row>
    <row r="577" ht="15.75" customHeight="1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</row>
    <row r="578" ht="15.75" customHeight="1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</row>
    <row r="579" ht="15.75" customHeight="1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</row>
    <row r="580" ht="15.75" customHeight="1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</row>
    <row r="581" ht="15.75" customHeight="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</row>
    <row r="582" ht="15.75" customHeight="1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</row>
    <row r="583" ht="15.75" customHeight="1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</row>
    <row r="584" ht="15.75" customHeight="1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</row>
    <row r="585" ht="15.75" customHeight="1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</row>
    <row r="586" ht="15.75" customHeight="1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</row>
    <row r="587" ht="15.75" customHeight="1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</row>
    <row r="588" ht="15.75" customHeight="1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</row>
    <row r="589" ht="15.75" customHeight="1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</row>
    <row r="590" ht="15.75" customHeight="1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</row>
    <row r="591" ht="15.75" customHeight="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</row>
    <row r="592" ht="15.75" customHeight="1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</row>
    <row r="593" ht="15.75" customHeight="1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</row>
    <row r="594" ht="15.75" customHeight="1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</row>
    <row r="595" ht="15.75" customHeight="1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</row>
    <row r="596" ht="15.75" customHeight="1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</row>
    <row r="597" ht="15.75" customHeight="1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</row>
    <row r="598" ht="15.75" customHeight="1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</row>
    <row r="599" ht="15.75" customHeight="1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</row>
    <row r="600" ht="15.75" customHeight="1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</row>
    <row r="601" ht="15.75" customHeight="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</row>
    <row r="602" ht="15.75" customHeight="1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</row>
    <row r="603" ht="15.75" customHeight="1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</row>
    <row r="604" ht="15.75" customHeight="1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</row>
    <row r="605" ht="15.75" customHeight="1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</row>
    <row r="606" ht="15.75" customHeight="1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</row>
    <row r="607" ht="15.75" customHeight="1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</row>
    <row r="608" ht="15.75" customHeight="1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</row>
    <row r="609" ht="15.75" customHeight="1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</row>
    <row r="610" ht="15.75" customHeight="1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</row>
    <row r="611" ht="15.75" customHeight="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</row>
    <row r="612" ht="15.75" customHeight="1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</row>
    <row r="613" ht="15.75" customHeight="1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</row>
    <row r="614" ht="15.75" customHeight="1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</row>
    <row r="615" ht="15.75" customHeight="1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</row>
    <row r="616" ht="15.75" customHeight="1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</row>
    <row r="617" ht="15.75" customHeight="1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</row>
    <row r="618" ht="15.75" customHeight="1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</row>
    <row r="619" ht="15.75" customHeight="1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</row>
    <row r="620" ht="15.75" customHeight="1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</row>
    <row r="621" ht="15.75" customHeight="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</row>
    <row r="622" ht="15.75" customHeight="1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</row>
    <row r="623" ht="15.75" customHeight="1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</row>
    <row r="624" ht="15.75" customHeight="1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</row>
    <row r="625" ht="15.75" customHeight="1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</row>
    <row r="626" ht="15.75" customHeight="1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</row>
    <row r="627" ht="15.75" customHeight="1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</row>
    <row r="628" ht="15.75" customHeight="1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</row>
    <row r="629" ht="15.75" customHeight="1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</row>
    <row r="630" ht="15.75" customHeight="1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</row>
    <row r="631" ht="15.75" customHeight="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</row>
    <row r="632" ht="15.75" customHeight="1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</row>
    <row r="633" ht="15.75" customHeight="1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</row>
    <row r="634" ht="15.75" customHeight="1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</row>
    <row r="635" ht="15.75" customHeight="1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</row>
    <row r="636" ht="15.75" customHeight="1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</row>
    <row r="637" ht="15.75" customHeight="1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</row>
    <row r="638" ht="15.75" customHeight="1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</row>
    <row r="639" ht="15.75" customHeight="1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</row>
    <row r="640" ht="15.75" customHeight="1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</row>
    <row r="641" ht="15.75" customHeight="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</row>
    <row r="642" ht="15.75" customHeight="1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</row>
    <row r="643" ht="15.75" customHeight="1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</row>
    <row r="644" ht="15.75" customHeight="1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</row>
    <row r="645" ht="15.75" customHeight="1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</row>
    <row r="646" ht="15.75" customHeight="1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</row>
    <row r="647" ht="15.75" customHeight="1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</row>
    <row r="648" ht="15.75" customHeight="1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</row>
    <row r="649" ht="15.75" customHeight="1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</row>
    <row r="650" ht="15.75" customHeight="1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</row>
    <row r="651" ht="15.75" customHeight="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</row>
    <row r="652" ht="15.75" customHeight="1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</row>
    <row r="653" ht="15.75" customHeight="1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</row>
    <row r="654" ht="15.75" customHeight="1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</row>
    <row r="655" ht="15.75" customHeight="1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</row>
    <row r="656" ht="15.75" customHeight="1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</row>
    <row r="657" ht="15.75" customHeight="1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</row>
    <row r="658" ht="15.75" customHeight="1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</row>
    <row r="659" ht="15.75" customHeight="1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</row>
    <row r="660" ht="15.75" customHeight="1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</row>
    <row r="661" ht="15.75" customHeight="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</row>
    <row r="662" ht="15.75" customHeight="1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</row>
    <row r="663" ht="15.75" customHeight="1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</row>
    <row r="664" ht="15.75" customHeight="1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</row>
    <row r="665" ht="15.75" customHeight="1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</row>
    <row r="666" ht="15.75" customHeight="1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</row>
    <row r="667" ht="15.75" customHeight="1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</row>
    <row r="668" ht="15.75" customHeight="1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</row>
    <row r="669" ht="15.75" customHeight="1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</row>
    <row r="670" ht="15.75" customHeight="1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</row>
    <row r="671" ht="15.75" customHeight="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</row>
    <row r="672" ht="15.75" customHeight="1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</row>
    <row r="673" ht="15.75" customHeight="1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</row>
    <row r="674" ht="15.75" customHeight="1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</row>
    <row r="675" ht="15.75" customHeight="1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</row>
    <row r="676" ht="15.75" customHeight="1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</row>
    <row r="677" ht="15.75" customHeight="1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</row>
    <row r="678" ht="15.75" customHeight="1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</row>
    <row r="679" ht="15.75" customHeight="1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</row>
    <row r="680" ht="15.75" customHeight="1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</row>
    <row r="681" ht="15.75" customHeight="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</row>
    <row r="682" ht="15.75" customHeight="1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</row>
    <row r="683" ht="15.75" customHeight="1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</row>
    <row r="684" ht="15.75" customHeight="1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</row>
    <row r="685" ht="15.75" customHeight="1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</row>
    <row r="686" ht="15.75" customHeight="1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</row>
    <row r="687" ht="15.75" customHeight="1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</row>
    <row r="688" ht="15.75" customHeight="1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</row>
    <row r="689" ht="15.75" customHeight="1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</row>
    <row r="690" ht="15.75" customHeight="1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</row>
    <row r="691" ht="15.75" customHeight="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</row>
    <row r="692" ht="15.75" customHeight="1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</row>
    <row r="693" ht="15.75" customHeight="1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</row>
    <row r="694" ht="15.75" customHeight="1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</row>
    <row r="695" ht="15.75" customHeight="1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</row>
    <row r="696" ht="15.75" customHeight="1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</row>
    <row r="697" ht="15.75" customHeight="1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</row>
    <row r="698" ht="15.75" customHeight="1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</row>
    <row r="699" ht="15.75" customHeight="1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</row>
    <row r="700" ht="15.75" customHeight="1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</row>
    <row r="701" ht="15.75" customHeight="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</row>
    <row r="702" ht="15.75" customHeight="1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</row>
    <row r="703" ht="15.75" customHeight="1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</row>
    <row r="704" ht="15.75" customHeight="1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</row>
    <row r="705" ht="15.75" customHeight="1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</row>
    <row r="706" ht="15.75" customHeight="1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</row>
    <row r="707" ht="15.75" customHeight="1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</row>
    <row r="708" ht="15.75" customHeight="1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</row>
    <row r="709" ht="15.75" customHeight="1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</row>
    <row r="710" ht="15.75" customHeight="1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</row>
    <row r="711" ht="15.75" customHeight="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</row>
    <row r="712" ht="15.75" customHeight="1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</row>
    <row r="713" ht="15.75" customHeight="1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</row>
    <row r="714" ht="15.75" customHeight="1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</row>
    <row r="715" ht="15.75" customHeight="1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</row>
    <row r="716" ht="15.75" customHeight="1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</row>
    <row r="717" ht="15.75" customHeight="1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</row>
    <row r="718" ht="15.75" customHeight="1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</row>
    <row r="719" ht="15.75" customHeight="1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</row>
    <row r="720" ht="15.75" customHeight="1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</row>
    <row r="721" ht="15.75" customHeight="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</row>
    <row r="722" ht="15.75" customHeight="1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</row>
    <row r="723" ht="15.75" customHeight="1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</row>
    <row r="724" ht="15.75" customHeight="1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</row>
    <row r="725" ht="15.75" customHeight="1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</row>
    <row r="726" ht="15.75" customHeight="1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</row>
    <row r="727" ht="15.75" customHeight="1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</row>
    <row r="728" ht="15.75" customHeight="1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</row>
    <row r="729" ht="15.75" customHeight="1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</row>
    <row r="730" ht="15.75" customHeight="1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</row>
    <row r="731" ht="15.75" customHeight="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</row>
    <row r="732" ht="15.75" customHeight="1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</row>
    <row r="733" ht="15.75" customHeight="1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</row>
    <row r="734" ht="15.75" customHeight="1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</row>
    <row r="735" ht="15.75" customHeight="1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</row>
    <row r="736" ht="15.75" customHeight="1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</row>
    <row r="737" ht="15.75" customHeight="1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</row>
    <row r="738" ht="15.75" customHeight="1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</row>
    <row r="739" ht="15.75" customHeight="1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</row>
    <row r="740" ht="15.75" customHeight="1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</row>
    <row r="741" ht="15.75" customHeight="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</row>
    <row r="742" ht="15.75" customHeight="1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</row>
    <row r="743" ht="15.75" customHeight="1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</row>
    <row r="744" ht="15.75" customHeight="1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</row>
    <row r="745" ht="15.75" customHeight="1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</row>
    <row r="746" ht="15.75" customHeight="1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</row>
    <row r="747" ht="15.75" customHeight="1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</row>
    <row r="748" ht="15.75" customHeight="1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</row>
    <row r="749" ht="15.75" customHeight="1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</row>
    <row r="750" ht="15.75" customHeight="1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</row>
    <row r="751" ht="15.75" customHeight="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</row>
    <row r="752" ht="15.75" customHeight="1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</row>
    <row r="753" ht="15.75" customHeight="1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</row>
    <row r="754" ht="15.75" customHeight="1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</row>
    <row r="755" ht="15.75" customHeight="1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</row>
    <row r="756" ht="15.75" customHeight="1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</row>
    <row r="757" ht="15.75" customHeight="1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</row>
    <row r="758" ht="15.75" customHeight="1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</row>
    <row r="759" ht="15.75" customHeight="1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</row>
    <row r="760" ht="15.75" customHeight="1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</row>
    <row r="761" ht="15.75" customHeight="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</row>
    <row r="762" ht="15.75" customHeight="1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</row>
    <row r="763" ht="15.75" customHeight="1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</row>
    <row r="764" ht="15.75" customHeight="1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</row>
    <row r="765" ht="15.75" customHeight="1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</row>
    <row r="766" ht="15.75" customHeight="1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</row>
    <row r="767" ht="15.75" customHeight="1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</row>
    <row r="768" ht="15.75" customHeight="1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</row>
    <row r="769" ht="15.75" customHeight="1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</row>
    <row r="770" ht="15.75" customHeight="1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</row>
    <row r="771" ht="15.75" customHeight="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</row>
    <row r="772" ht="15.75" customHeight="1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</row>
    <row r="773" ht="15.75" customHeight="1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</row>
    <row r="774" ht="15.75" customHeight="1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</row>
    <row r="775" ht="15.75" customHeight="1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</row>
    <row r="776" ht="15.75" customHeight="1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</row>
    <row r="777" ht="15.75" customHeight="1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</row>
    <row r="778" ht="15.75" customHeight="1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</row>
    <row r="779" ht="15.75" customHeight="1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</row>
    <row r="780" ht="15.75" customHeight="1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</row>
    <row r="781" ht="15.75" customHeight="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</row>
    <row r="782" ht="15.75" customHeight="1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</row>
    <row r="783" ht="15.75" customHeight="1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</row>
    <row r="784" ht="15.75" customHeight="1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</row>
    <row r="785" ht="15.75" customHeight="1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</row>
    <row r="786" ht="15.75" customHeight="1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</row>
    <row r="787" ht="15.75" customHeight="1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</row>
    <row r="788" ht="15.75" customHeight="1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</row>
    <row r="789" ht="15.75" customHeight="1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</row>
    <row r="790" ht="15.75" customHeight="1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</row>
    <row r="791" ht="15.75" customHeight="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</row>
    <row r="792" ht="15.75" customHeight="1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</row>
    <row r="793" ht="15.75" customHeight="1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</row>
    <row r="794" ht="15.75" customHeight="1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</row>
    <row r="795" ht="15.75" customHeight="1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</row>
    <row r="796" ht="15.75" customHeight="1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</row>
    <row r="797" ht="15.75" customHeight="1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</row>
    <row r="798" ht="15.75" customHeight="1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</row>
    <row r="799" ht="15.75" customHeight="1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</row>
    <row r="800" ht="15.75" customHeight="1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</row>
    <row r="801" ht="15.75" customHeight="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</row>
    <row r="802" ht="15.75" customHeight="1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</row>
    <row r="803" ht="15.75" customHeight="1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</row>
    <row r="804" ht="15.75" customHeight="1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</row>
    <row r="805" ht="15.75" customHeight="1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</row>
    <row r="806" ht="15.75" customHeight="1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</row>
    <row r="807" ht="15.75" customHeight="1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</row>
    <row r="808" ht="15.75" customHeight="1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</row>
    <row r="809" ht="15.75" customHeight="1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</row>
    <row r="810" ht="15.75" customHeight="1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</row>
    <row r="811" ht="15.75" customHeight="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</row>
    <row r="812" ht="15.75" customHeight="1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</row>
    <row r="813" ht="15.75" customHeight="1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</row>
    <row r="814" ht="15.75" customHeight="1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</row>
    <row r="815" ht="15.75" customHeight="1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</row>
    <row r="816" ht="15.75" customHeight="1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</row>
    <row r="817" ht="15.75" customHeight="1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</row>
    <row r="818" ht="15.75" customHeight="1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</row>
    <row r="819" ht="15.75" customHeight="1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</row>
    <row r="820" ht="15.75" customHeight="1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</row>
    <row r="821" ht="15.75" customHeight="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</row>
    <row r="822" ht="15.75" customHeight="1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</row>
    <row r="823" ht="15.75" customHeight="1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</row>
    <row r="824" ht="15.75" customHeight="1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</row>
    <row r="825" ht="15.75" customHeight="1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</row>
    <row r="826" ht="15.75" customHeight="1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</row>
    <row r="827" ht="15.75" customHeight="1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</row>
    <row r="828" ht="15.75" customHeight="1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</row>
    <row r="829" ht="15.75" customHeight="1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</row>
    <row r="830" ht="15.75" customHeight="1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</row>
    <row r="831" ht="15.75" customHeight="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</row>
    <row r="832" ht="15.75" customHeight="1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</row>
    <row r="833" ht="15.75" customHeight="1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</row>
    <row r="834" ht="15.75" customHeight="1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</row>
    <row r="835" ht="15.75" customHeight="1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</row>
    <row r="836" ht="15.75" customHeight="1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</row>
    <row r="837" ht="15.75" customHeight="1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</row>
    <row r="838" ht="15.75" customHeight="1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</row>
    <row r="839" ht="15.75" customHeight="1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</row>
    <row r="840" ht="15.75" customHeight="1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</row>
    <row r="841" ht="15.75" customHeight="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</row>
    <row r="842" ht="15.75" customHeight="1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</row>
    <row r="843" ht="15.75" customHeight="1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</row>
    <row r="844" ht="15.75" customHeight="1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</row>
    <row r="845" ht="15.75" customHeight="1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</row>
    <row r="846" ht="15.75" customHeight="1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</row>
    <row r="847" ht="15.75" customHeight="1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</row>
    <row r="848" ht="15.75" customHeight="1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</row>
    <row r="849" ht="15.75" customHeight="1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</row>
    <row r="850" ht="15.75" customHeight="1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</row>
    <row r="851" ht="15.75" customHeight="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</row>
    <row r="852" ht="15.75" customHeight="1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</row>
    <row r="853" ht="15.75" customHeight="1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</row>
    <row r="854" ht="15.75" customHeight="1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</row>
    <row r="855" ht="15.75" customHeight="1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</row>
    <row r="856" ht="15.75" customHeight="1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</row>
    <row r="857" ht="15.75" customHeight="1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</row>
    <row r="858" ht="15.75" customHeight="1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</row>
    <row r="859" ht="15.75" customHeight="1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</row>
    <row r="860" ht="15.75" customHeight="1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</row>
    <row r="861" ht="15.75" customHeight="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</row>
    <row r="862" ht="15.75" customHeight="1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</row>
    <row r="863" ht="15.75" customHeight="1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</row>
    <row r="864" ht="15.75" customHeight="1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</row>
    <row r="865" ht="15.75" customHeight="1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</row>
    <row r="866" ht="15.75" customHeight="1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</row>
    <row r="867" ht="15.75" customHeight="1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</row>
    <row r="868" ht="15.75" customHeight="1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</row>
    <row r="869" ht="15.75" customHeight="1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</row>
    <row r="870" ht="15.75" customHeight="1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</row>
    <row r="871" ht="15.75" customHeight="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</row>
    <row r="872" ht="15.75" customHeight="1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</row>
    <row r="873" ht="15.75" customHeight="1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</row>
    <row r="874" ht="15.75" customHeight="1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</row>
    <row r="875" ht="15.75" customHeight="1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</row>
    <row r="876" ht="15.75" customHeight="1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</row>
    <row r="877" ht="15.75" customHeight="1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</row>
    <row r="878" ht="15.75" customHeight="1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</row>
    <row r="879" ht="15.75" customHeight="1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</row>
    <row r="880" ht="15.75" customHeight="1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</row>
    <row r="881" ht="15.75" customHeight="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</row>
    <row r="882" ht="15.75" customHeight="1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</row>
    <row r="883" ht="15.75" customHeight="1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</row>
    <row r="884" ht="15.75" customHeight="1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</row>
    <row r="885" ht="15.75" customHeight="1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</row>
    <row r="886" ht="15.75" customHeight="1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</row>
    <row r="887" ht="15.75" customHeight="1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</row>
    <row r="888" ht="15.75" customHeight="1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</row>
    <row r="889" ht="15.75" customHeight="1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</row>
    <row r="890" ht="15.75" customHeight="1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</row>
    <row r="891" ht="15.75" customHeight="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</row>
    <row r="892" ht="15.75" customHeight="1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</row>
    <row r="893" ht="15.75" customHeight="1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</row>
    <row r="894" ht="15.75" customHeight="1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</row>
    <row r="895" ht="15.75" customHeight="1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</row>
    <row r="896" ht="15.75" customHeight="1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</row>
    <row r="897" ht="15.75" customHeight="1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</row>
    <row r="898" ht="15.75" customHeight="1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</row>
    <row r="899" ht="15.75" customHeight="1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</row>
    <row r="900" ht="15.75" customHeight="1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</row>
    <row r="901" ht="15.75" customHeight="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</row>
    <row r="902" ht="15.75" customHeight="1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</row>
    <row r="903" ht="15.75" customHeight="1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</row>
    <row r="904" ht="15.75" customHeight="1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</row>
    <row r="905" ht="15.75" customHeight="1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</row>
    <row r="906" ht="15.75" customHeight="1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</row>
    <row r="907" ht="15.75" customHeight="1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</row>
    <row r="908" ht="15.75" customHeight="1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</row>
    <row r="909" ht="15.75" customHeight="1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</row>
    <row r="910" ht="15.75" customHeight="1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</row>
    <row r="911" ht="15.75" customHeight="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</row>
    <row r="912" ht="15.75" customHeight="1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</row>
    <row r="913" ht="15.75" customHeight="1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</row>
    <row r="914" ht="15.75" customHeight="1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</row>
    <row r="915" ht="15.75" customHeight="1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</row>
    <row r="916" ht="15.75" customHeight="1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</row>
    <row r="917" ht="15.75" customHeight="1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</row>
    <row r="918" ht="15.75" customHeight="1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</row>
    <row r="919" ht="15.75" customHeight="1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</row>
    <row r="920" ht="15.75" customHeight="1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</row>
    <row r="921" ht="15.75" customHeight="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</row>
    <row r="922" ht="15.75" customHeight="1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</row>
    <row r="923" ht="15.75" customHeight="1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</row>
    <row r="924" ht="15.75" customHeight="1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</row>
    <row r="925" ht="15.75" customHeight="1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</row>
    <row r="926" ht="15.75" customHeight="1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</row>
    <row r="927" ht="15.75" customHeight="1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</row>
    <row r="928" ht="15.75" customHeight="1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</row>
    <row r="929" ht="15.75" customHeight="1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</row>
    <row r="930" ht="15.75" customHeight="1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</row>
    <row r="931" ht="15.75" customHeight="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</row>
    <row r="932" ht="15.75" customHeight="1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</row>
    <row r="933" ht="15.75" customHeight="1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</row>
    <row r="934" ht="15.75" customHeight="1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</row>
    <row r="935" ht="15.75" customHeight="1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</row>
    <row r="936" ht="15.75" customHeight="1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</row>
    <row r="937" ht="15.75" customHeight="1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</row>
    <row r="938" ht="15.75" customHeight="1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</row>
    <row r="939" ht="15.75" customHeight="1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</row>
    <row r="940" ht="15.75" customHeight="1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</row>
    <row r="941" ht="15.75" customHeight="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</row>
    <row r="942" ht="15.75" customHeight="1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</row>
    <row r="943" ht="15.75" customHeight="1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</row>
    <row r="944" ht="15.75" customHeight="1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</row>
    <row r="945" ht="15.75" customHeight="1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</row>
    <row r="946" ht="15.75" customHeight="1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</row>
    <row r="947" ht="15.75" customHeight="1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</row>
    <row r="948" ht="15.75" customHeight="1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</row>
    <row r="949" ht="15.75" customHeight="1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</row>
    <row r="950" ht="15.75" customHeight="1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</row>
    <row r="951" ht="15.75" customHeight="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</row>
    <row r="952" ht="15.75" customHeight="1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</row>
    <row r="953" ht="15.75" customHeight="1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</row>
    <row r="954" ht="15.75" customHeight="1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</row>
    <row r="955" ht="15.75" customHeight="1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</row>
    <row r="956" ht="15.75" customHeight="1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</row>
    <row r="957" ht="15.75" customHeight="1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</row>
    <row r="958" ht="15.75" customHeight="1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</row>
    <row r="959" ht="15.75" customHeight="1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</row>
    <row r="960" ht="15.75" customHeight="1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</row>
    <row r="961" ht="15.75" customHeight="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</row>
    <row r="962" ht="15.75" customHeight="1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</row>
    <row r="963" ht="15.75" customHeight="1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</row>
    <row r="964" ht="15.75" customHeight="1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</row>
    <row r="965" ht="15.75" customHeight="1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</row>
    <row r="966" ht="15.75" customHeight="1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</row>
    <row r="967" ht="15.75" customHeight="1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</row>
    <row r="968" ht="15.75" customHeight="1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</row>
    <row r="969" ht="15.75" customHeight="1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</row>
    <row r="970" ht="15.75" customHeight="1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</row>
    <row r="971" ht="15.75" customHeight="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</row>
    <row r="972" ht="15.75" customHeight="1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</row>
    <row r="973" ht="15.75" customHeight="1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</row>
    <row r="974" ht="15.75" customHeight="1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</row>
    <row r="975" ht="15.75" customHeight="1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</row>
    <row r="976" ht="15.75" customHeight="1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</row>
    <row r="977" ht="15.75" customHeight="1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</row>
    <row r="978" ht="15.75" customHeight="1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</row>
    <row r="979" ht="15.75" customHeight="1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</row>
    <row r="980" ht="15.75" customHeight="1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</row>
    <row r="981" ht="15.75" customHeight="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</row>
    <row r="982" ht="15.75" customHeight="1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</row>
    <row r="983" ht="15.75" customHeight="1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</row>
    <row r="984" ht="15.75" customHeight="1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</row>
    <row r="985" ht="15.75" customHeight="1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</row>
    <row r="986" ht="15.75" customHeight="1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</row>
    <row r="987" ht="15.75" customHeight="1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</row>
    <row r="988" ht="15.75" customHeight="1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</row>
    <row r="989" ht="15.75" customHeight="1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</row>
    <row r="990" ht="15.75" customHeight="1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</row>
    <row r="991" ht="15.75" customHeight="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</row>
    <row r="992" ht="15.75" customHeight="1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</row>
    <row r="993" ht="15.75" customHeight="1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</row>
    <row r="994" ht="15.75" customHeight="1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</row>
    <row r="995" ht="15.75" customHeight="1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</row>
    <row r="996" ht="15.75" customHeight="1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</row>
    <row r="997" ht="15.75" customHeight="1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</row>
    <row r="998" ht="15.75" customHeight="1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</row>
    <row r="999" ht="15.75" customHeight="1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</row>
    <row r="1000" ht="15.75" customHeight="1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</row>
    <row r="1001" ht="15.75" customHeight="1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</row>
    <row r="1002" ht="15.75" customHeight="1">
      <c r="A1002" s="137"/>
      <c r="B1002" s="137"/>
      <c r="C1002" s="137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</row>
    <row r="1003" ht="15.75" customHeight="1">
      <c r="A1003" s="137"/>
      <c r="B1003" s="137"/>
      <c r="C1003" s="137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  <c r="AA1003" s="137"/>
      <c r="AB1003" s="137"/>
      <c r="AC1003" s="137"/>
      <c r="AD1003" s="137"/>
      <c r="AE1003" s="137"/>
      <c r="AF1003" s="137"/>
      <c r="AG1003" s="137"/>
    </row>
  </sheetData>
  <mergeCells count="117">
    <mergeCell ref="R3:S3"/>
    <mergeCell ref="T3:U3"/>
    <mergeCell ref="A1:U1"/>
    <mergeCell ref="B3:C3"/>
    <mergeCell ref="D3:E3"/>
    <mergeCell ref="F3:G3"/>
    <mergeCell ref="H3:I3"/>
    <mergeCell ref="J3:K3"/>
    <mergeCell ref="L3:M3"/>
    <mergeCell ref="L4:N4"/>
    <mergeCell ref="L5:N5"/>
    <mergeCell ref="E6:G6"/>
    <mergeCell ref="H6:J6"/>
    <mergeCell ref="P6:S6"/>
    <mergeCell ref="E7:G7"/>
    <mergeCell ref="H7:J7"/>
    <mergeCell ref="E8:G8"/>
    <mergeCell ref="H8:J8"/>
    <mergeCell ref="P8:S8"/>
    <mergeCell ref="L8:O8"/>
    <mergeCell ref="L9:O9"/>
    <mergeCell ref="P9:S9"/>
    <mergeCell ref="L12:N12"/>
    <mergeCell ref="O12:R12"/>
    <mergeCell ref="L13:N13"/>
    <mergeCell ref="L14:O14"/>
    <mergeCell ref="P14:S14"/>
    <mergeCell ref="L16:N16"/>
    <mergeCell ref="N3:O3"/>
    <mergeCell ref="P3:Q3"/>
    <mergeCell ref="A4:A11"/>
    <mergeCell ref="E4:G4"/>
    <mergeCell ref="H4:J4"/>
    <mergeCell ref="H5:J5"/>
    <mergeCell ref="H9:J9"/>
    <mergeCell ref="B15:E15"/>
    <mergeCell ref="F15:I15"/>
    <mergeCell ref="L15:O15"/>
    <mergeCell ref="P15:S15"/>
    <mergeCell ref="A17:A19"/>
    <mergeCell ref="A20:A25"/>
    <mergeCell ref="E5:G5"/>
    <mergeCell ref="E9:G9"/>
    <mergeCell ref="A12:A16"/>
    <mergeCell ref="E12:G12"/>
    <mergeCell ref="E13:G13"/>
    <mergeCell ref="B14:E14"/>
    <mergeCell ref="F14:I14"/>
    <mergeCell ref="O22:T22"/>
    <mergeCell ref="O23:T23"/>
    <mergeCell ref="L26:N26"/>
    <mergeCell ref="L27:N27"/>
    <mergeCell ref="E20:G20"/>
    <mergeCell ref="H20:J20"/>
    <mergeCell ref="L20:N20"/>
    <mergeCell ref="O20:T20"/>
    <mergeCell ref="H21:J21"/>
    <mergeCell ref="L21:N21"/>
    <mergeCell ref="O21:T21"/>
    <mergeCell ref="K51:L51"/>
    <mergeCell ref="N51:O51"/>
    <mergeCell ref="K52:L52"/>
    <mergeCell ref="N52:O52"/>
    <mergeCell ref="K56:L56"/>
    <mergeCell ref="N56:O56"/>
    <mergeCell ref="N57:O57"/>
    <mergeCell ref="N60:O60"/>
    <mergeCell ref="N61:O61"/>
    <mergeCell ref="K57:M57"/>
    <mergeCell ref="K58:L58"/>
    <mergeCell ref="N58:O58"/>
    <mergeCell ref="K59:L59"/>
    <mergeCell ref="N59:O59"/>
    <mergeCell ref="K60:L60"/>
    <mergeCell ref="K61:L61"/>
    <mergeCell ref="E21:G21"/>
    <mergeCell ref="E22:G22"/>
    <mergeCell ref="H22:J22"/>
    <mergeCell ref="E23:G23"/>
    <mergeCell ref="H23:J23"/>
    <mergeCell ref="E24:G24"/>
    <mergeCell ref="H24:J24"/>
    <mergeCell ref="E25:G25"/>
    <mergeCell ref="H25:J25"/>
    <mergeCell ref="A26:A29"/>
    <mergeCell ref="E26:H26"/>
    <mergeCell ref="E27:G27"/>
    <mergeCell ref="E28:G28"/>
    <mergeCell ref="L29:N29"/>
    <mergeCell ref="B33:C33"/>
    <mergeCell ref="D33:H33"/>
    <mergeCell ref="B35:C35"/>
    <mergeCell ref="B36:C36"/>
    <mergeCell ref="B37:C37"/>
    <mergeCell ref="B38:C38"/>
    <mergeCell ref="A39:A41"/>
    <mergeCell ref="B39:C39"/>
    <mergeCell ref="S41:T41"/>
    <mergeCell ref="K45:L45"/>
    <mergeCell ref="N45:O45"/>
    <mergeCell ref="B46:C46"/>
    <mergeCell ref="D46:H46"/>
    <mergeCell ref="N46:O46"/>
    <mergeCell ref="B49:C49"/>
    <mergeCell ref="B50:C50"/>
    <mergeCell ref="B51:C51"/>
    <mergeCell ref="B52:C52"/>
    <mergeCell ref="B53:C53"/>
    <mergeCell ref="N49:O49"/>
    <mergeCell ref="N50:O50"/>
    <mergeCell ref="K46:L46"/>
    <mergeCell ref="K47:M47"/>
    <mergeCell ref="N47:O47"/>
    <mergeCell ref="K48:L48"/>
    <mergeCell ref="N48:O48"/>
    <mergeCell ref="K49:L49"/>
    <mergeCell ref="K50:L50"/>
  </mergeCells>
  <hyperlinks>
    <hyperlink r:id="rId1" ref="B4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3" width="7.57"/>
    <col customWidth="1" min="4" max="4" width="11.0"/>
    <col customWidth="1" min="5" max="7" width="7.57"/>
    <col customWidth="1" min="8" max="8" width="9.86"/>
    <col customWidth="1" min="9" max="9" width="17.14"/>
    <col customWidth="1" min="10" max="16" width="7.57"/>
    <col customWidth="1" min="17" max="17" width="9.0"/>
    <col customWidth="1" min="18" max="23" width="7.57"/>
    <col customWidth="1" min="24" max="27" width="6.43"/>
  </cols>
  <sheetData>
    <row r="1" ht="30.75" customHeight="1">
      <c r="A1" s="301" t="s">
        <v>274</v>
      </c>
      <c r="X1" s="301"/>
      <c r="Y1" s="300"/>
      <c r="Z1" s="300"/>
      <c r="AA1" s="300"/>
    </row>
    <row r="2" ht="8.25" customHeight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</row>
    <row r="3" ht="22.5" customHeight="1">
      <c r="A3" s="302"/>
      <c r="B3" s="303" t="s">
        <v>104</v>
      </c>
      <c r="C3" s="304"/>
      <c r="D3" s="303" t="s">
        <v>105</v>
      </c>
      <c r="E3" s="304"/>
      <c r="F3" s="303" t="s">
        <v>106</v>
      </c>
      <c r="G3" s="304"/>
      <c r="H3" s="303" t="s">
        <v>107</v>
      </c>
      <c r="I3" s="304"/>
      <c r="J3" s="303" t="s">
        <v>108</v>
      </c>
      <c r="K3" s="304"/>
      <c r="L3" s="303" t="s">
        <v>109</v>
      </c>
      <c r="M3" s="304"/>
      <c r="N3" s="303" t="s">
        <v>110</v>
      </c>
      <c r="O3" s="304"/>
      <c r="P3" s="303" t="s">
        <v>111</v>
      </c>
      <c r="Q3" s="304"/>
      <c r="R3" s="303" t="s">
        <v>112</v>
      </c>
      <c r="S3" s="304"/>
      <c r="T3" s="303" t="s">
        <v>113</v>
      </c>
      <c r="U3" s="304"/>
      <c r="V3" s="303" t="s">
        <v>275</v>
      </c>
      <c r="W3" s="305"/>
      <c r="X3" s="306"/>
      <c r="Y3" s="300"/>
      <c r="Z3" s="300"/>
      <c r="AA3" s="300"/>
    </row>
    <row r="4" ht="17.25" customHeight="1">
      <c r="A4" s="307" t="s">
        <v>115</v>
      </c>
      <c r="B4" s="308"/>
      <c r="C4" s="309"/>
      <c r="D4" s="309"/>
      <c r="E4" s="310" t="s">
        <v>276</v>
      </c>
      <c r="F4" s="311"/>
      <c r="G4" s="311"/>
      <c r="H4" s="311"/>
      <c r="I4" s="311"/>
      <c r="J4" s="312"/>
      <c r="K4" s="309"/>
      <c r="L4" s="313" t="s">
        <v>277</v>
      </c>
      <c r="M4" s="314"/>
      <c r="N4" s="304"/>
      <c r="O4" s="315" t="s">
        <v>278</v>
      </c>
      <c r="P4" s="314"/>
      <c r="Q4" s="304"/>
      <c r="R4" s="316"/>
      <c r="S4" s="309"/>
      <c r="T4" s="309"/>
      <c r="U4" s="309"/>
      <c r="V4" s="309"/>
      <c r="W4" s="317"/>
      <c r="X4" s="137"/>
      <c r="Y4" s="137"/>
      <c r="Z4" s="300"/>
      <c r="AA4" s="300"/>
    </row>
    <row r="5" ht="17.25" customHeight="1">
      <c r="A5" s="318"/>
      <c r="B5" s="319"/>
      <c r="C5" s="143"/>
      <c r="D5" s="143"/>
      <c r="E5" s="320" t="s">
        <v>279</v>
      </c>
      <c r="F5" s="141"/>
      <c r="G5" s="141"/>
      <c r="H5" s="141"/>
      <c r="I5" s="141"/>
      <c r="J5" s="142"/>
      <c r="K5" s="143"/>
      <c r="L5" s="321" t="s">
        <v>280</v>
      </c>
      <c r="M5" s="141"/>
      <c r="N5" s="142"/>
      <c r="O5" s="322" t="s">
        <v>281</v>
      </c>
      <c r="P5" s="141"/>
      <c r="Q5" s="142"/>
      <c r="R5" s="143"/>
      <c r="S5" s="143"/>
      <c r="T5" s="143"/>
      <c r="U5" s="143"/>
      <c r="V5" s="143"/>
      <c r="W5" s="323"/>
      <c r="X5" s="137"/>
      <c r="Y5" s="137"/>
      <c r="Z5" s="300"/>
      <c r="AA5" s="300"/>
    </row>
    <row r="6" ht="17.25" customHeight="1">
      <c r="A6" s="318"/>
      <c r="B6" s="319"/>
      <c r="C6" s="143"/>
      <c r="D6" s="143"/>
      <c r="K6" s="143"/>
      <c r="L6" s="324" t="s">
        <v>282</v>
      </c>
      <c r="M6" s="130"/>
      <c r="N6" s="99"/>
      <c r="O6" s="325" t="s">
        <v>283</v>
      </c>
      <c r="P6" s="130"/>
      <c r="Q6" s="99"/>
      <c r="R6" s="143"/>
      <c r="S6" s="143"/>
      <c r="T6" s="143"/>
      <c r="U6" s="143"/>
      <c r="V6" s="143"/>
      <c r="W6" s="323"/>
      <c r="X6" s="137"/>
      <c r="Y6" s="137"/>
      <c r="Z6" s="300"/>
      <c r="AA6" s="137"/>
    </row>
    <row r="7" ht="17.25" customHeight="1">
      <c r="A7" s="318"/>
      <c r="B7" s="319"/>
      <c r="C7" s="143"/>
      <c r="D7" s="143"/>
      <c r="K7" s="143"/>
      <c r="L7" s="321" t="s">
        <v>284</v>
      </c>
      <c r="M7" s="141"/>
      <c r="N7" s="142"/>
      <c r="O7" s="326" t="s">
        <v>285</v>
      </c>
      <c r="P7" s="141"/>
      <c r="Q7" s="142"/>
      <c r="R7" s="143"/>
      <c r="S7" s="143"/>
      <c r="T7" s="143"/>
      <c r="U7" s="143"/>
      <c r="V7" s="143"/>
      <c r="W7" s="323"/>
      <c r="X7" s="137"/>
      <c r="Y7" s="137"/>
      <c r="Z7" s="300"/>
      <c r="AA7" s="137"/>
    </row>
    <row r="8" ht="17.25" customHeight="1">
      <c r="A8" s="318"/>
      <c r="B8" s="319"/>
      <c r="C8" s="143"/>
      <c r="D8" s="143"/>
      <c r="E8" s="137"/>
      <c r="F8" s="137"/>
      <c r="G8" s="137"/>
      <c r="H8" s="143"/>
      <c r="I8" s="143"/>
      <c r="J8" s="143"/>
      <c r="K8" s="143"/>
      <c r="L8" s="327" t="s">
        <v>286</v>
      </c>
      <c r="M8" s="130"/>
      <c r="N8" s="99"/>
      <c r="O8" s="325" t="s">
        <v>287</v>
      </c>
      <c r="P8" s="130"/>
      <c r="Q8" s="99"/>
      <c r="R8" s="293"/>
      <c r="S8" s="143"/>
      <c r="T8" s="143"/>
      <c r="U8" s="143"/>
      <c r="V8" s="143"/>
      <c r="W8" s="323"/>
      <c r="X8" s="137"/>
      <c r="Y8" s="137"/>
      <c r="Z8" s="300"/>
      <c r="AA8" s="137"/>
    </row>
    <row r="9" ht="17.25" customHeight="1">
      <c r="A9" s="318"/>
      <c r="B9" s="319"/>
      <c r="C9" s="143"/>
      <c r="D9" s="143"/>
      <c r="E9" s="137"/>
      <c r="F9" s="137"/>
      <c r="G9" s="137"/>
      <c r="H9" s="143"/>
      <c r="I9" s="143"/>
      <c r="J9" s="143"/>
      <c r="K9" s="143"/>
      <c r="L9" s="328" t="s">
        <v>288</v>
      </c>
      <c r="M9" s="141"/>
      <c r="N9" s="142"/>
      <c r="O9" s="326" t="s">
        <v>289</v>
      </c>
      <c r="P9" s="141"/>
      <c r="Q9" s="142"/>
      <c r="R9" s="143"/>
      <c r="S9" s="143"/>
      <c r="T9" s="143"/>
      <c r="U9" s="143"/>
      <c r="V9" s="143"/>
      <c r="W9" s="323"/>
      <c r="X9" s="137"/>
      <c r="Y9" s="137"/>
      <c r="Z9" s="300"/>
      <c r="AA9" s="137"/>
    </row>
    <row r="10" ht="17.25" customHeight="1">
      <c r="A10" s="318"/>
      <c r="B10" s="319"/>
      <c r="C10" s="143"/>
      <c r="D10" s="143"/>
      <c r="E10" s="137"/>
      <c r="F10" s="137"/>
      <c r="G10" s="137"/>
      <c r="H10" s="143"/>
      <c r="I10" s="143"/>
      <c r="J10" s="143"/>
      <c r="K10" s="143"/>
      <c r="R10" s="143"/>
      <c r="S10" s="143"/>
      <c r="T10" s="143"/>
      <c r="U10" s="143"/>
      <c r="V10" s="143"/>
      <c r="W10" s="323"/>
      <c r="X10" s="137"/>
      <c r="Y10" s="137"/>
      <c r="Z10" s="300"/>
      <c r="AA10" s="137"/>
    </row>
    <row r="11" ht="17.25" customHeight="1">
      <c r="A11" s="329"/>
      <c r="B11" s="330"/>
      <c r="C11" s="331"/>
      <c r="D11" s="331"/>
      <c r="E11" s="332"/>
      <c r="F11" s="332"/>
      <c r="G11" s="332"/>
      <c r="H11" s="331"/>
      <c r="I11" s="331"/>
      <c r="J11" s="331"/>
      <c r="K11" s="331"/>
      <c r="L11" s="333"/>
      <c r="M11" s="333"/>
      <c r="N11" s="333"/>
      <c r="O11" s="333"/>
      <c r="P11" s="333"/>
      <c r="Q11" s="333"/>
      <c r="R11" s="331"/>
      <c r="S11" s="331"/>
      <c r="T11" s="331"/>
      <c r="U11" s="331"/>
      <c r="V11" s="331"/>
      <c r="W11" s="334"/>
      <c r="X11" s="137"/>
      <c r="Y11" s="137"/>
      <c r="Z11" s="300"/>
      <c r="AA11" s="137"/>
    </row>
    <row r="12" ht="17.25" customHeight="1">
      <c r="A12" s="335" t="s">
        <v>131</v>
      </c>
      <c r="B12" s="336" t="s">
        <v>290</v>
      </c>
      <c r="D12" s="337"/>
      <c r="E12" s="338" t="s">
        <v>291</v>
      </c>
      <c r="F12" s="141"/>
      <c r="G12" s="141"/>
      <c r="H12" s="141"/>
      <c r="I12" s="141"/>
      <c r="J12" s="142"/>
      <c r="K12" s="251"/>
      <c r="L12" s="339" t="s">
        <v>292</v>
      </c>
      <c r="M12" s="141"/>
      <c r="N12" s="141"/>
      <c r="O12" s="142"/>
      <c r="P12" s="338" t="s">
        <v>293</v>
      </c>
      <c r="Q12" s="141"/>
      <c r="R12" s="141"/>
      <c r="S12" s="142"/>
      <c r="T12" s="143"/>
      <c r="U12" s="143"/>
      <c r="V12" s="143"/>
      <c r="W12" s="323"/>
      <c r="X12" s="137"/>
      <c r="Y12" s="137"/>
      <c r="Z12" s="300"/>
      <c r="AA12" s="300"/>
    </row>
    <row r="13" ht="17.25" customHeight="1">
      <c r="A13" s="318"/>
      <c r="E13" s="340" t="s">
        <v>294</v>
      </c>
      <c r="F13" s="130"/>
      <c r="G13" s="130"/>
      <c r="H13" s="130"/>
      <c r="I13" s="130"/>
      <c r="J13" s="99"/>
      <c r="K13" s="251"/>
      <c r="L13" s="233" t="s">
        <v>295</v>
      </c>
      <c r="M13" s="104"/>
      <c r="N13" s="104"/>
      <c r="O13" s="104"/>
      <c r="P13" s="104"/>
      <c r="Q13" s="102"/>
      <c r="R13" s="341"/>
      <c r="S13" s="143"/>
      <c r="T13" s="143"/>
      <c r="U13" s="143"/>
      <c r="V13" s="143"/>
      <c r="W13" s="323"/>
      <c r="X13" s="137"/>
      <c r="Y13" s="137"/>
      <c r="Z13" s="300"/>
      <c r="AA13" s="300"/>
    </row>
    <row r="14" ht="17.25" customHeight="1">
      <c r="A14" s="342"/>
      <c r="B14" s="343"/>
      <c r="C14" s="251"/>
      <c r="D14" s="251"/>
      <c r="E14" s="251"/>
      <c r="F14" s="251"/>
      <c r="G14" s="251"/>
      <c r="H14" s="251"/>
      <c r="I14" s="251"/>
      <c r="J14" s="251"/>
      <c r="K14" s="251"/>
      <c r="L14" s="344" t="s">
        <v>296</v>
      </c>
      <c r="M14" s="130"/>
      <c r="N14" s="130"/>
      <c r="O14" s="130"/>
      <c r="P14" s="130"/>
      <c r="Q14" s="99"/>
      <c r="R14" s="143"/>
      <c r="S14" s="143"/>
      <c r="T14" s="143"/>
      <c r="U14" s="143"/>
      <c r="V14" s="143"/>
      <c r="W14" s="323"/>
      <c r="X14" s="137"/>
      <c r="Y14" s="137"/>
      <c r="Z14" s="300"/>
      <c r="AA14" s="300"/>
    </row>
    <row r="15" ht="17.25" customHeight="1">
      <c r="A15" s="307" t="s">
        <v>152</v>
      </c>
      <c r="B15" s="345" t="s">
        <v>297</v>
      </c>
      <c r="C15" s="311"/>
      <c r="D15" s="311"/>
      <c r="E15" s="311"/>
      <c r="F15" s="311"/>
      <c r="G15" s="312"/>
      <c r="H15" s="346"/>
      <c r="I15" s="346"/>
      <c r="J15" s="346"/>
      <c r="K15" s="346"/>
      <c r="L15" s="347" t="s">
        <v>298</v>
      </c>
      <c r="M15" s="311"/>
      <c r="N15" s="311"/>
      <c r="O15" s="311"/>
      <c r="P15" s="311"/>
      <c r="Q15" s="312"/>
      <c r="R15" s="348"/>
      <c r="S15" s="349"/>
      <c r="T15" s="350"/>
      <c r="U15" s="309"/>
      <c r="V15" s="309"/>
      <c r="W15" s="317"/>
      <c r="X15" s="137"/>
      <c r="Y15" s="137"/>
      <c r="Z15" s="300"/>
      <c r="AA15" s="300"/>
    </row>
    <row r="16" ht="17.25" customHeight="1">
      <c r="A16" s="329"/>
      <c r="B16" s="351"/>
      <c r="C16" s="352"/>
      <c r="D16" s="352"/>
      <c r="E16" s="352"/>
      <c r="F16" s="352"/>
      <c r="G16" s="352"/>
      <c r="H16" s="352"/>
      <c r="I16" s="352"/>
      <c r="J16" s="352"/>
      <c r="K16" s="352"/>
      <c r="L16" s="353" t="s">
        <v>299</v>
      </c>
      <c r="M16" s="354"/>
      <c r="N16" s="354"/>
      <c r="O16" s="354"/>
      <c r="P16" s="354"/>
      <c r="Q16" s="355"/>
      <c r="R16" s="352"/>
      <c r="S16" s="352"/>
      <c r="T16" s="352"/>
      <c r="U16" s="352"/>
      <c r="V16" s="352"/>
      <c r="W16" s="356"/>
      <c r="X16" s="300"/>
      <c r="Y16" s="300"/>
      <c r="Z16" s="300"/>
      <c r="AA16" s="300"/>
    </row>
    <row r="17" ht="17.25" customHeight="1">
      <c r="A17" s="335" t="s">
        <v>153</v>
      </c>
      <c r="B17" s="308"/>
      <c r="C17" s="309"/>
      <c r="D17" s="309"/>
      <c r="E17" s="357" t="s">
        <v>300</v>
      </c>
      <c r="F17" s="141"/>
      <c r="G17" s="141"/>
      <c r="H17" s="141"/>
      <c r="I17" s="141"/>
      <c r="J17" s="142"/>
      <c r="K17" s="143"/>
      <c r="L17" s="358" t="s">
        <v>277</v>
      </c>
      <c r="N17" s="337"/>
      <c r="O17" s="359" t="s">
        <v>278</v>
      </c>
      <c r="Q17" s="337"/>
      <c r="R17" s="143"/>
      <c r="S17" s="143"/>
      <c r="T17" s="143"/>
      <c r="U17" s="143"/>
      <c r="V17" s="143"/>
      <c r="W17" s="323"/>
      <c r="X17" s="137"/>
      <c r="Y17" s="137"/>
      <c r="Z17" s="300"/>
      <c r="AA17" s="300"/>
    </row>
    <row r="18" ht="17.25" customHeight="1">
      <c r="A18" s="318"/>
      <c r="B18" s="319"/>
      <c r="C18" s="143"/>
      <c r="D18" s="143"/>
      <c r="E18" s="360" t="s">
        <v>301</v>
      </c>
      <c r="F18" s="141"/>
      <c r="G18" s="141"/>
      <c r="H18" s="141"/>
      <c r="I18" s="141"/>
      <c r="J18" s="142"/>
      <c r="K18" s="143"/>
      <c r="L18" s="321" t="s">
        <v>280</v>
      </c>
      <c r="M18" s="141"/>
      <c r="N18" s="142"/>
      <c r="O18" s="322" t="s">
        <v>281</v>
      </c>
      <c r="P18" s="141"/>
      <c r="Q18" s="142"/>
      <c r="R18" s="143"/>
      <c r="S18" s="143"/>
      <c r="T18" s="143"/>
      <c r="U18" s="143"/>
      <c r="V18" s="143"/>
      <c r="W18" s="323"/>
      <c r="X18" s="137"/>
      <c r="Y18" s="137"/>
      <c r="Z18" s="300"/>
      <c r="AA18" s="300"/>
    </row>
    <row r="19" ht="17.25" customHeight="1">
      <c r="A19" s="318"/>
      <c r="B19" s="319"/>
      <c r="C19" s="143"/>
      <c r="D19" s="143"/>
      <c r="K19" s="143"/>
      <c r="L19" s="324" t="s">
        <v>282</v>
      </c>
      <c r="M19" s="130"/>
      <c r="N19" s="99"/>
      <c r="O19" s="325" t="s">
        <v>283</v>
      </c>
      <c r="P19" s="130"/>
      <c r="Q19" s="99"/>
      <c r="R19" s="143"/>
      <c r="S19" s="143"/>
      <c r="T19" s="143"/>
      <c r="U19" s="143"/>
      <c r="V19" s="143"/>
      <c r="W19" s="323"/>
      <c r="X19" s="137"/>
      <c r="Y19" s="137"/>
      <c r="Z19" s="300"/>
      <c r="AA19" s="300"/>
    </row>
    <row r="20" ht="17.25" customHeight="1">
      <c r="A20" s="318"/>
      <c r="B20" s="361" t="s">
        <v>302</v>
      </c>
      <c r="C20" s="104"/>
      <c r="D20" s="104"/>
      <c r="E20" s="104"/>
      <c r="F20" s="104"/>
      <c r="G20" s="104"/>
      <c r="H20" s="104"/>
      <c r="I20" s="102"/>
      <c r="J20" s="143"/>
      <c r="K20" s="143"/>
      <c r="L20" s="321" t="s">
        <v>284</v>
      </c>
      <c r="M20" s="141"/>
      <c r="N20" s="142"/>
      <c r="O20" s="326" t="s">
        <v>285</v>
      </c>
      <c r="P20" s="141"/>
      <c r="Q20" s="142"/>
      <c r="R20" s="143"/>
      <c r="S20" s="143"/>
      <c r="T20" s="143"/>
      <c r="U20" s="143"/>
      <c r="V20" s="143"/>
      <c r="W20" s="323"/>
      <c r="X20" s="137"/>
      <c r="Y20" s="137"/>
      <c r="Z20" s="300"/>
      <c r="AA20" s="300"/>
    </row>
    <row r="21" ht="17.25" customHeight="1">
      <c r="A21" s="318"/>
      <c r="B21" s="319"/>
      <c r="C21" s="143"/>
      <c r="D21" s="143"/>
      <c r="E21" s="143"/>
      <c r="F21" s="143"/>
      <c r="G21" s="143"/>
      <c r="H21" s="143"/>
      <c r="I21" s="143"/>
      <c r="J21" s="143"/>
      <c r="K21" s="143"/>
      <c r="L21" s="327" t="s">
        <v>286</v>
      </c>
      <c r="M21" s="130"/>
      <c r="N21" s="99"/>
      <c r="O21" s="325" t="s">
        <v>287</v>
      </c>
      <c r="P21" s="130"/>
      <c r="Q21" s="99"/>
      <c r="R21" s="143"/>
      <c r="S21" s="143"/>
      <c r="T21" s="143"/>
      <c r="U21" s="143"/>
      <c r="V21" s="143"/>
      <c r="W21" s="323"/>
      <c r="X21" s="137"/>
      <c r="Y21" s="137"/>
      <c r="Z21" s="300"/>
      <c r="AA21" s="300"/>
    </row>
    <row r="22" ht="17.25" customHeight="1">
      <c r="A22" s="318"/>
      <c r="B22" s="319"/>
      <c r="C22" s="143"/>
      <c r="D22" s="143"/>
      <c r="E22" s="143"/>
      <c r="F22" s="143"/>
      <c r="G22" s="143"/>
      <c r="H22" s="143"/>
      <c r="I22" s="143"/>
      <c r="J22" s="143"/>
      <c r="K22" s="143"/>
      <c r="L22" s="328" t="s">
        <v>288</v>
      </c>
      <c r="M22" s="141"/>
      <c r="N22" s="142"/>
      <c r="O22" s="326" t="s">
        <v>289</v>
      </c>
      <c r="P22" s="141"/>
      <c r="Q22" s="142"/>
      <c r="R22" s="143"/>
      <c r="S22" s="143"/>
      <c r="T22" s="143"/>
      <c r="U22" s="143"/>
      <c r="V22" s="143"/>
      <c r="W22" s="323"/>
      <c r="X22" s="137"/>
      <c r="Y22" s="137"/>
      <c r="Z22" s="300"/>
      <c r="AA22" s="300"/>
    </row>
    <row r="23" ht="17.25" customHeight="1">
      <c r="A23" s="318"/>
      <c r="B23" s="319"/>
      <c r="C23" s="143"/>
      <c r="D23" s="143"/>
      <c r="E23" s="143"/>
      <c r="F23" s="143"/>
      <c r="G23" s="143"/>
      <c r="H23" s="143"/>
      <c r="I23" s="143"/>
      <c r="J23" s="143"/>
      <c r="K23" s="143"/>
      <c r="R23" s="143"/>
      <c r="S23" s="143"/>
      <c r="T23" s="143"/>
      <c r="U23" s="143"/>
      <c r="V23" s="143"/>
      <c r="W23" s="323"/>
      <c r="X23" s="137"/>
      <c r="Y23" s="137"/>
      <c r="Z23" s="300"/>
      <c r="AA23" s="300"/>
    </row>
    <row r="24" ht="17.25" customHeight="1">
      <c r="A24" s="342"/>
      <c r="B24" s="319"/>
      <c r="C24" s="143"/>
      <c r="D24" s="143"/>
      <c r="E24" s="143"/>
      <c r="F24" s="143"/>
      <c r="G24" s="143"/>
      <c r="H24" s="143"/>
      <c r="I24" s="143"/>
      <c r="J24" s="143"/>
      <c r="K24" s="143"/>
      <c r="R24" s="143"/>
      <c r="S24" s="143"/>
      <c r="T24" s="143"/>
      <c r="U24" s="143"/>
      <c r="V24" s="143"/>
      <c r="W24" s="323"/>
      <c r="X24" s="300"/>
      <c r="Y24" s="300"/>
      <c r="Z24" s="300"/>
      <c r="AA24" s="300"/>
    </row>
    <row r="25" ht="17.25" customHeight="1">
      <c r="A25" s="307" t="s">
        <v>162</v>
      </c>
      <c r="B25" s="362" t="s">
        <v>290</v>
      </c>
      <c r="C25" s="314"/>
      <c r="D25" s="304"/>
      <c r="E25" s="363" t="s">
        <v>303</v>
      </c>
      <c r="F25" s="311"/>
      <c r="G25" s="311"/>
      <c r="H25" s="311"/>
      <c r="I25" s="311"/>
      <c r="J25" s="312"/>
      <c r="K25" s="364"/>
      <c r="L25" s="365" t="s">
        <v>304</v>
      </c>
      <c r="M25" s="311"/>
      <c r="N25" s="311"/>
      <c r="O25" s="312"/>
      <c r="P25" s="366" t="s">
        <v>305</v>
      </c>
      <c r="Q25" s="311"/>
      <c r="R25" s="311"/>
      <c r="S25" s="312"/>
      <c r="T25" s="364"/>
      <c r="U25" s="364"/>
      <c r="V25" s="364"/>
      <c r="W25" s="367"/>
      <c r="X25" s="300"/>
      <c r="Y25" s="300"/>
      <c r="Z25" s="300"/>
      <c r="AA25" s="300"/>
    </row>
    <row r="26" ht="17.25" customHeight="1">
      <c r="A26" s="318"/>
      <c r="E26" s="338" t="s">
        <v>306</v>
      </c>
      <c r="F26" s="141"/>
      <c r="G26" s="141"/>
      <c r="H26" s="141"/>
      <c r="I26" s="141"/>
      <c r="J26" s="142"/>
      <c r="K26" s="251"/>
      <c r="L26" s="234" t="s">
        <v>307</v>
      </c>
      <c r="M26" s="104"/>
      <c r="N26" s="104"/>
      <c r="O26" s="102"/>
      <c r="P26" s="221" t="s">
        <v>308</v>
      </c>
      <c r="Q26" s="104"/>
      <c r="R26" s="104"/>
      <c r="S26" s="102"/>
      <c r="T26" s="251"/>
      <c r="U26" s="251"/>
      <c r="V26" s="251"/>
      <c r="W26" s="368"/>
      <c r="X26" s="137"/>
      <c r="Y26" s="137"/>
      <c r="Z26" s="300"/>
      <c r="AA26" s="300"/>
    </row>
    <row r="27" ht="17.25" customHeight="1">
      <c r="A27" s="318"/>
      <c r="B27" s="343"/>
      <c r="C27" s="251"/>
      <c r="D27" s="251"/>
      <c r="E27" s="338" t="s">
        <v>309</v>
      </c>
      <c r="F27" s="141"/>
      <c r="G27" s="141"/>
      <c r="H27" s="141"/>
      <c r="I27" s="141"/>
      <c r="J27" s="142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368"/>
      <c r="X27" s="137"/>
      <c r="Y27" s="137"/>
      <c r="Z27" s="300"/>
      <c r="AA27" s="300"/>
    </row>
    <row r="28" ht="17.25" customHeight="1">
      <c r="A28" s="329"/>
      <c r="B28" s="369"/>
      <c r="C28" s="370"/>
      <c r="D28" s="370"/>
      <c r="E28" s="371" t="s">
        <v>310</v>
      </c>
      <c r="F28" s="354"/>
      <c r="G28" s="354"/>
      <c r="H28" s="354"/>
      <c r="I28" s="354"/>
      <c r="J28" s="355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2"/>
      <c r="X28" s="137"/>
      <c r="Y28" s="137"/>
      <c r="Z28" s="300"/>
      <c r="AA28" s="300"/>
    </row>
    <row r="29" ht="18.0" customHeight="1">
      <c r="A29" s="300"/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137"/>
      <c r="Q29" s="137"/>
      <c r="R29" s="137"/>
      <c r="S29" s="137"/>
      <c r="T29" s="137"/>
      <c r="U29" s="137"/>
      <c r="V29" s="137"/>
      <c r="W29" s="137"/>
      <c r="X29" s="300"/>
      <c r="Y29" s="300"/>
      <c r="Z29" s="300"/>
      <c r="AA29" s="300"/>
    </row>
    <row r="30" ht="17.25" customHeight="1">
      <c r="A30" s="300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</row>
    <row r="31" ht="17.25" customHeight="1">
      <c r="A31" s="300"/>
      <c r="B31" s="373" t="s">
        <v>170</v>
      </c>
      <c r="C31" s="373" t="s">
        <v>171</v>
      </c>
      <c r="D31" s="373"/>
      <c r="E31" s="373"/>
      <c r="F31" s="373"/>
      <c r="G31" s="373"/>
      <c r="H31" s="373"/>
      <c r="I31" s="373" t="s">
        <v>172</v>
      </c>
      <c r="J31" s="373" t="s">
        <v>173</v>
      </c>
      <c r="K31" s="300"/>
      <c r="L31" s="300"/>
      <c r="M31" s="300"/>
      <c r="N31" s="373" t="s">
        <v>170</v>
      </c>
      <c r="O31" s="373" t="s">
        <v>171</v>
      </c>
      <c r="P31" s="373"/>
      <c r="Q31" s="373"/>
      <c r="R31" s="373"/>
      <c r="S31" s="373"/>
      <c r="T31" s="373"/>
      <c r="U31" s="373" t="s">
        <v>172</v>
      </c>
      <c r="V31" s="373" t="s">
        <v>173</v>
      </c>
      <c r="W31" s="300"/>
      <c r="X31" s="300"/>
      <c r="Y31" s="300"/>
      <c r="Z31" s="300"/>
      <c r="AA31" s="300"/>
    </row>
    <row r="32" ht="17.25" customHeight="1">
      <c r="A32" s="137"/>
      <c r="B32" s="191">
        <v>954310.0</v>
      </c>
      <c r="C32" s="191" t="s">
        <v>311</v>
      </c>
      <c r="D32" s="137"/>
      <c r="E32" s="183"/>
      <c r="F32" s="183"/>
      <c r="G32" s="183"/>
      <c r="H32" s="183"/>
      <c r="I32" s="112" t="s">
        <v>248</v>
      </c>
      <c r="J32" s="112">
        <v>3.0</v>
      </c>
      <c r="K32" s="300"/>
      <c r="L32" s="137"/>
      <c r="M32" s="137"/>
      <c r="N32" s="191">
        <v>954310.0</v>
      </c>
      <c r="O32" s="191" t="s">
        <v>312</v>
      </c>
      <c r="P32" s="137"/>
      <c r="Q32" s="183"/>
      <c r="R32" s="183"/>
      <c r="S32" s="183"/>
      <c r="T32" s="183"/>
      <c r="U32" s="112">
        <v>701.0</v>
      </c>
      <c r="V32" s="306">
        <v>3.0</v>
      </c>
      <c r="W32" s="137"/>
      <c r="X32" s="137"/>
      <c r="Y32" s="137"/>
      <c r="Z32" s="137"/>
      <c r="AA32" s="137"/>
    </row>
    <row r="33" ht="17.25" customHeight="1">
      <c r="A33" s="137"/>
      <c r="B33" s="191">
        <v>954365.0</v>
      </c>
      <c r="C33" s="191" t="s">
        <v>313</v>
      </c>
      <c r="D33" s="137"/>
      <c r="E33" s="183"/>
      <c r="F33" s="183"/>
      <c r="G33" s="183"/>
      <c r="H33" s="183"/>
      <c r="I33" s="112" t="s">
        <v>248</v>
      </c>
      <c r="J33" s="112">
        <v>3.0</v>
      </c>
      <c r="K33" s="265"/>
      <c r="L33" s="137"/>
      <c r="M33" s="137"/>
      <c r="N33" s="191">
        <v>954365.0</v>
      </c>
      <c r="O33" s="191" t="s">
        <v>314</v>
      </c>
      <c r="P33" s="137"/>
      <c r="Q33" s="183"/>
      <c r="R33" s="183"/>
      <c r="S33" s="183"/>
      <c r="T33" s="183"/>
      <c r="U33" s="112">
        <v>701.0</v>
      </c>
      <c r="V33" s="267">
        <v>3.0</v>
      </c>
      <c r="W33" s="137"/>
      <c r="X33" s="137"/>
      <c r="Y33" s="137"/>
      <c r="Z33" s="137"/>
      <c r="AA33" s="137"/>
    </row>
    <row r="34" ht="17.25" customHeight="1">
      <c r="A34" s="137"/>
      <c r="B34" s="191">
        <v>954381.0</v>
      </c>
      <c r="C34" s="191" t="s">
        <v>315</v>
      </c>
      <c r="D34" s="137"/>
      <c r="E34" s="183"/>
      <c r="F34" s="374"/>
      <c r="G34" s="374"/>
      <c r="H34" s="374"/>
      <c r="I34" s="375" t="s">
        <v>61</v>
      </c>
      <c r="J34" s="112">
        <v>3.0</v>
      </c>
      <c r="K34" s="265"/>
      <c r="L34" s="137"/>
      <c r="M34" s="137"/>
      <c r="N34" s="191">
        <v>954381.0</v>
      </c>
      <c r="O34" s="191" t="s">
        <v>316</v>
      </c>
      <c r="P34" s="137"/>
      <c r="Q34" s="183"/>
      <c r="R34" s="183"/>
      <c r="S34" s="183"/>
      <c r="T34" s="183"/>
      <c r="U34" s="112">
        <v>701.0</v>
      </c>
      <c r="V34" s="267">
        <v>3.0</v>
      </c>
      <c r="W34" s="137"/>
      <c r="X34" s="137"/>
      <c r="Y34" s="137"/>
      <c r="Z34" s="137"/>
      <c r="AA34" s="137"/>
    </row>
    <row r="35" ht="17.25" customHeight="1">
      <c r="A35" s="258"/>
      <c r="B35" s="376"/>
      <c r="C35" s="191" t="s">
        <v>317</v>
      </c>
      <c r="D35" s="183"/>
      <c r="E35" s="183"/>
      <c r="F35" s="183"/>
      <c r="G35" s="183"/>
      <c r="H35" s="183"/>
      <c r="I35" s="112" t="s">
        <v>176</v>
      </c>
      <c r="J35" s="112">
        <v>3.0</v>
      </c>
      <c r="K35" s="185"/>
      <c r="L35" s="258"/>
      <c r="M35" s="258"/>
      <c r="N35" s="376"/>
      <c r="O35" s="191" t="s">
        <v>318</v>
      </c>
      <c r="P35" s="183"/>
      <c r="Q35" s="183"/>
      <c r="R35" s="183"/>
      <c r="S35" s="183"/>
      <c r="T35" s="183"/>
      <c r="U35" s="112" t="s">
        <v>176</v>
      </c>
      <c r="V35" s="112">
        <v>3.0</v>
      </c>
      <c r="W35" s="185"/>
      <c r="X35" s="300"/>
      <c r="Y35" s="258"/>
      <c r="Z35" s="258"/>
      <c r="AA35" s="258"/>
    </row>
    <row r="36" ht="17.25" customHeight="1">
      <c r="A36" s="258"/>
      <c r="B36" s="376"/>
      <c r="C36" s="191" t="s">
        <v>317</v>
      </c>
      <c r="D36" s="183"/>
      <c r="E36" s="183"/>
      <c r="F36" s="183"/>
      <c r="G36" s="183"/>
      <c r="H36" s="183"/>
      <c r="I36" s="112" t="s">
        <v>176</v>
      </c>
      <c r="J36" s="112">
        <v>3.0</v>
      </c>
      <c r="K36" s="185"/>
      <c r="L36" s="258"/>
      <c r="M36" s="258"/>
      <c r="N36" s="376"/>
      <c r="O36" s="191" t="s">
        <v>318</v>
      </c>
      <c r="P36" s="183"/>
      <c r="Q36" s="183"/>
      <c r="R36" s="183"/>
      <c r="S36" s="183"/>
      <c r="T36" s="183"/>
      <c r="U36" s="112" t="s">
        <v>176</v>
      </c>
      <c r="V36" s="112">
        <v>3.0</v>
      </c>
      <c r="W36" s="185"/>
      <c r="X36" s="137"/>
      <c r="Y36" s="137"/>
      <c r="Z36" s="137"/>
      <c r="AA36" s="258"/>
    </row>
    <row r="37" ht="17.25" customHeight="1">
      <c r="A37" s="258"/>
      <c r="B37" s="376"/>
      <c r="C37" s="191" t="s">
        <v>317</v>
      </c>
      <c r="D37" s="183"/>
      <c r="E37" s="183"/>
      <c r="F37" s="183"/>
      <c r="G37" s="183"/>
      <c r="H37" s="183"/>
      <c r="I37" s="112" t="s">
        <v>176</v>
      </c>
      <c r="J37" s="112">
        <v>3.0</v>
      </c>
      <c r="K37" s="185"/>
      <c r="L37" s="258"/>
      <c r="M37" s="258"/>
      <c r="N37" s="376"/>
      <c r="O37" s="191" t="s">
        <v>318</v>
      </c>
      <c r="P37" s="183"/>
      <c r="Q37" s="183"/>
      <c r="R37" s="183"/>
      <c r="S37" s="183"/>
      <c r="T37" s="183"/>
      <c r="U37" s="112" t="s">
        <v>176</v>
      </c>
      <c r="V37" s="112">
        <v>3.0</v>
      </c>
      <c r="W37" s="185"/>
      <c r="X37" s="137"/>
      <c r="Y37" s="137"/>
      <c r="Z37" s="137"/>
      <c r="AA37" s="258"/>
    </row>
    <row r="38" ht="17.25" customHeight="1">
      <c r="A38" s="137"/>
      <c r="B38" s="137"/>
      <c r="C38" s="137"/>
      <c r="D38" s="137"/>
      <c r="E38" s="183"/>
      <c r="F38" s="183"/>
      <c r="G38" s="183"/>
      <c r="H38" s="183"/>
      <c r="I38" s="112"/>
      <c r="J38" s="112"/>
      <c r="K38" s="265"/>
      <c r="L38" s="137"/>
      <c r="M38" s="137"/>
      <c r="N38" s="258"/>
      <c r="O38" s="258"/>
      <c r="P38" s="258"/>
      <c r="Q38" s="258"/>
      <c r="R38" s="258"/>
      <c r="S38" s="258"/>
      <c r="T38" s="274"/>
      <c r="U38" s="201"/>
      <c r="V38" s="201"/>
      <c r="W38" s="185"/>
      <c r="X38" s="293"/>
      <c r="Y38" s="137"/>
      <c r="Z38" s="137"/>
      <c r="AA38" s="137"/>
    </row>
    <row r="39" ht="25.5" customHeight="1">
      <c r="A39" s="377"/>
      <c r="B39" s="137"/>
      <c r="C39" s="137"/>
      <c r="D39" s="378" t="s">
        <v>193</v>
      </c>
      <c r="I39" s="379"/>
      <c r="J39" s="380">
        <f>SUM(J32:J37)</f>
        <v>18</v>
      </c>
      <c r="K39" s="265"/>
      <c r="L39" s="137"/>
      <c r="M39" s="137"/>
      <c r="N39" s="293"/>
      <c r="P39" s="378" t="s">
        <v>319</v>
      </c>
      <c r="U39" s="379"/>
      <c r="V39" s="380">
        <f>SUM(V32:V38)</f>
        <v>18</v>
      </c>
      <c r="W39" s="265"/>
      <c r="X39" s="137"/>
      <c r="Y39" s="137"/>
      <c r="Z39" s="137"/>
      <c r="AA39" s="137"/>
    </row>
    <row r="40" ht="17.25" customHeight="1">
      <c r="K40" s="137"/>
      <c r="L40" s="137"/>
      <c r="M40" s="137"/>
      <c r="N40" s="191"/>
      <c r="P40" s="137"/>
      <c r="Q40" s="183"/>
      <c r="R40" s="183"/>
      <c r="S40" s="183"/>
      <c r="T40" s="183"/>
      <c r="U40" s="137"/>
      <c r="V40" s="183"/>
      <c r="W40" s="137"/>
      <c r="X40" s="137"/>
      <c r="Y40" s="137"/>
      <c r="Z40" s="137"/>
      <c r="AA40" s="137"/>
    </row>
    <row r="41" ht="15.75" customHeight="1">
      <c r="A41" s="381"/>
      <c r="B41" s="381"/>
      <c r="C41" s="381"/>
      <c r="D41" s="277" t="s">
        <v>254</v>
      </c>
      <c r="E41" s="278" t="s">
        <v>255</v>
      </c>
      <c r="I41" s="279" t="s">
        <v>256</v>
      </c>
      <c r="J41" s="137"/>
      <c r="K41" s="137"/>
      <c r="L41" s="137"/>
      <c r="M41" s="137"/>
      <c r="N41" s="196"/>
      <c r="O41" s="96"/>
      <c r="P41" s="96"/>
      <c r="Q41" s="96"/>
      <c r="R41" s="96"/>
      <c r="S41" s="96"/>
      <c r="T41" s="96"/>
      <c r="U41" s="96"/>
      <c r="V41" s="382"/>
      <c r="W41" s="383"/>
      <c r="X41" s="384"/>
      <c r="Y41" s="137"/>
      <c r="Z41" s="137"/>
      <c r="AA41" s="137"/>
    </row>
    <row r="42" ht="15.75" customHeight="1">
      <c r="A42" s="381"/>
      <c r="B42" s="381"/>
      <c r="C42" s="381"/>
      <c r="D42" s="277" t="s">
        <v>257</v>
      </c>
      <c r="E42" s="274"/>
      <c r="J42" s="137"/>
      <c r="K42" s="137"/>
      <c r="L42" s="137"/>
      <c r="M42" s="137"/>
      <c r="N42" s="196"/>
      <c r="O42" s="96"/>
      <c r="P42" s="96"/>
      <c r="Q42" s="96"/>
      <c r="R42" s="96"/>
      <c r="S42" s="96"/>
      <c r="T42" s="96"/>
      <c r="U42" s="96"/>
      <c r="V42" s="382"/>
      <c r="W42" s="383"/>
      <c r="X42" s="384"/>
      <c r="Y42" s="137"/>
      <c r="Z42" s="137"/>
      <c r="AA42" s="137"/>
    </row>
    <row r="43" ht="15.75" customHeight="1">
      <c r="A43" s="381"/>
      <c r="B43" s="381"/>
      <c r="C43" s="381"/>
      <c r="D43" s="137"/>
      <c r="E43" s="258"/>
      <c r="F43" s="137"/>
      <c r="G43" s="137"/>
      <c r="H43" s="137"/>
      <c r="I43" s="137"/>
      <c r="J43" s="137"/>
      <c r="K43" s="137"/>
      <c r="L43" s="137"/>
      <c r="M43" s="137"/>
      <c r="N43" s="196"/>
      <c r="O43" s="96"/>
      <c r="P43" s="96"/>
      <c r="Q43" s="96"/>
      <c r="R43" s="96"/>
      <c r="S43" s="96"/>
      <c r="T43" s="96"/>
      <c r="U43" s="96"/>
      <c r="V43" s="385"/>
      <c r="W43" s="96"/>
      <c r="X43" s="137"/>
      <c r="Y43" s="137"/>
      <c r="Z43" s="137"/>
      <c r="AA43" s="137"/>
    </row>
    <row r="44" ht="15.75" customHeight="1">
      <c r="A44" s="381"/>
      <c r="B44" s="381"/>
      <c r="C44" s="381"/>
      <c r="D44" s="137"/>
      <c r="E44" s="258"/>
      <c r="F44" s="137"/>
      <c r="G44" s="137"/>
      <c r="H44" s="137"/>
      <c r="I44" s="137"/>
      <c r="J44" s="137"/>
      <c r="K44" s="137"/>
      <c r="L44" s="137"/>
      <c r="M44" s="137"/>
      <c r="N44" s="196"/>
      <c r="O44" s="96"/>
      <c r="P44" s="96"/>
      <c r="Q44" s="96"/>
      <c r="R44" s="96"/>
      <c r="S44" s="96"/>
      <c r="T44" s="96"/>
      <c r="U44" s="96"/>
      <c r="V44" s="385"/>
      <c r="W44" s="96"/>
      <c r="X44" s="137"/>
      <c r="Y44" s="137"/>
      <c r="Z44" s="137"/>
      <c r="AA44" s="137"/>
    </row>
    <row r="45" ht="15.75" customHeight="1">
      <c r="A45" s="381" t="s">
        <v>320</v>
      </c>
      <c r="B45" s="381"/>
      <c r="C45" s="381"/>
      <c r="D45" s="137"/>
      <c r="E45" s="258"/>
      <c r="F45" s="137"/>
      <c r="G45" s="137"/>
      <c r="H45" s="137"/>
      <c r="I45" s="137"/>
      <c r="J45" s="137"/>
      <c r="K45" s="137"/>
      <c r="L45" s="137"/>
      <c r="M45" s="137"/>
      <c r="N45" s="196" t="s">
        <v>321</v>
      </c>
      <c r="O45" s="96"/>
      <c r="P45" s="96"/>
      <c r="Q45" s="96"/>
      <c r="R45" s="96"/>
      <c r="S45" s="96"/>
      <c r="T45" s="96"/>
      <c r="U45" s="96"/>
      <c r="V45" s="385"/>
      <c r="W45" s="96"/>
      <c r="X45" s="137"/>
      <c r="Y45" s="137"/>
      <c r="Z45" s="137"/>
      <c r="AA45" s="137"/>
    </row>
    <row r="46" ht="15.75" customHeight="1">
      <c r="A46" s="386" t="s">
        <v>322</v>
      </c>
      <c r="B46" s="95" t="s">
        <v>323</v>
      </c>
      <c r="C46" s="196" t="s">
        <v>324</v>
      </c>
      <c r="D46" s="196" t="s">
        <v>325</v>
      </c>
      <c r="E46" s="196"/>
      <c r="F46" s="96"/>
      <c r="G46" s="387" t="s">
        <v>172</v>
      </c>
      <c r="H46" s="196" t="s">
        <v>326</v>
      </c>
      <c r="I46" s="196" t="s">
        <v>327</v>
      </c>
      <c r="J46" s="387" t="s">
        <v>328</v>
      </c>
      <c r="K46" s="388"/>
      <c r="L46" s="137"/>
      <c r="M46" s="137"/>
      <c r="N46" s="196" t="s">
        <v>329</v>
      </c>
      <c r="O46" s="196"/>
      <c r="P46" s="196" t="s">
        <v>330</v>
      </c>
      <c r="Q46" s="196" t="s">
        <v>331</v>
      </c>
      <c r="R46" s="96"/>
      <c r="S46" s="196" t="s">
        <v>332</v>
      </c>
      <c r="T46" s="137"/>
      <c r="U46" s="95" t="s">
        <v>333</v>
      </c>
      <c r="V46" s="95" t="s">
        <v>330</v>
      </c>
      <c r="W46" s="95" t="s">
        <v>331</v>
      </c>
      <c r="X46" s="137"/>
      <c r="Y46" s="137"/>
      <c r="Z46" s="137"/>
      <c r="AA46" s="137"/>
    </row>
    <row r="47" ht="15.75" customHeight="1">
      <c r="A47" s="23">
        <v>1.0</v>
      </c>
      <c r="B47" s="251" t="s">
        <v>38</v>
      </c>
      <c r="C47" s="389">
        <v>954347.0</v>
      </c>
      <c r="D47" s="300" t="s">
        <v>334</v>
      </c>
      <c r="E47" s="300"/>
      <c r="F47" s="300"/>
      <c r="G47" s="390" t="s">
        <v>61</v>
      </c>
      <c r="H47" s="391">
        <v>25.0</v>
      </c>
      <c r="I47" s="392" t="s">
        <v>21</v>
      </c>
      <c r="J47" s="300" t="s">
        <v>335</v>
      </c>
      <c r="K47" s="388"/>
      <c r="L47" s="137"/>
      <c r="M47" s="137"/>
      <c r="N47" s="96" t="s">
        <v>336</v>
      </c>
      <c r="O47" s="96"/>
      <c r="P47" s="143"/>
      <c r="Q47" s="393">
        <f>P48+P49</f>
        <v>105</v>
      </c>
      <c r="R47" s="143"/>
      <c r="S47" s="286" t="s">
        <v>336</v>
      </c>
      <c r="T47" s="251"/>
      <c r="U47" s="394"/>
      <c r="V47" s="394"/>
      <c r="W47" s="121"/>
      <c r="X47" s="137"/>
      <c r="Y47" s="137"/>
      <c r="Z47" s="137"/>
      <c r="AA47" s="137"/>
    </row>
    <row r="48" ht="15.75" customHeight="1">
      <c r="A48" s="23">
        <v>2.0</v>
      </c>
      <c r="B48" s="251" t="s">
        <v>38</v>
      </c>
      <c r="C48" s="389">
        <v>954348.0</v>
      </c>
      <c r="D48" s="300" t="s">
        <v>337</v>
      </c>
      <c r="E48" s="300"/>
      <c r="F48" s="300"/>
      <c r="G48" s="390" t="s">
        <v>61</v>
      </c>
      <c r="H48" s="391">
        <v>25.0</v>
      </c>
      <c r="I48" s="392" t="s">
        <v>11</v>
      </c>
      <c r="J48" s="300" t="s">
        <v>335</v>
      </c>
      <c r="K48" s="388"/>
      <c r="L48" s="137"/>
      <c r="M48" s="137"/>
      <c r="N48" s="96"/>
      <c r="O48" s="96" t="s">
        <v>338</v>
      </c>
      <c r="P48" s="395">
        <v>70.0</v>
      </c>
      <c r="Q48" s="396"/>
      <c r="R48" s="143"/>
      <c r="S48" s="286"/>
      <c r="T48" s="251"/>
      <c r="U48" s="394">
        <f>107-V48</f>
        <v>16</v>
      </c>
      <c r="V48" s="394">
        <v>91.0</v>
      </c>
      <c r="W48" s="121"/>
      <c r="X48" s="137"/>
      <c r="Y48" s="137"/>
      <c r="Z48" s="137"/>
      <c r="AA48" s="137"/>
    </row>
    <row r="49" ht="15.75" customHeight="1">
      <c r="A49" s="23">
        <v>3.0</v>
      </c>
      <c r="B49" s="251" t="s">
        <v>39</v>
      </c>
      <c r="C49" s="389">
        <v>954423.0</v>
      </c>
      <c r="D49" s="6" t="s">
        <v>339</v>
      </c>
      <c r="G49" s="390" t="s">
        <v>61</v>
      </c>
      <c r="H49" s="397">
        <v>25.0</v>
      </c>
      <c r="I49" s="392" t="s">
        <v>5</v>
      </c>
      <c r="J49" s="6" t="s">
        <v>340</v>
      </c>
      <c r="K49" s="398"/>
      <c r="L49" s="137"/>
      <c r="M49" s="137"/>
      <c r="N49" s="96"/>
      <c r="O49" s="96" t="s">
        <v>341</v>
      </c>
      <c r="P49" s="395">
        <v>35.0</v>
      </c>
      <c r="Q49" s="396"/>
      <c r="R49" s="143"/>
      <c r="S49" s="286"/>
      <c r="T49" s="251"/>
      <c r="U49" s="394">
        <f>19-V49</f>
        <v>11</v>
      </c>
      <c r="V49" s="394">
        <v>8.0</v>
      </c>
      <c r="W49" s="121"/>
      <c r="X49" s="137"/>
      <c r="Y49" s="137"/>
      <c r="Z49" s="137"/>
      <c r="AA49" s="137"/>
    </row>
    <row r="50" ht="15.75" customHeight="1">
      <c r="A50" s="23">
        <v>4.0</v>
      </c>
      <c r="B50" s="306" t="s">
        <v>39</v>
      </c>
      <c r="C50" s="389">
        <v>954425.0</v>
      </c>
      <c r="D50" s="300" t="s">
        <v>342</v>
      </c>
      <c r="E50" s="300"/>
      <c r="F50" s="300"/>
      <c r="G50" s="390" t="s">
        <v>61</v>
      </c>
      <c r="H50" s="397">
        <v>25.0</v>
      </c>
      <c r="I50" s="392" t="s">
        <v>23</v>
      </c>
      <c r="J50" s="300" t="s">
        <v>340</v>
      </c>
      <c r="K50" s="388"/>
      <c r="L50" s="137"/>
      <c r="M50" s="137"/>
      <c r="N50" s="96" t="s">
        <v>343</v>
      </c>
      <c r="O50" s="96"/>
      <c r="P50" s="399"/>
      <c r="Q50" s="396">
        <v>3.0</v>
      </c>
      <c r="R50" s="143"/>
      <c r="S50" s="286" t="s">
        <v>344</v>
      </c>
      <c r="T50" s="251"/>
      <c r="U50" s="121">
        <v>1.0</v>
      </c>
      <c r="V50" s="121"/>
      <c r="W50" s="121"/>
      <c r="X50" s="137"/>
      <c r="Y50" s="137"/>
      <c r="Z50" s="137"/>
      <c r="AA50" s="137"/>
    </row>
    <row r="51" ht="15.75" customHeight="1">
      <c r="A51" s="23">
        <v>5.0</v>
      </c>
      <c r="B51" s="251" t="s">
        <v>40</v>
      </c>
      <c r="C51" s="389">
        <v>954477.0</v>
      </c>
      <c r="D51" s="300" t="s">
        <v>345</v>
      </c>
      <c r="E51" s="300"/>
      <c r="G51" s="390" t="s">
        <v>61</v>
      </c>
      <c r="H51" s="397">
        <v>25.0</v>
      </c>
      <c r="I51" s="392" t="s">
        <v>20</v>
      </c>
      <c r="J51" s="300" t="s">
        <v>340</v>
      </c>
      <c r="K51" s="388"/>
      <c r="L51" s="137"/>
      <c r="M51" s="137"/>
      <c r="N51" s="96" t="s">
        <v>346</v>
      </c>
      <c r="O51" s="96"/>
      <c r="P51" s="400"/>
      <c r="Q51" s="396">
        <f>sum(P52:P53)</f>
        <v>315</v>
      </c>
      <c r="R51" s="143"/>
      <c r="S51" s="286" t="s">
        <v>346</v>
      </c>
      <c r="T51" s="251"/>
      <c r="U51" s="121">
        <f>SUM(U48:U49)</f>
        <v>27</v>
      </c>
      <c r="V51" s="121"/>
      <c r="W51" s="396"/>
      <c r="X51" s="137"/>
      <c r="Y51" s="137"/>
      <c r="Z51" s="137"/>
      <c r="AA51" s="137"/>
    </row>
    <row r="52" ht="15.75" customHeight="1">
      <c r="A52" s="23">
        <v>6.0</v>
      </c>
      <c r="B52" s="251" t="s">
        <v>40</v>
      </c>
      <c r="C52" s="389">
        <v>954410.0</v>
      </c>
      <c r="D52" s="300" t="s">
        <v>347</v>
      </c>
      <c r="E52" s="300"/>
      <c r="F52" s="300"/>
      <c r="G52" s="390" t="s">
        <v>61</v>
      </c>
      <c r="H52" s="397">
        <v>25.0</v>
      </c>
      <c r="I52" s="392" t="s">
        <v>6</v>
      </c>
      <c r="J52" s="300" t="s">
        <v>340</v>
      </c>
      <c r="K52" s="388"/>
      <c r="L52" s="137"/>
      <c r="M52" s="137"/>
      <c r="N52" s="137"/>
      <c r="O52" s="137" t="s">
        <v>338</v>
      </c>
      <c r="P52" s="399">
        <f>P48*Q50</f>
        <v>210</v>
      </c>
      <c r="Q52" s="136">
        <f t="shared" ref="Q52:Q53" si="1">P52+U48</f>
        <v>226</v>
      </c>
      <c r="R52" s="137"/>
      <c r="S52" s="137"/>
      <c r="T52" s="96"/>
      <c r="U52" s="96"/>
      <c r="V52" s="401" t="s">
        <v>348</v>
      </c>
      <c r="W52" s="137"/>
      <c r="X52" s="96"/>
      <c r="Y52" s="137"/>
      <c r="Z52" s="137"/>
      <c r="AA52" s="137"/>
    </row>
    <row r="53" ht="15.75" customHeight="1">
      <c r="A53" s="23">
        <v>7.0</v>
      </c>
      <c r="B53" s="402" t="s">
        <v>39</v>
      </c>
      <c r="C53" s="187">
        <v>954413.0</v>
      </c>
      <c r="D53" s="187" t="s">
        <v>349</v>
      </c>
      <c r="E53" s="187"/>
      <c r="F53" s="187"/>
      <c r="G53" s="390" t="s">
        <v>61</v>
      </c>
      <c r="H53" s="397">
        <v>25.0</v>
      </c>
      <c r="I53" s="392" t="s">
        <v>16</v>
      </c>
      <c r="J53" s="300" t="s">
        <v>340</v>
      </c>
      <c r="K53" s="388"/>
      <c r="L53" s="137"/>
      <c r="M53" s="137"/>
      <c r="N53" s="137"/>
      <c r="O53" s="137" t="s">
        <v>341</v>
      </c>
      <c r="P53" s="399">
        <f>P49*Q50</f>
        <v>105</v>
      </c>
      <c r="Q53" s="136">
        <f t="shared" si="1"/>
        <v>116</v>
      </c>
      <c r="R53" s="137"/>
      <c r="S53" s="137"/>
      <c r="T53" s="96"/>
      <c r="U53" s="96"/>
      <c r="V53" s="96"/>
      <c r="W53" s="96"/>
      <c r="X53" s="137"/>
      <c r="Y53" s="137"/>
      <c r="Z53" s="137"/>
      <c r="AA53" s="137"/>
    </row>
    <row r="54" ht="15.75" customHeight="1">
      <c r="A54" s="23">
        <v>8.0</v>
      </c>
      <c r="B54" s="251" t="s">
        <v>38</v>
      </c>
      <c r="C54" s="389">
        <v>954443.0</v>
      </c>
      <c r="D54" s="300" t="s">
        <v>350</v>
      </c>
      <c r="E54" s="300"/>
      <c r="F54" s="300"/>
      <c r="G54" s="390" t="s">
        <v>61</v>
      </c>
      <c r="H54" s="397">
        <v>25.0</v>
      </c>
      <c r="I54" s="392" t="s">
        <v>17</v>
      </c>
      <c r="J54" s="300" t="s">
        <v>335</v>
      </c>
      <c r="K54" s="388"/>
      <c r="L54" s="137"/>
      <c r="M54" s="137"/>
      <c r="O54" s="230" t="s">
        <v>331</v>
      </c>
      <c r="P54" s="137"/>
      <c r="Q54" s="136">
        <f>Q52+Q53</f>
        <v>342</v>
      </c>
      <c r="W54" s="96"/>
      <c r="X54" s="137"/>
      <c r="Y54" s="137"/>
      <c r="Z54" s="137"/>
      <c r="AA54" s="137"/>
    </row>
    <row r="55" ht="15.75" customHeight="1">
      <c r="A55" s="403">
        <v>9.0</v>
      </c>
      <c r="B55" s="402" t="s">
        <v>39</v>
      </c>
      <c r="C55" s="404">
        <v>954430.0</v>
      </c>
      <c r="D55" s="405"/>
      <c r="E55" s="406"/>
      <c r="F55" s="406"/>
      <c r="G55" s="390" t="s">
        <v>61</v>
      </c>
      <c r="H55" s="397">
        <v>25.0</v>
      </c>
      <c r="I55" s="392" t="s">
        <v>9</v>
      </c>
      <c r="J55" s="407" t="s">
        <v>351</v>
      </c>
      <c r="K55" s="408"/>
      <c r="L55" s="137"/>
      <c r="M55" s="137"/>
      <c r="N55" s="96" t="s">
        <v>352</v>
      </c>
      <c r="O55" s="96"/>
      <c r="P55" s="400"/>
      <c r="Q55" s="396" t="s">
        <v>353</v>
      </c>
      <c r="R55" s="290" t="s">
        <v>354</v>
      </c>
      <c r="S55" s="96"/>
      <c r="T55" s="96"/>
      <c r="U55" s="96"/>
      <c r="V55" s="96"/>
      <c r="W55" s="96"/>
      <c r="X55" s="137"/>
      <c r="Y55" s="137"/>
      <c r="Z55" s="137"/>
      <c r="AA55" s="137"/>
    </row>
    <row r="56" ht="15.75" customHeight="1">
      <c r="A56" s="23">
        <v>10.0</v>
      </c>
      <c r="B56" s="251" t="s">
        <v>39</v>
      </c>
      <c r="C56" s="404">
        <v>954491.0</v>
      </c>
      <c r="D56" s="407" t="s">
        <v>355</v>
      </c>
      <c r="E56" s="183"/>
      <c r="F56" s="300"/>
      <c r="G56" s="390" t="s">
        <v>61</v>
      </c>
      <c r="H56" s="397">
        <v>25.0</v>
      </c>
      <c r="I56" s="392" t="s">
        <v>14</v>
      </c>
      <c r="J56" s="300" t="s">
        <v>340</v>
      </c>
      <c r="K56" s="409"/>
      <c r="L56" s="258"/>
      <c r="M56" s="137"/>
      <c r="N56" s="137"/>
      <c r="O56" s="410" t="s">
        <v>338</v>
      </c>
      <c r="P56" s="200"/>
      <c r="Q56" s="200">
        <f t="shared" ref="Q56:Q57" si="2">Q52/25</f>
        <v>9.04</v>
      </c>
      <c r="R56" s="144" t="s">
        <v>356</v>
      </c>
      <c r="S56" s="378"/>
      <c r="T56" s="96"/>
      <c r="U56" s="96"/>
      <c r="V56" s="96"/>
      <c r="W56" s="137"/>
      <c r="X56" s="137"/>
      <c r="Y56" s="137"/>
      <c r="Z56" s="137"/>
      <c r="AA56" s="137"/>
    </row>
    <row r="57" ht="15.75" customHeight="1">
      <c r="A57" s="23">
        <v>11.0</v>
      </c>
      <c r="B57" s="411" t="s">
        <v>38</v>
      </c>
      <c r="C57" s="412">
        <v>954450.0</v>
      </c>
      <c r="D57" s="407" t="s">
        <v>357</v>
      </c>
      <c r="E57" s="183"/>
      <c r="F57" s="183"/>
      <c r="G57" s="413" t="s">
        <v>61</v>
      </c>
      <c r="H57" s="397">
        <v>25.0</v>
      </c>
      <c r="I57" s="392" t="s">
        <v>22</v>
      </c>
      <c r="J57" s="407" t="s">
        <v>335</v>
      </c>
      <c r="K57" s="409"/>
      <c r="L57" s="137"/>
      <c r="M57" s="137"/>
      <c r="N57" s="137"/>
      <c r="O57" s="199" t="s">
        <v>341</v>
      </c>
      <c r="P57" s="414"/>
      <c r="Q57" s="119">
        <f t="shared" si="2"/>
        <v>4.64</v>
      </c>
      <c r="R57" s="144" t="s">
        <v>356</v>
      </c>
      <c r="S57" s="378"/>
      <c r="T57" s="137"/>
      <c r="U57" s="137"/>
      <c r="V57" s="137"/>
      <c r="W57" s="137"/>
      <c r="X57" s="137"/>
      <c r="Y57" s="137"/>
      <c r="Z57" s="137"/>
      <c r="AA57" s="137"/>
    </row>
    <row r="58" ht="15.75" customHeight="1">
      <c r="A58" s="415">
        <v>12.0</v>
      </c>
      <c r="B58" s="416" t="s">
        <v>38</v>
      </c>
      <c r="C58" s="417">
        <v>954417.0</v>
      </c>
      <c r="D58" s="418" t="s">
        <v>358</v>
      </c>
      <c r="E58" s="419"/>
      <c r="F58" s="419"/>
      <c r="G58" s="420" t="s">
        <v>61</v>
      </c>
      <c r="H58" s="184">
        <v>10.0</v>
      </c>
      <c r="I58" s="421" t="s">
        <v>14</v>
      </c>
      <c r="J58" s="407" t="s">
        <v>335</v>
      </c>
      <c r="K58" s="272" t="s">
        <v>359</v>
      </c>
      <c r="L58" s="137"/>
      <c r="M58" s="137"/>
      <c r="N58" s="137"/>
      <c r="R58" s="137"/>
      <c r="S58" s="137"/>
      <c r="T58" s="137"/>
      <c r="U58" s="137"/>
      <c r="V58" s="137"/>
      <c r="W58" s="290"/>
      <c r="X58" s="137"/>
      <c r="Y58" s="137"/>
      <c r="Z58" s="137"/>
      <c r="AA58" s="137"/>
    </row>
    <row r="59" ht="15.75" customHeight="1">
      <c r="A59" s="23"/>
      <c r="B59" s="251"/>
      <c r="C59" s="389"/>
      <c r="D59" s="300"/>
      <c r="E59" s="196"/>
      <c r="F59" s="6"/>
      <c r="G59" s="183"/>
      <c r="H59" s="95"/>
      <c r="I59" s="392"/>
      <c r="J59" s="258"/>
      <c r="K59" s="272"/>
      <c r="L59" s="137"/>
      <c r="M59" s="137"/>
      <c r="N59" s="422" t="s">
        <v>360</v>
      </c>
      <c r="O59" s="135"/>
      <c r="P59" s="135"/>
      <c r="Q59" s="135"/>
      <c r="R59" s="135"/>
      <c r="S59" s="135"/>
      <c r="T59" s="118"/>
      <c r="U59" s="118"/>
      <c r="V59" s="118"/>
      <c r="W59" s="118"/>
      <c r="X59" s="137"/>
      <c r="Y59" s="137"/>
      <c r="Z59" s="137"/>
      <c r="AA59" s="137"/>
    </row>
    <row r="60" ht="15.75" customHeight="1">
      <c r="A60" s="423"/>
      <c r="B60" s="424"/>
      <c r="C60" s="425"/>
      <c r="D60" s="426"/>
      <c r="E60" s="427" t="s">
        <v>361</v>
      </c>
      <c r="F60" s="428"/>
      <c r="G60" s="429"/>
      <c r="H60" s="430">
        <f>sum(H47:H58)</f>
        <v>285</v>
      </c>
      <c r="I60" s="431"/>
      <c r="J60" s="258">
        <f>Q52</f>
        <v>226</v>
      </c>
      <c r="K60" s="272" t="s">
        <v>362</v>
      </c>
      <c r="L60" s="137"/>
      <c r="M60" s="137"/>
      <c r="N60" s="422" t="s">
        <v>363</v>
      </c>
      <c r="O60" s="135"/>
      <c r="P60" s="135"/>
      <c r="Q60" s="135"/>
      <c r="R60" s="135"/>
      <c r="S60" s="135"/>
      <c r="T60" s="135"/>
      <c r="U60" s="135"/>
      <c r="V60" s="135"/>
      <c r="W60" s="135"/>
      <c r="X60" s="137"/>
      <c r="Y60" s="137"/>
      <c r="Z60" s="137"/>
      <c r="AA60" s="137"/>
    </row>
    <row r="61" ht="15.75" customHeight="1">
      <c r="A61" s="23"/>
      <c r="B61" s="23"/>
      <c r="C61" s="6"/>
      <c r="D61" s="6"/>
      <c r="G61" s="300"/>
      <c r="H61" s="306"/>
      <c r="I61" s="392"/>
      <c r="J61" s="300"/>
      <c r="K61" s="300"/>
      <c r="L61" s="137"/>
      <c r="M61" s="137"/>
      <c r="N61" s="422" t="s">
        <v>364</v>
      </c>
      <c r="O61" s="135"/>
      <c r="P61" s="135"/>
      <c r="Q61" s="135"/>
      <c r="R61" s="135"/>
      <c r="S61" s="135"/>
      <c r="T61" s="135"/>
      <c r="U61" s="135"/>
      <c r="V61" s="135"/>
      <c r="W61" s="135"/>
      <c r="X61" s="137"/>
      <c r="Y61" s="137"/>
      <c r="Z61" s="137"/>
      <c r="AA61" s="137"/>
    </row>
    <row r="62" ht="15.75" customHeight="1">
      <c r="A62" s="415">
        <v>13.0</v>
      </c>
      <c r="B62" s="73" t="s">
        <v>39</v>
      </c>
      <c r="C62" s="418">
        <v>954413.0</v>
      </c>
      <c r="D62" s="432" t="s">
        <v>349</v>
      </c>
      <c r="E62" s="433"/>
      <c r="F62" s="433"/>
      <c r="G62" s="306">
        <v>701.0</v>
      </c>
      <c r="H62" s="391">
        <v>25.0</v>
      </c>
      <c r="I62" s="392" t="s">
        <v>16</v>
      </c>
      <c r="J62" s="300" t="s">
        <v>340</v>
      </c>
      <c r="K62" s="300"/>
      <c r="L62" s="137"/>
      <c r="M62" s="137"/>
      <c r="N62" s="422" t="s">
        <v>365</v>
      </c>
      <c r="O62" s="135"/>
      <c r="P62" s="135"/>
      <c r="Q62" s="135"/>
      <c r="R62" s="135"/>
      <c r="S62" s="135"/>
      <c r="T62" s="135"/>
      <c r="U62" s="135"/>
      <c r="V62" s="135"/>
      <c r="W62" s="135"/>
      <c r="X62" s="137"/>
      <c r="Y62" s="137"/>
      <c r="Z62" s="137"/>
      <c r="AA62" s="137"/>
    </row>
    <row r="63" ht="15.75" customHeight="1">
      <c r="A63" s="415">
        <v>14.0</v>
      </c>
      <c r="B63" s="434" t="s">
        <v>38</v>
      </c>
      <c r="C63" s="417">
        <v>954417.0</v>
      </c>
      <c r="D63" s="418" t="s">
        <v>358</v>
      </c>
      <c r="E63" s="419"/>
      <c r="F63" s="419"/>
      <c r="G63" s="306">
        <v>701.0</v>
      </c>
      <c r="H63" s="184">
        <v>25.0</v>
      </c>
      <c r="I63" s="392" t="s">
        <v>14</v>
      </c>
      <c r="J63" s="407" t="s">
        <v>335</v>
      </c>
      <c r="K63" s="272" t="s">
        <v>366</v>
      </c>
      <c r="L63" s="137"/>
      <c r="M63" s="137"/>
      <c r="X63" s="137"/>
      <c r="Y63" s="137"/>
      <c r="Z63" s="137"/>
      <c r="AA63" s="137"/>
    </row>
    <row r="64" ht="15.75" customHeight="1">
      <c r="A64" s="415">
        <v>15.0</v>
      </c>
      <c r="B64" s="73" t="s">
        <v>39</v>
      </c>
      <c r="C64" s="435">
        <v>954430.0</v>
      </c>
      <c r="D64" s="432"/>
      <c r="E64" s="419"/>
      <c r="F64" s="419"/>
      <c r="G64" s="306">
        <v>701.0</v>
      </c>
      <c r="H64" s="184">
        <v>25.0</v>
      </c>
      <c r="I64" s="392" t="s">
        <v>9</v>
      </c>
      <c r="J64" s="407" t="s">
        <v>335</v>
      </c>
      <c r="K64" s="258"/>
      <c r="L64" s="137"/>
      <c r="M64" s="137"/>
      <c r="X64" s="137"/>
      <c r="Y64" s="137"/>
      <c r="Z64" s="137"/>
      <c r="AA64" s="137"/>
    </row>
    <row r="65" ht="15.75" customHeight="1">
      <c r="A65" s="436">
        <v>16.0</v>
      </c>
      <c r="B65" s="437" t="s">
        <v>39</v>
      </c>
      <c r="C65" s="438">
        <v>253374.0</v>
      </c>
      <c r="D65" s="439" t="s">
        <v>367</v>
      </c>
      <c r="E65" s="440"/>
      <c r="F65" s="440"/>
      <c r="G65" s="391">
        <v>701.0</v>
      </c>
      <c r="H65" s="397">
        <v>25.0</v>
      </c>
      <c r="I65" s="421" t="s">
        <v>368</v>
      </c>
      <c r="J65" s="300" t="s">
        <v>340</v>
      </c>
      <c r="L65" s="137"/>
      <c r="M65" s="137"/>
      <c r="X65" s="137"/>
      <c r="Y65" s="137"/>
      <c r="Z65" s="137"/>
      <c r="AA65" s="137"/>
    </row>
    <row r="66" ht="15.75" customHeight="1">
      <c r="A66" s="415">
        <v>17.0</v>
      </c>
      <c r="B66" s="436" t="s">
        <v>39</v>
      </c>
      <c r="C66" s="169">
        <v>954491.0</v>
      </c>
      <c r="D66" s="439" t="s">
        <v>367</v>
      </c>
      <c r="G66" s="441">
        <v>701.0</v>
      </c>
      <c r="H66" s="441">
        <v>25.0</v>
      </c>
      <c r="I66" s="421" t="s">
        <v>22</v>
      </c>
      <c r="J66" s="442" t="s">
        <v>340</v>
      </c>
      <c r="K66" s="273"/>
      <c r="L66" s="137"/>
      <c r="M66" s="137"/>
      <c r="X66" s="137"/>
      <c r="Y66" s="137"/>
      <c r="Z66" s="137"/>
      <c r="AA66" s="137"/>
    </row>
    <row r="67" ht="15.75" customHeight="1">
      <c r="A67" s="415">
        <v>18.0</v>
      </c>
      <c r="B67" s="443"/>
      <c r="C67" s="199">
        <v>954491.0</v>
      </c>
      <c r="D67" s="199" t="s">
        <v>369</v>
      </c>
      <c r="E67" s="200"/>
      <c r="F67" s="200"/>
      <c r="G67" s="444">
        <v>702.0</v>
      </c>
      <c r="H67" s="444">
        <v>25.0</v>
      </c>
      <c r="I67" s="445" t="s">
        <v>27</v>
      </c>
      <c r="J67" s="199" t="s">
        <v>340</v>
      </c>
      <c r="K67" s="446" t="s">
        <v>370</v>
      </c>
      <c r="L67" s="136"/>
      <c r="M67" s="137"/>
      <c r="X67" s="137"/>
      <c r="Y67" s="137"/>
      <c r="Z67" s="137"/>
      <c r="AA67" s="137"/>
    </row>
    <row r="68" ht="15.75" customHeight="1">
      <c r="A68" s="428"/>
      <c r="B68" s="447"/>
      <c r="C68" s="447"/>
      <c r="D68" s="447"/>
      <c r="E68" s="427" t="s">
        <v>371</v>
      </c>
      <c r="F68" s="428"/>
      <c r="G68" s="448"/>
      <c r="H68" s="430">
        <f>sum(H62:H67)</f>
        <v>150</v>
      </c>
      <c r="I68" s="447"/>
      <c r="J68" s="258">
        <f>Q53</f>
        <v>116</v>
      </c>
      <c r="K68" s="273"/>
      <c r="L68" s="137"/>
      <c r="M68" s="137"/>
      <c r="X68" s="137"/>
      <c r="Y68" s="137"/>
      <c r="Z68" s="137"/>
      <c r="AA68" s="137"/>
    </row>
    <row r="69" ht="15.75" customHeight="1">
      <c r="A69" s="23"/>
      <c r="B69" s="251"/>
      <c r="C69" s="404"/>
      <c r="D69" s="300"/>
      <c r="E69" s="183"/>
      <c r="F69" s="300"/>
      <c r="G69" s="300"/>
      <c r="H69" s="112"/>
      <c r="I69" s="137"/>
      <c r="K69" s="137"/>
      <c r="L69" s="137"/>
      <c r="M69" s="137"/>
      <c r="X69" s="137"/>
      <c r="Y69" s="137"/>
      <c r="Z69" s="137"/>
      <c r="AA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</row>
    <row r="71" ht="15.75" customHeight="1">
      <c r="A71" s="143"/>
      <c r="B71" s="96"/>
      <c r="C71" s="96"/>
      <c r="D71" s="137"/>
      <c r="E71" s="137"/>
      <c r="F71" s="137"/>
      <c r="G71" s="137"/>
      <c r="H71" s="96"/>
      <c r="I71" s="96"/>
      <c r="J71" s="300"/>
      <c r="K71" s="300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96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</row>
    <row r="73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</row>
    <row r="228" ht="15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</row>
    <row r="229" ht="15.75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</row>
    <row r="230" ht="15.75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</row>
    <row r="231" ht="15.75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</row>
    <row r="232" ht="15.75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</row>
    <row r="233" ht="15.75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</row>
    <row r="234" ht="15.75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</row>
    <row r="235" ht="15.75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</row>
    <row r="236" ht="15.75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</row>
    <row r="237" ht="15.75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</row>
    <row r="238" ht="15.75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</row>
    <row r="239" ht="15.75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</row>
    <row r="240" ht="15.75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</row>
    <row r="241" ht="15.75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</row>
    <row r="242" ht="15.75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</row>
    <row r="243" ht="15.75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</row>
    <row r="244" ht="15.75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</row>
    <row r="245" ht="15.75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</row>
    <row r="246" ht="15.75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</row>
    <row r="247" ht="15.75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</row>
    <row r="248" ht="15.75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</row>
    <row r="249" ht="15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</row>
    <row r="250" ht="15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</row>
    <row r="251" ht="15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</row>
    <row r="252" ht="15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</row>
    <row r="253" ht="15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</row>
    <row r="254" ht="15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</row>
    <row r="255" ht="15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</row>
    <row r="256" ht="15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</row>
    <row r="257" ht="15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</row>
    <row r="258" ht="15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</row>
    <row r="259" ht="15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</row>
    <row r="260" ht="15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</row>
    <row r="261" ht="15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</row>
    <row r="262" ht="15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</row>
    <row r="263" ht="15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</row>
    <row r="264" ht="15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</row>
    <row r="265" ht="15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</row>
    <row r="266" ht="15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</row>
    <row r="267" ht="15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</row>
    <row r="268" ht="15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</row>
    <row r="269" ht="15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</row>
    <row r="270" ht="15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</row>
    <row r="271" ht="15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</row>
    <row r="272" ht="15.75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</row>
    <row r="273" ht="15.75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</row>
    <row r="274" ht="15.75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</row>
    <row r="275" ht="15.75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</row>
    <row r="276" ht="15.75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</row>
    <row r="277" ht="15.75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</row>
    <row r="278" ht="15.75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</row>
    <row r="279" ht="15.75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</row>
    <row r="280" ht="15.75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</row>
    <row r="281" ht="15.75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</row>
    <row r="282" ht="15.75" customHeight="1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</row>
    <row r="283" ht="15.75" customHeight="1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</row>
    <row r="284" ht="15.75" customHeight="1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</row>
    <row r="285" ht="15.75" customHeight="1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</row>
    <row r="286" ht="15.75" customHeight="1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</row>
    <row r="287" ht="15.75" customHeight="1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</row>
    <row r="288" ht="15.75" customHeight="1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</row>
    <row r="289" ht="15.75" customHeight="1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</row>
    <row r="290" ht="15.75" customHeight="1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</row>
    <row r="291" ht="15.75" customHeight="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</row>
    <row r="292" ht="15.75" customHeight="1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</row>
    <row r="293" ht="15.75" customHeight="1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</row>
    <row r="294" ht="15.75" customHeight="1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</row>
    <row r="295" ht="15.75" customHeight="1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</row>
    <row r="296" ht="15.75" customHeight="1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</row>
    <row r="297" ht="15.75" customHeight="1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</row>
    <row r="298" ht="15.75" customHeight="1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</row>
    <row r="299" ht="15.75" customHeight="1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</row>
    <row r="300" ht="15.75" customHeight="1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</row>
    <row r="301" ht="15.75" customHeight="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</row>
    <row r="302" ht="15.75" customHeight="1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</row>
    <row r="303" ht="15.75" customHeight="1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</row>
    <row r="304" ht="15.75" customHeight="1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</row>
    <row r="305" ht="15.75" customHeight="1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</row>
    <row r="306" ht="15.75" customHeight="1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</row>
    <row r="307" ht="15.75" customHeight="1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</row>
    <row r="308" ht="15.75" customHeight="1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</row>
    <row r="309" ht="15.75" customHeight="1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</row>
    <row r="310" ht="15.7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</row>
    <row r="311" ht="15.75" customHeight="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</row>
    <row r="312" ht="15.75" customHeight="1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</row>
    <row r="313" ht="15.75" customHeight="1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</row>
    <row r="314" ht="15.75" customHeight="1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</row>
    <row r="315" ht="15.75" customHeight="1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</row>
    <row r="316" ht="15.75" customHeight="1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</row>
    <row r="317" ht="15.75" customHeight="1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</row>
    <row r="318" ht="15.75" customHeight="1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</row>
    <row r="319" ht="15.75" customHeight="1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</row>
    <row r="320" ht="15.75" customHeight="1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</row>
    <row r="321" ht="15.75" customHeight="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</row>
    <row r="322" ht="15.75" customHeight="1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</row>
    <row r="323" ht="15.75" customHeight="1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</row>
    <row r="324" ht="15.75" customHeight="1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</row>
    <row r="325" ht="15.75" customHeight="1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</row>
    <row r="326" ht="15.75" customHeight="1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</row>
    <row r="327" ht="15.75" customHeight="1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</row>
    <row r="328" ht="15.75" customHeight="1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</row>
    <row r="329" ht="15.75" customHeight="1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</row>
    <row r="330" ht="15.75" customHeight="1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</row>
    <row r="331" ht="15.75" customHeight="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</row>
    <row r="332" ht="15.75" customHeight="1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</row>
    <row r="333" ht="15.75" customHeight="1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</row>
    <row r="334" ht="15.75" customHeight="1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</row>
    <row r="335" ht="15.75" customHeight="1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</row>
    <row r="336" ht="15.75" customHeight="1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</row>
    <row r="337" ht="15.75" customHeight="1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</row>
    <row r="338" ht="15.75" customHeight="1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</row>
    <row r="339" ht="15.75" customHeight="1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</row>
    <row r="340" ht="15.75" customHeight="1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</row>
    <row r="341" ht="15.75" customHeight="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</row>
    <row r="342" ht="15.75" customHeight="1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</row>
    <row r="343" ht="15.75" customHeight="1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</row>
    <row r="344" ht="15.75" customHeight="1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</row>
    <row r="345" ht="15.75" customHeight="1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</row>
    <row r="346" ht="15.75" customHeight="1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</row>
    <row r="347" ht="15.75" customHeight="1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</row>
    <row r="348" ht="15.75" customHeight="1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</row>
    <row r="349" ht="15.75" customHeight="1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</row>
    <row r="350" ht="15.75" customHeight="1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</row>
    <row r="351" ht="15.75" customHeight="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</row>
    <row r="352" ht="15.75" customHeight="1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</row>
    <row r="353" ht="15.75" customHeight="1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</row>
    <row r="354" ht="15.75" customHeight="1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</row>
    <row r="355" ht="15.75" customHeight="1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</row>
    <row r="356" ht="15.75" customHeight="1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</row>
    <row r="357" ht="15.75" customHeight="1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</row>
    <row r="358" ht="15.75" customHeight="1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</row>
    <row r="359" ht="15.75" customHeight="1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</row>
    <row r="360" ht="15.75" customHeight="1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</row>
    <row r="361" ht="15.75" customHeight="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</row>
    <row r="362" ht="15.75" customHeight="1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</row>
    <row r="363" ht="15.75" customHeight="1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</row>
    <row r="364" ht="15.75" customHeight="1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</row>
    <row r="365" ht="15.75" customHeight="1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</row>
    <row r="366" ht="15.75" customHeight="1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</row>
    <row r="367" ht="15.75" customHeight="1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</row>
    <row r="368" ht="15.75" customHeight="1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</row>
    <row r="369" ht="15.75" customHeight="1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</row>
    <row r="370" ht="15.75" customHeight="1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</row>
    <row r="371" ht="15.75" customHeight="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</row>
    <row r="372" ht="15.75" customHeight="1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</row>
    <row r="373" ht="15.75" customHeight="1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</row>
    <row r="374" ht="15.75" customHeight="1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</row>
    <row r="375" ht="15.75" customHeight="1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</row>
    <row r="376" ht="15.75" customHeight="1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</row>
    <row r="377" ht="15.75" customHeight="1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</row>
    <row r="378" ht="15.75" customHeight="1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</row>
    <row r="379" ht="15.75" customHeight="1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</row>
    <row r="380" ht="15.75" customHeight="1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</row>
    <row r="381" ht="15.75" customHeight="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</row>
    <row r="382" ht="15.75" customHeight="1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</row>
    <row r="383" ht="15.75" customHeight="1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</row>
    <row r="384" ht="15.75" customHeight="1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</row>
    <row r="385" ht="15.75" customHeight="1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</row>
    <row r="386" ht="15.75" customHeight="1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</row>
    <row r="387" ht="15.75" customHeight="1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</row>
    <row r="388" ht="15.75" customHeight="1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</row>
    <row r="389" ht="15.75" customHeight="1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</row>
    <row r="390" ht="15.75" customHeight="1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</row>
    <row r="391" ht="15.75" customHeight="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</row>
    <row r="392" ht="15.75" customHeight="1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</row>
    <row r="393" ht="15.75" customHeight="1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</row>
    <row r="394" ht="15.75" customHeight="1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</row>
    <row r="395" ht="15.75" customHeight="1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</row>
    <row r="396" ht="15.75" customHeight="1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</row>
    <row r="397" ht="15.75" customHeight="1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</row>
    <row r="398" ht="15.75" customHeight="1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</row>
    <row r="399" ht="15.75" customHeight="1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</row>
    <row r="400" ht="15.75" customHeight="1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</row>
    <row r="401" ht="15.75" customHeight="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</row>
    <row r="402" ht="15.75" customHeight="1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</row>
    <row r="403" ht="15.75" customHeight="1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</row>
    <row r="404" ht="15.75" customHeight="1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</row>
    <row r="405" ht="15.75" customHeight="1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</row>
    <row r="406" ht="15.75" customHeight="1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</row>
    <row r="407" ht="15.75" customHeight="1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</row>
    <row r="408" ht="15.75" customHeight="1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</row>
    <row r="409" ht="15.75" customHeight="1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</row>
    <row r="410" ht="15.75" customHeight="1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</row>
    <row r="411" ht="15.75" customHeight="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</row>
    <row r="412" ht="15.75" customHeight="1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</row>
    <row r="413" ht="15.75" customHeight="1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</row>
    <row r="414" ht="15.75" customHeight="1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</row>
    <row r="415" ht="15.75" customHeight="1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</row>
    <row r="416" ht="15.75" customHeight="1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</row>
    <row r="417" ht="15.75" customHeight="1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</row>
    <row r="418" ht="15.75" customHeight="1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</row>
    <row r="419" ht="15.75" customHeight="1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</row>
    <row r="420" ht="15.75" customHeight="1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</row>
    <row r="421" ht="15.75" customHeight="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</row>
    <row r="422" ht="15.75" customHeight="1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</row>
    <row r="423" ht="15.75" customHeight="1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</row>
    <row r="424" ht="15.75" customHeight="1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</row>
    <row r="425" ht="15.75" customHeight="1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</row>
    <row r="426" ht="15.75" customHeight="1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</row>
    <row r="427" ht="15.75" customHeight="1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</row>
    <row r="428" ht="15.75" customHeight="1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</row>
    <row r="429" ht="15.75" customHeight="1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</row>
    <row r="430" ht="15.75" customHeight="1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</row>
    <row r="431" ht="15.75" customHeight="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</row>
    <row r="432" ht="15.75" customHeight="1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</row>
    <row r="433" ht="15.75" customHeight="1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</row>
    <row r="434" ht="15.75" customHeight="1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</row>
    <row r="435" ht="15.75" customHeight="1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</row>
    <row r="436" ht="15.75" customHeight="1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</row>
    <row r="437" ht="15.75" customHeight="1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</row>
    <row r="438" ht="15.75" customHeight="1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</row>
    <row r="439" ht="15.75" customHeight="1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</row>
    <row r="440" ht="15.75" customHeight="1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</row>
    <row r="441" ht="15.75" customHeight="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</row>
    <row r="442" ht="15.75" customHeight="1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</row>
    <row r="443" ht="15.75" customHeight="1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</row>
    <row r="444" ht="15.75" customHeight="1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</row>
    <row r="445" ht="15.75" customHeight="1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</row>
    <row r="446" ht="15.75" customHeight="1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</row>
    <row r="447" ht="15.75" customHeight="1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</row>
    <row r="448" ht="15.75" customHeight="1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</row>
    <row r="449" ht="15.75" customHeight="1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</row>
    <row r="450" ht="15.75" customHeight="1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</row>
    <row r="451" ht="15.75" customHeight="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</row>
    <row r="452" ht="15.75" customHeight="1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</row>
    <row r="453" ht="15.75" customHeight="1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</row>
    <row r="454" ht="15.75" customHeight="1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</row>
    <row r="455" ht="15.75" customHeight="1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</row>
    <row r="456" ht="15.75" customHeight="1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</row>
    <row r="457" ht="15.75" customHeight="1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</row>
    <row r="458" ht="15.75" customHeight="1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</row>
    <row r="459" ht="15.75" customHeight="1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</row>
    <row r="460" ht="15.75" customHeight="1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</row>
    <row r="461" ht="15.75" customHeight="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</row>
    <row r="462" ht="15.75" customHeight="1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</row>
    <row r="463" ht="15.75" customHeight="1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</row>
    <row r="464" ht="15.75" customHeight="1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</row>
    <row r="465" ht="15.75" customHeight="1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</row>
    <row r="466" ht="15.75" customHeight="1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</row>
    <row r="467" ht="15.75" customHeight="1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</row>
    <row r="468" ht="15.75" customHeight="1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</row>
    <row r="469" ht="15.75" customHeight="1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</row>
    <row r="470" ht="15.75" customHeight="1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</row>
    <row r="471" ht="15.75" customHeight="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</row>
    <row r="472" ht="15.75" customHeight="1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</row>
    <row r="473" ht="15.75" customHeight="1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</row>
    <row r="474" ht="15.75" customHeight="1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</row>
    <row r="475" ht="15.75" customHeight="1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</row>
    <row r="476" ht="15.75" customHeight="1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</row>
    <row r="477" ht="15.75" customHeight="1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</row>
    <row r="478" ht="15.75" customHeight="1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</row>
    <row r="479" ht="15.75" customHeight="1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</row>
    <row r="480" ht="15.75" customHeight="1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</row>
    <row r="481" ht="15.75" customHeight="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</row>
    <row r="482" ht="15.75" customHeight="1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</row>
    <row r="483" ht="15.75" customHeight="1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</row>
    <row r="484" ht="15.75" customHeight="1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</row>
    <row r="485" ht="15.75" customHeight="1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</row>
    <row r="486" ht="15.75" customHeight="1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</row>
    <row r="487" ht="15.75" customHeight="1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</row>
    <row r="488" ht="15.75" customHeight="1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</row>
    <row r="489" ht="15.75" customHeight="1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</row>
    <row r="490" ht="15.75" customHeight="1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</row>
    <row r="491" ht="15.75" customHeight="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</row>
    <row r="492" ht="15.75" customHeight="1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</row>
    <row r="493" ht="15.75" customHeight="1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</row>
    <row r="494" ht="15.75" customHeight="1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</row>
    <row r="495" ht="15.75" customHeight="1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</row>
    <row r="496" ht="15.75" customHeight="1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</row>
    <row r="497" ht="15.75" customHeight="1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</row>
    <row r="498" ht="15.75" customHeight="1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</row>
    <row r="499" ht="15.75" customHeight="1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</row>
    <row r="500" ht="15.75" customHeight="1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</row>
    <row r="501" ht="15.75" customHeight="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</row>
    <row r="502" ht="15.75" customHeight="1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</row>
    <row r="503" ht="15.75" customHeight="1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</row>
    <row r="504" ht="15.75" customHeight="1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</row>
    <row r="505" ht="15.75" customHeight="1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</row>
    <row r="506" ht="15.75" customHeight="1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</row>
    <row r="507" ht="15.75" customHeight="1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</row>
    <row r="508" ht="15.75" customHeight="1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</row>
    <row r="509" ht="15.75" customHeight="1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</row>
    <row r="510" ht="15.75" customHeight="1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</row>
    <row r="511" ht="15.75" customHeight="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</row>
    <row r="512" ht="15.75" customHeight="1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</row>
    <row r="513" ht="15.75" customHeight="1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</row>
    <row r="514" ht="15.75" customHeight="1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</row>
    <row r="515" ht="15.75" customHeight="1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</row>
    <row r="516" ht="15.75" customHeight="1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</row>
    <row r="517" ht="15.75" customHeight="1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</row>
    <row r="518" ht="15.75" customHeight="1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</row>
    <row r="519" ht="15.75" customHeight="1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</row>
    <row r="520" ht="15.75" customHeight="1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</row>
    <row r="521" ht="15.75" customHeight="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</row>
    <row r="522" ht="15.75" customHeight="1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</row>
    <row r="523" ht="15.75" customHeight="1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</row>
    <row r="524" ht="15.75" customHeight="1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</row>
    <row r="525" ht="15.75" customHeight="1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</row>
    <row r="526" ht="15.75" customHeight="1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</row>
    <row r="527" ht="15.75" customHeight="1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</row>
    <row r="528" ht="15.75" customHeight="1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</row>
    <row r="529" ht="15.75" customHeight="1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</row>
    <row r="530" ht="15.75" customHeight="1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</row>
    <row r="531" ht="15.75" customHeight="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</row>
    <row r="532" ht="15.75" customHeight="1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</row>
    <row r="533" ht="15.75" customHeight="1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</row>
    <row r="534" ht="15.75" customHeight="1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</row>
    <row r="535" ht="15.75" customHeight="1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</row>
    <row r="536" ht="15.75" customHeight="1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</row>
    <row r="537" ht="15.75" customHeight="1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</row>
    <row r="538" ht="15.75" customHeight="1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</row>
    <row r="539" ht="15.75" customHeight="1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</row>
    <row r="540" ht="15.75" customHeight="1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</row>
    <row r="541" ht="15.75" customHeight="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</row>
    <row r="542" ht="15.75" customHeight="1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</row>
    <row r="543" ht="15.75" customHeight="1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</row>
    <row r="544" ht="15.75" customHeight="1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</row>
    <row r="545" ht="15.75" customHeight="1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</row>
    <row r="546" ht="15.75" customHeight="1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</row>
    <row r="547" ht="15.75" customHeight="1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</row>
    <row r="548" ht="15.75" customHeight="1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</row>
    <row r="549" ht="15.75" customHeight="1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</row>
    <row r="550" ht="15.75" customHeight="1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</row>
    <row r="551" ht="15.75" customHeight="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</row>
    <row r="552" ht="15.75" customHeight="1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</row>
    <row r="553" ht="15.75" customHeight="1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</row>
    <row r="554" ht="15.75" customHeight="1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</row>
    <row r="555" ht="15.75" customHeight="1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</row>
    <row r="556" ht="15.75" customHeight="1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</row>
    <row r="557" ht="15.75" customHeight="1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</row>
    <row r="558" ht="15.75" customHeight="1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</row>
    <row r="559" ht="15.75" customHeight="1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</row>
    <row r="560" ht="15.75" customHeight="1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</row>
    <row r="561" ht="15.75" customHeight="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</row>
    <row r="562" ht="15.75" customHeight="1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</row>
    <row r="563" ht="15.75" customHeight="1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</row>
    <row r="564" ht="15.75" customHeight="1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</row>
    <row r="565" ht="15.75" customHeight="1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</row>
    <row r="566" ht="15.75" customHeight="1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</row>
    <row r="567" ht="15.75" customHeight="1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</row>
    <row r="568" ht="15.75" customHeight="1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</row>
    <row r="569" ht="15.75" customHeight="1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</row>
    <row r="570" ht="15.75" customHeight="1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</row>
    <row r="571" ht="15.75" customHeight="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</row>
    <row r="572" ht="15.75" customHeight="1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</row>
    <row r="573" ht="15.75" customHeight="1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</row>
    <row r="574" ht="15.75" customHeight="1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</row>
    <row r="575" ht="15.75" customHeight="1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</row>
    <row r="576" ht="15.75" customHeight="1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</row>
    <row r="577" ht="15.75" customHeight="1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</row>
    <row r="578" ht="15.75" customHeight="1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</row>
    <row r="579" ht="15.75" customHeight="1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</row>
    <row r="580" ht="15.75" customHeight="1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</row>
    <row r="581" ht="15.75" customHeight="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</row>
    <row r="582" ht="15.75" customHeight="1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</row>
    <row r="583" ht="15.75" customHeight="1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</row>
    <row r="584" ht="15.75" customHeight="1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</row>
    <row r="585" ht="15.75" customHeight="1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</row>
    <row r="586" ht="15.75" customHeight="1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</row>
    <row r="587" ht="15.75" customHeight="1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</row>
    <row r="588" ht="15.75" customHeight="1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</row>
    <row r="589" ht="15.75" customHeight="1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</row>
    <row r="590" ht="15.75" customHeight="1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</row>
    <row r="591" ht="15.75" customHeight="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</row>
    <row r="592" ht="15.75" customHeight="1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</row>
    <row r="593" ht="15.75" customHeight="1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</row>
    <row r="594" ht="15.75" customHeight="1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</row>
    <row r="595" ht="15.75" customHeight="1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</row>
    <row r="596" ht="15.75" customHeight="1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</row>
    <row r="597" ht="15.75" customHeight="1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</row>
    <row r="598" ht="15.75" customHeight="1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</row>
    <row r="599" ht="15.75" customHeight="1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</row>
    <row r="600" ht="15.75" customHeight="1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</row>
    <row r="601" ht="15.75" customHeight="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</row>
    <row r="602" ht="15.75" customHeight="1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</row>
    <row r="603" ht="15.75" customHeight="1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</row>
    <row r="604" ht="15.75" customHeight="1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</row>
    <row r="605" ht="15.75" customHeight="1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</row>
    <row r="606" ht="15.75" customHeight="1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</row>
    <row r="607" ht="15.75" customHeight="1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</row>
    <row r="608" ht="15.75" customHeight="1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</row>
    <row r="609" ht="15.75" customHeight="1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</row>
    <row r="610" ht="15.75" customHeight="1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</row>
    <row r="611" ht="15.75" customHeight="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</row>
    <row r="612" ht="15.75" customHeight="1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</row>
    <row r="613" ht="15.75" customHeight="1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</row>
    <row r="614" ht="15.75" customHeight="1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</row>
    <row r="615" ht="15.75" customHeight="1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</row>
    <row r="616" ht="15.75" customHeight="1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</row>
    <row r="617" ht="15.75" customHeight="1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</row>
    <row r="618" ht="15.75" customHeight="1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</row>
    <row r="619" ht="15.75" customHeight="1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</row>
    <row r="620" ht="15.75" customHeight="1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</row>
    <row r="621" ht="15.75" customHeight="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</row>
    <row r="622" ht="15.75" customHeight="1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</row>
    <row r="623" ht="15.75" customHeight="1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</row>
    <row r="624" ht="15.75" customHeight="1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</row>
    <row r="625" ht="15.75" customHeight="1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</row>
    <row r="626" ht="15.75" customHeight="1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</row>
    <row r="627" ht="15.75" customHeight="1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</row>
    <row r="628" ht="15.75" customHeight="1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</row>
    <row r="629" ht="15.75" customHeight="1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</row>
    <row r="630" ht="15.75" customHeight="1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</row>
    <row r="631" ht="15.75" customHeight="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</row>
    <row r="632" ht="15.75" customHeight="1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</row>
    <row r="633" ht="15.75" customHeight="1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</row>
    <row r="634" ht="15.75" customHeight="1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</row>
    <row r="635" ht="15.75" customHeight="1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</row>
    <row r="636" ht="15.75" customHeight="1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</row>
    <row r="637" ht="15.75" customHeight="1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</row>
    <row r="638" ht="15.75" customHeight="1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</row>
    <row r="639" ht="15.75" customHeight="1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</row>
    <row r="640" ht="15.75" customHeight="1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</row>
    <row r="641" ht="15.75" customHeight="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</row>
    <row r="642" ht="15.75" customHeight="1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</row>
    <row r="643" ht="15.75" customHeight="1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</row>
    <row r="644" ht="15.75" customHeight="1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</row>
    <row r="645" ht="15.75" customHeight="1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</row>
    <row r="646" ht="15.75" customHeight="1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</row>
    <row r="647" ht="15.75" customHeight="1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</row>
    <row r="648" ht="15.75" customHeight="1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</row>
    <row r="649" ht="15.75" customHeight="1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</row>
    <row r="650" ht="15.75" customHeight="1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</row>
    <row r="651" ht="15.75" customHeight="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</row>
    <row r="652" ht="15.75" customHeight="1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</row>
    <row r="653" ht="15.75" customHeight="1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</row>
    <row r="654" ht="15.75" customHeight="1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</row>
    <row r="655" ht="15.75" customHeight="1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</row>
    <row r="656" ht="15.75" customHeight="1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</row>
    <row r="657" ht="15.75" customHeight="1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</row>
    <row r="658" ht="15.75" customHeight="1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</row>
    <row r="659" ht="15.75" customHeight="1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</row>
    <row r="660" ht="15.75" customHeight="1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</row>
    <row r="661" ht="15.75" customHeight="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</row>
    <row r="662" ht="15.75" customHeight="1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</row>
    <row r="663" ht="15.75" customHeight="1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</row>
    <row r="664" ht="15.75" customHeight="1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</row>
    <row r="665" ht="15.75" customHeight="1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</row>
    <row r="666" ht="15.75" customHeight="1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</row>
    <row r="667" ht="15.75" customHeight="1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</row>
    <row r="668" ht="15.75" customHeight="1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</row>
    <row r="669" ht="15.75" customHeight="1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</row>
    <row r="670" ht="15.75" customHeight="1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</row>
    <row r="671" ht="15.75" customHeight="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</row>
    <row r="672" ht="15.75" customHeight="1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</row>
    <row r="673" ht="15.75" customHeight="1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</row>
    <row r="674" ht="15.75" customHeight="1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</row>
    <row r="675" ht="15.75" customHeight="1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</row>
    <row r="676" ht="15.75" customHeight="1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</row>
    <row r="677" ht="15.75" customHeight="1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</row>
    <row r="678" ht="15.75" customHeight="1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</row>
    <row r="679" ht="15.75" customHeight="1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</row>
    <row r="680" ht="15.75" customHeight="1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</row>
    <row r="681" ht="15.75" customHeight="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</row>
    <row r="682" ht="15.75" customHeight="1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</row>
    <row r="683" ht="15.75" customHeight="1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</row>
    <row r="684" ht="15.75" customHeight="1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</row>
    <row r="685" ht="15.75" customHeight="1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</row>
    <row r="686" ht="15.75" customHeight="1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</row>
    <row r="687" ht="15.75" customHeight="1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</row>
    <row r="688" ht="15.75" customHeight="1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</row>
    <row r="689" ht="15.75" customHeight="1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</row>
    <row r="690" ht="15.75" customHeight="1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</row>
    <row r="691" ht="15.75" customHeight="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</row>
    <row r="692" ht="15.75" customHeight="1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</row>
    <row r="693" ht="15.75" customHeight="1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</row>
    <row r="694" ht="15.75" customHeight="1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</row>
    <row r="695" ht="15.75" customHeight="1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</row>
    <row r="696" ht="15.75" customHeight="1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</row>
    <row r="697" ht="15.75" customHeight="1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</row>
    <row r="698" ht="15.75" customHeight="1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</row>
    <row r="699" ht="15.75" customHeight="1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</row>
    <row r="700" ht="15.75" customHeight="1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</row>
    <row r="701" ht="15.75" customHeight="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</row>
    <row r="702" ht="15.75" customHeight="1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</row>
    <row r="703" ht="15.75" customHeight="1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</row>
    <row r="704" ht="15.75" customHeight="1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</row>
    <row r="705" ht="15.75" customHeight="1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</row>
    <row r="706" ht="15.75" customHeight="1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</row>
    <row r="707" ht="15.75" customHeight="1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</row>
    <row r="708" ht="15.75" customHeight="1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</row>
    <row r="709" ht="15.75" customHeight="1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</row>
    <row r="710" ht="15.75" customHeight="1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</row>
    <row r="711" ht="15.75" customHeight="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</row>
    <row r="712" ht="15.75" customHeight="1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</row>
    <row r="713" ht="15.75" customHeight="1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</row>
    <row r="714" ht="15.75" customHeight="1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</row>
    <row r="715" ht="15.75" customHeight="1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</row>
    <row r="716" ht="15.75" customHeight="1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</row>
    <row r="717" ht="15.75" customHeight="1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</row>
    <row r="718" ht="15.75" customHeight="1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</row>
    <row r="719" ht="15.75" customHeight="1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</row>
    <row r="720" ht="15.75" customHeight="1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</row>
    <row r="721" ht="15.75" customHeight="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</row>
    <row r="722" ht="15.75" customHeight="1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</row>
    <row r="723" ht="15.75" customHeight="1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</row>
    <row r="724" ht="15.75" customHeight="1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</row>
    <row r="725" ht="15.75" customHeight="1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</row>
    <row r="726" ht="15.75" customHeight="1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</row>
    <row r="727" ht="15.75" customHeight="1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</row>
    <row r="728" ht="15.75" customHeight="1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</row>
    <row r="729" ht="15.75" customHeight="1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</row>
    <row r="730" ht="15.75" customHeight="1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</row>
    <row r="731" ht="15.75" customHeight="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</row>
    <row r="732" ht="15.75" customHeight="1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</row>
    <row r="733" ht="15.75" customHeight="1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</row>
    <row r="734" ht="15.75" customHeight="1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</row>
    <row r="735" ht="15.75" customHeight="1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</row>
    <row r="736" ht="15.75" customHeight="1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</row>
    <row r="737" ht="15.75" customHeight="1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</row>
    <row r="738" ht="15.75" customHeight="1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</row>
    <row r="739" ht="15.75" customHeight="1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</row>
    <row r="740" ht="15.75" customHeight="1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</row>
    <row r="741" ht="15.75" customHeight="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</row>
    <row r="742" ht="15.75" customHeight="1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</row>
    <row r="743" ht="15.75" customHeight="1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</row>
    <row r="744" ht="15.75" customHeight="1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</row>
    <row r="745" ht="15.75" customHeight="1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</row>
    <row r="746" ht="15.75" customHeight="1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</row>
    <row r="747" ht="15.75" customHeight="1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</row>
    <row r="748" ht="15.75" customHeight="1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</row>
    <row r="749" ht="15.75" customHeight="1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</row>
    <row r="750" ht="15.75" customHeight="1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</row>
    <row r="751" ht="15.75" customHeight="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</row>
    <row r="752" ht="15.75" customHeight="1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</row>
    <row r="753" ht="15.75" customHeight="1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</row>
    <row r="754" ht="15.75" customHeight="1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</row>
    <row r="755" ht="15.75" customHeight="1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</row>
    <row r="756" ht="15.75" customHeight="1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</row>
    <row r="757" ht="15.75" customHeight="1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</row>
    <row r="758" ht="15.75" customHeight="1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</row>
    <row r="759" ht="15.75" customHeight="1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</row>
    <row r="760" ht="15.75" customHeight="1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</row>
    <row r="761" ht="15.75" customHeight="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</row>
    <row r="762" ht="15.75" customHeight="1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</row>
    <row r="763" ht="15.75" customHeight="1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</row>
    <row r="764" ht="15.75" customHeight="1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</row>
    <row r="765" ht="15.75" customHeight="1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</row>
    <row r="766" ht="15.75" customHeight="1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</row>
    <row r="767" ht="15.75" customHeight="1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</row>
    <row r="768" ht="15.75" customHeight="1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</row>
    <row r="769" ht="15.75" customHeight="1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</row>
    <row r="770" ht="15.75" customHeight="1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</row>
    <row r="771" ht="15.75" customHeight="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</row>
    <row r="772" ht="15.75" customHeight="1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</row>
    <row r="773" ht="15.75" customHeight="1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</row>
    <row r="774" ht="15.75" customHeight="1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</row>
    <row r="775" ht="15.75" customHeight="1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</row>
    <row r="776" ht="15.75" customHeight="1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</row>
    <row r="777" ht="15.75" customHeight="1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</row>
    <row r="778" ht="15.75" customHeight="1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</row>
    <row r="779" ht="15.75" customHeight="1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</row>
    <row r="780" ht="15.75" customHeight="1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</row>
    <row r="781" ht="15.75" customHeight="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</row>
    <row r="782" ht="15.75" customHeight="1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</row>
    <row r="783" ht="15.75" customHeight="1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</row>
    <row r="784" ht="15.75" customHeight="1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</row>
    <row r="785" ht="15.75" customHeight="1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</row>
    <row r="786" ht="15.75" customHeight="1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</row>
    <row r="787" ht="15.75" customHeight="1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</row>
    <row r="788" ht="15.75" customHeight="1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</row>
    <row r="789" ht="15.75" customHeight="1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</row>
    <row r="790" ht="15.75" customHeight="1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</row>
    <row r="791" ht="15.75" customHeight="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</row>
    <row r="792" ht="15.75" customHeight="1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</row>
    <row r="793" ht="15.75" customHeight="1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</row>
    <row r="794" ht="15.75" customHeight="1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</row>
    <row r="795" ht="15.75" customHeight="1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</row>
    <row r="796" ht="15.75" customHeight="1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</row>
    <row r="797" ht="15.75" customHeight="1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</row>
    <row r="798" ht="15.75" customHeight="1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</row>
    <row r="799" ht="15.75" customHeight="1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</row>
    <row r="800" ht="15.75" customHeight="1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</row>
    <row r="801" ht="15.75" customHeight="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</row>
    <row r="802" ht="15.75" customHeight="1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</row>
    <row r="803" ht="15.75" customHeight="1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</row>
    <row r="804" ht="15.75" customHeight="1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</row>
    <row r="805" ht="15.75" customHeight="1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</row>
    <row r="806" ht="15.75" customHeight="1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</row>
    <row r="807" ht="15.75" customHeight="1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</row>
    <row r="808" ht="15.75" customHeight="1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</row>
    <row r="809" ht="15.75" customHeight="1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</row>
    <row r="810" ht="15.75" customHeight="1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</row>
    <row r="811" ht="15.75" customHeight="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</row>
    <row r="812" ht="15.75" customHeight="1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</row>
    <row r="813" ht="15.75" customHeight="1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</row>
    <row r="814" ht="15.75" customHeight="1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</row>
    <row r="815" ht="15.75" customHeight="1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</row>
    <row r="816" ht="15.75" customHeight="1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</row>
    <row r="817" ht="15.75" customHeight="1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</row>
    <row r="818" ht="15.75" customHeight="1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</row>
    <row r="819" ht="15.75" customHeight="1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</row>
    <row r="820" ht="15.75" customHeight="1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</row>
    <row r="821" ht="15.75" customHeight="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</row>
    <row r="822" ht="15.75" customHeight="1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</row>
    <row r="823" ht="15.75" customHeight="1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</row>
    <row r="824" ht="15.75" customHeight="1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</row>
    <row r="825" ht="15.75" customHeight="1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</row>
    <row r="826" ht="15.75" customHeight="1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</row>
    <row r="827" ht="15.75" customHeight="1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</row>
    <row r="828" ht="15.75" customHeight="1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</row>
    <row r="829" ht="15.75" customHeight="1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</row>
    <row r="830" ht="15.75" customHeight="1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</row>
    <row r="831" ht="15.75" customHeight="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</row>
    <row r="832" ht="15.75" customHeight="1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</row>
    <row r="833" ht="15.75" customHeight="1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</row>
    <row r="834" ht="15.75" customHeight="1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</row>
    <row r="835" ht="15.75" customHeight="1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</row>
    <row r="836" ht="15.75" customHeight="1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</row>
    <row r="837" ht="15.75" customHeight="1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</row>
    <row r="838" ht="15.75" customHeight="1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</row>
    <row r="839" ht="15.75" customHeight="1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</row>
    <row r="840" ht="15.75" customHeight="1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</row>
    <row r="841" ht="15.75" customHeight="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</row>
    <row r="842" ht="15.75" customHeight="1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</row>
    <row r="843" ht="15.75" customHeight="1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</row>
    <row r="844" ht="15.75" customHeight="1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</row>
    <row r="845" ht="15.75" customHeight="1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</row>
    <row r="846" ht="15.75" customHeight="1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</row>
    <row r="847" ht="15.75" customHeight="1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</row>
    <row r="848" ht="15.75" customHeight="1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</row>
    <row r="849" ht="15.75" customHeight="1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</row>
    <row r="850" ht="15.75" customHeight="1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</row>
    <row r="851" ht="15.75" customHeight="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</row>
    <row r="852" ht="15.75" customHeight="1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</row>
    <row r="853" ht="15.75" customHeight="1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</row>
    <row r="854" ht="15.75" customHeight="1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</row>
    <row r="855" ht="15.75" customHeight="1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</row>
    <row r="856" ht="15.75" customHeight="1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</row>
    <row r="857" ht="15.75" customHeight="1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</row>
    <row r="858" ht="15.75" customHeight="1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</row>
    <row r="859" ht="15.75" customHeight="1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</row>
    <row r="860" ht="15.75" customHeight="1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</row>
    <row r="861" ht="15.75" customHeight="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</row>
    <row r="862" ht="15.75" customHeight="1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</row>
    <row r="863" ht="15.75" customHeight="1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</row>
    <row r="864" ht="15.75" customHeight="1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</row>
    <row r="865" ht="15.75" customHeight="1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</row>
    <row r="866" ht="15.75" customHeight="1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</row>
    <row r="867" ht="15.75" customHeight="1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</row>
    <row r="868" ht="15.75" customHeight="1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</row>
    <row r="869" ht="15.75" customHeight="1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</row>
    <row r="870" ht="15.75" customHeight="1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</row>
    <row r="871" ht="15.75" customHeight="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</row>
    <row r="872" ht="15.75" customHeight="1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</row>
    <row r="873" ht="15.75" customHeight="1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</row>
    <row r="874" ht="15.75" customHeight="1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</row>
    <row r="875" ht="15.75" customHeight="1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</row>
    <row r="876" ht="15.75" customHeight="1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</row>
    <row r="877" ht="15.75" customHeight="1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</row>
    <row r="878" ht="15.75" customHeight="1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</row>
    <row r="879" ht="15.75" customHeight="1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</row>
    <row r="880" ht="15.75" customHeight="1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</row>
    <row r="881" ht="15.75" customHeight="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</row>
    <row r="882" ht="15.75" customHeight="1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</row>
    <row r="883" ht="15.75" customHeight="1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</row>
    <row r="884" ht="15.75" customHeight="1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</row>
    <row r="885" ht="15.75" customHeight="1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</row>
    <row r="886" ht="15.75" customHeight="1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</row>
    <row r="887" ht="15.75" customHeight="1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</row>
    <row r="888" ht="15.75" customHeight="1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</row>
    <row r="889" ht="15.75" customHeight="1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</row>
    <row r="890" ht="15.75" customHeight="1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</row>
    <row r="891" ht="15.75" customHeight="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</row>
    <row r="892" ht="15.75" customHeight="1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</row>
    <row r="893" ht="15.75" customHeight="1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</row>
    <row r="894" ht="15.75" customHeight="1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</row>
    <row r="895" ht="15.75" customHeight="1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</row>
    <row r="896" ht="15.75" customHeight="1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</row>
    <row r="897" ht="15.75" customHeight="1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</row>
    <row r="898" ht="15.75" customHeight="1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</row>
    <row r="899" ht="15.75" customHeight="1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</row>
    <row r="900" ht="15.75" customHeight="1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</row>
    <row r="901" ht="15.75" customHeight="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</row>
    <row r="902" ht="15.75" customHeight="1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</row>
    <row r="903" ht="15.75" customHeight="1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</row>
    <row r="904" ht="15.75" customHeight="1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</row>
    <row r="905" ht="15.75" customHeight="1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</row>
    <row r="906" ht="15.75" customHeight="1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</row>
    <row r="907" ht="15.75" customHeight="1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</row>
    <row r="908" ht="15.75" customHeight="1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</row>
    <row r="909" ht="15.75" customHeight="1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</row>
    <row r="910" ht="15.75" customHeight="1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</row>
    <row r="911" ht="15.75" customHeight="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</row>
    <row r="912" ht="15.75" customHeight="1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</row>
    <row r="913" ht="15.75" customHeight="1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</row>
    <row r="914" ht="15.75" customHeight="1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</row>
    <row r="915" ht="15.75" customHeight="1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</row>
    <row r="916" ht="15.75" customHeight="1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</row>
    <row r="917" ht="15.75" customHeight="1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</row>
    <row r="918" ht="15.75" customHeight="1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</row>
    <row r="919" ht="15.75" customHeight="1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</row>
    <row r="920" ht="15.75" customHeight="1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</row>
    <row r="921" ht="15.75" customHeight="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</row>
    <row r="922" ht="15.75" customHeight="1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</row>
    <row r="923" ht="15.75" customHeight="1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</row>
    <row r="924" ht="15.75" customHeight="1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</row>
    <row r="925" ht="15.75" customHeight="1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</row>
    <row r="926" ht="15.75" customHeight="1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</row>
    <row r="927" ht="15.75" customHeight="1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</row>
    <row r="928" ht="15.75" customHeight="1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</row>
    <row r="929" ht="15.75" customHeight="1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</row>
    <row r="930" ht="15.75" customHeight="1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</row>
    <row r="931" ht="15.75" customHeight="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</row>
    <row r="932" ht="15.75" customHeight="1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</row>
    <row r="933" ht="15.75" customHeight="1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</row>
    <row r="934" ht="15.75" customHeight="1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</row>
    <row r="935" ht="15.75" customHeight="1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</row>
    <row r="936" ht="15.75" customHeight="1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</row>
    <row r="937" ht="15.75" customHeight="1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</row>
    <row r="938" ht="15.75" customHeight="1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</row>
    <row r="939" ht="15.75" customHeight="1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</row>
    <row r="940" ht="15.75" customHeight="1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</row>
    <row r="941" ht="15.75" customHeight="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</row>
    <row r="942" ht="15.75" customHeight="1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</row>
    <row r="943" ht="15.75" customHeight="1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</row>
    <row r="944" ht="15.75" customHeight="1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</row>
    <row r="945" ht="15.75" customHeight="1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</row>
    <row r="946" ht="15.75" customHeight="1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</row>
    <row r="947" ht="15.75" customHeight="1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</row>
    <row r="948" ht="15.75" customHeight="1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</row>
    <row r="949" ht="15.75" customHeight="1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</row>
    <row r="950" ht="15.75" customHeight="1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</row>
    <row r="951" ht="15.75" customHeight="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</row>
    <row r="952" ht="15.75" customHeight="1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</row>
    <row r="953" ht="15.75" customHeight="1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</row>
    <row r="954" ht="15.75" customHeight="1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</row>
    <row r="955" ht="15.75" customHeight="1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</row>
    <row r="956" ht="15.75" customHeight="1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</row>
    <row r="957" ht="15.75" customHeight="1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</row>
    <row r="958" ht="15.75" customHeight="1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</row>
    <row r="959" ht="15.75" customHeight="1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</row>
    <row r="960" ht="15.75" customHeight="1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</row>
    <row r="961" ht="15.75" customHeight="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</row>
    <row r="962" ht="15.75" customHeight="1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</row>
    <row r="963" ht="15.75" customHeight="1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</row>
    <row r="964" ht="15.75" customHeight="1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</row>
    <row r="965" ht="15.75" customHeight="1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</row>
    <row r="966" ht="15.75" customHeight="1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</row>
    <row r="967" ht="15.75" customHeight="1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</row>
    <row r="968" ht="15.75" customHeight="1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</row>
    <row r="969" ht="15.75" customHeight="1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</row>
    <row r="970" ht="15.75" customHeight="1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</row>
    <row r="971" ht="15.75" customHeight="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</row>
    <row r="972" ht="15.75" customHeight="1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</row>
    <row r="973" ht="15.75" customHeight="1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</row>
    <row r="974" ht="15.75" customHeight="1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</row>
    <row r="975" ht="15.75" customHeight="1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</row>
    <row r="976" ht="15.75" customHeight="1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</row>
    <row r="977" ht="15.75" customHeight="1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</row>
    <row r="978" ht="15.75" customHeight="1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</row>
    <row r="979" ht="15.75" customHeight="1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</row>
    <row r="980" ht="15.75" customHeight="1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</row>
    <row r="981" ht="15.75" customHeight="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</row>
    <row r="982" ht="15.75" customHeight="1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</row>
    <row r="983" ht="15.75" customHeight="1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</row>
    <row r="984" ht="15.75" customHeight="1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</row>
    <row r="985" ht="15.75" customHeight="1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</row>
    <row r="986" ht="15.75" customHeight="1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</row>
    <row r="987" ht="15.75" customHeight="1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</row>
    <row r="988" ht="15.75" customHeight="1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</row>
    <row r="989" ht="15.75" customHeight="1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</row>
    <row r="990" ht="15.75" customHeight="1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</row>
    <row r="991" ht="15.75" customHeight="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</row>
    <row r="992" ht="15.75" customHeight="1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</row>
    <row r="993" ht="15.75" customHeight="1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</row>
    <row r="994" ht="15.75" customHeight="1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</row>
    <row r="995" ht="15.75" customHeight="1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</row>
    <row r="996" ht="15.75" customHeight="1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</row>
    <row r="997" ht="15.75" customHeight="1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</row>
    <row r="998" ht="15.75" customHeight="1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</row>
    <row r="999" ht="15.75" customHeight="1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</row>
    <row r="1000" ht="15.75" customHeight="1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</row>
    <row r="1001" ht="15.75" customHeight="1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</row>
    <row r="1002" ht="15.75" customHeight="1">
      <c r="A1002" s="137"/>
      <c r="B1002" s="137"/>
      <c r="C1002" s="137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  <c r="AA1002" s="137"/>
    </row>
    <row r="1003" ht="15.75" customHeight="1">
      <c r="A1003" s="137"/>
      <c r="B1003" s="137"/>
      <c r="C1003" s="137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  <c r="AA1003" s="137"/>
    </row>
    <row r="1004" ht="15.75" customHeight="1">
      <c r="A1004" s="137"/>
      <c r="B1004" s="137"/>
      <c r="C1004" s="137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7"/>
      <c r="V1004" s="137"/>
      <c r="W1004" s="137"/>
      <c r="X1004" s="137"/>
      <c r="Y1004" s="137"/>
      <c r="Z1004" s="137"/>
      <c r="AA1004" s="137"/>
    </row>
    <row r="1005" ht="15.75" customHeight="1">
      <c r="A1005" s="137"/>
      <c r="B1005" s="137"/>
      <c r="C1005" s="137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7"/>
      <c r="V1005" s="137"/>
      <c r="W1005" s="137"/>
      <c r="X1005" s="137"/>
      <c r="Y1005" s="137"/>
      <c r="Z1005" s="137"/>
      <c r="AA1005" s="137"/>
    </row>
    <row r="1006" ht="15.75" customHeight="1">
      <c r="A1006" s="137"/>
      <c r="B1006" s="137"/>
      <c r="C1006" s="137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7"/>
      <c r="V1006" s="137"/>
      <c r="W1006" s="137"/>
      <c r="X1006" s="137"/>
      <c r="Y1006" s="137"/>
      <c r="Z1006" s="137"/>
      <c r="AA1006" s="137"/>
    </row>
    <row r="1007" ht="15.75" customHeight="1"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  <c r="AA1007" s="137"/>
    </row>
    <row r="1008" ht="15.75" customHeight="1"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7"/>
      <c r="V1008" s="137"/>
      <c r="W1008" s="137"/>
      <c r="X1008" s="137"/>
      <c r="Y1008" s="137"/>
      <c r="Z1008" s="137"/>
      <c r="AA1008" s="137"/>
    </row>
  </sheetData>
  <mergeCells count="69">
    <mergeCell ref="L9:N9"/>
    <mergeCell ref="O9:Q9"/>
    <mergeCell ref="N3:O3"/>
    <mergeCell ref="P3:Q3"/>
    <mergeCell ref="A4:A11"/>
    <mergeCell ref="E4:J4"/>
    <mergeCell ref="L4:N4"/>
    <mergeCell ref="O4:Q4"/>
    <mergeCell ref="E5:J5"/>
    <mergeCell ref="R3:S3"/>
    <mergeCell ref="T3:U3"/>
    <mergeCell ref="A1:W1"/>
    <mergeCell ref="B3:C3"/>
    <mergeCell ref="D3:E3"/>
    <mergeCell ref="F3:G3"/>
    <mergeCell ref="H3:I3"/>
    <mergeCell ref="J3:K3"/>
    <mergeCell ref="L3:M3"/>
    <mergeCell ref="V3:W3"/>
    <mergeCell ref="L5:N5"/>
    <mergeCell ref="O5:Q5"/>
    <mergeCell ref="L6:N6"/>
    <mergeCell ref="O6:Q6"/>
    <mergeCell ref="L7:N7"/>
    <mergeCell ref="O7:Q7"/>
    <mergeCell ref="L8:N8"/>
    <mergeCell ref="O8:Q8"/>
    <mergeCell ref="L16:Q16"/>
    <mergeCell ref="A12:A14"/>
    <mergeCell ref="A15:A16"/>
    <mergeCell ref="B15:G15"/>
    <mergeCell ref="E17:J17"/>
    <mergeCell ref="A25:A28"/>
    <mergeCell ref="B25:D25"/>
    <mergeCell ref="D39:H39"/>
    <mergeCell ref="N39:O39"/>
    <mergeCell ref="P39:T39"/>
    <mergeCell ref="N40:O40"/>
    <mergeCell ref="E25:J25"/>
    <mergeCell ref="L25:O25"/>
    <mergeCell ref="P25:S25"/>
    <mergeCell ref="E26:J26"/>
    <mergeCell ref="L26:O26"/>
    <mergeCell ref="P26:S26"/>
    <mergeCell ref="E27:J27"/>
    <mergeCell ref="E28:J28"/>
    <mergeCell ref="B12:D12"/>
    <mergeCell ref="E12:J12"/>
    <mergeCell ref="L12:O12"/>
    <mergeCell ref="P12:S12"/>
    <mergeCell ref="E13:J13"/>
    <mergeCell ref="L13:Q13"/>
    <mergeCell ref="A17:A24"/>
    <mergeCell ref="L14:Q14"/>
    <mergeCell ref="L15:Q15"/>
    <mergeCell ref="L17:N17"/>
    <mergeCell ref="O17:Q17"/>
    <mergeCell ref="E18:J18"/>
    <mergeCell ref="L18:N18"/>
    <mergeCell ref="O18:Q18"/>
    <mergeCell ref="L19:N19"/>
    <mergeCell ref="O19:Q19"/>
    <mergeCell ref="B20:I20"/>
    <mergeCell ref="L20:N20"/>
    <mergeCell ref="O20:Q20"/>
    <mergeCell ref="L21:N21"/>
    <mergeCell ref="O21:Q21"/>
    <mergeCell ref="L22:N22"/>
    <mergeCell ref="O22:Q22"/>
  </mergeCells>
  <dataValidations>
    <dataValidation type="list" allowBlank="1" sqref="I47:I67">
      <formula1>'รายขื่ออาจารย์'!$B$2:$B$32</formula1>
    </dataValidation>
  </dataValidations>
  <hyperlinks>
    <hyperlink r:id="rId1" ref="E4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86"/>
    <col customWidth="1" min="3" max="6" width="7.14"/>
    <col customWidth="1" min="7" max="7" width="7.71"/>
    <col customWidth="1" min="8" max="12" width="7.14"/>
    <col customWidth="1" min="13" max="13" width="9.57"/>
    <col customWidth="1" min="14" max="21" width="7.14"/>
    <col customWidth="1" min="22" max="23" width="7.43"/>
    <col customWidth="1" min="24" max="27" width="6.43"/>
  </cols>
  <sheetData>
    <row r="1" ht="34.5" customHeight="1">
      <c r="A1" s="180" t="s">
        <v>372</v>
      </c>
      <c r="V1" s="96"/>
      <c r="W1" s="96"/>
      <c r="X1" s="300"/>
      <c r="Y1" s="300"/>
      <c r="Z1" s="300"/>
      <c r="AA1" s="300"/>
    </row>
    <row r="2" ht="6.0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300"/>
      <c r="Y2" s="300"/>
      <c r="Z2" s="300"/>
      <c r="AA2" s="300"/>
    </row>
    <row r="3" ht="18.75" customHeight="1">
      <c r="A3" s="97"/>
      <c r="B3" s="449" t="s">
        <v>104</v>
      </c>
      <c r="C3" s="102"/>
      <c r="D3" s="449" t="s">
        <v>105</v>
      </c>
      <c r="E3" s="102"/>
      <c r="F3" s="450" t="s">
        <v>106</v>
      </c>
      <c r="G3" s="99"/>
      <c r="H3" s="450" t="s">
        <v>107</v>
      </c>
      <c r="I3" s="99"/>
      <c r="J3" s="450" t="s">
        <v>108</v>
      </c>
      <c r="K3" s="99"/>
      <c r="L3" s="450" t="s">
        <v>109</v>
      </c>
      <c r="M3" s="99"/>
      <c r="N3" s="450" t="s">
        <v>110</v>
      </c>
      <c r="O3" s="99"/>
      <c r="P3" s="449" t="s">
        <v>111</v>
      </c>
      <c r="Q3" s="102"/>
      <c r="R3" s="449" t="s">
        <v>112</v>
      </c>
      <c r="S3" s="102"/>
      <c r="T3" s="449" t="s">
        <v>113</v>
      </c>
      <c r="U3" s="102"/>
      <c r="V3" s="96"/>
      <c r="W3" s="96"/>
      <c r="X3" s="300"/>
      <c r="Y3" s="300"/>
      <c r="Z3" s="300"/>
      <c r="AA3" s="300"/>
    </row>
    <row r="4" ht="18.0" customHeight="1">
      <c r="A4" s="451" t="s">
        <v>115</v>
      </c>
      <c r="B4" s="452"/>
      <c r="C4" s="110"/>
      <c r="D4" s="110"/>
      <c r="E4" s="110"/>
      <c r="F4" s="110"/>
      <c r="G4" s="110"/>
      <c r="H4" s="453"/>
      <c r="I4" s="453"/>
      <c r="J4" s="106"/>
      <c r="K4" s="106"/>
      <c r="L4" s="106"/>
      <c r="M4" s="454"/>
      <c r="N4" s="106"/>
      <c r="O4" s="110"/>
      <c r="P4" s="110"/>
      <c r="Q4" s="110"/>
      <c r="R4" s="106"/>
      <c r="S4" s="106"/>
      <c r="T4" s="106"/>
      <c r="U4" s="111"/>
      <c r="V4" s="96"/>
      <c r="W4" s="96"/>
      <c r="X4" s="300"/>
      <c r="Y4" s="300"/>
      <c r="Z4" s="300"/>
      <c r="AA4" s="300"/>
    </row>
    <row r="5" ht="18.0" customHeight="1">
      <c r="A5" s="138"/>
      <c r="B5" s="455"/>
      <c r="C5" s="137"/>
      <c r="D5" s="137"/>
      <c r="E5" s="137"/>
      <c r="F5" s="137"/>
      <c r="G5" s="137"/>
      <c r="H5" s="180"/>
      <c r="I5" s="180"/>
      <c r="J5" s="96"/>
      <c r="K5" s="96"/>
      <c r="L5" s="96"/>
      <c r="M5" s="387"/>
      <c r="N5" s="96"/>
      <c r="O5" s="137"/>
      <c r="P5" s="137"/>
      <c r="Q5" s="137"/>
      <c r="R5" s="96"/>
      <c r="S5" s="96"/>
      <c r="T5" s="96"/>
      <c r="U5" s="149"/>
      <c r="V5" s="137"/>
      <c r="W5" s="137"/>
      <c r="X5" s="137"/>
      <c r="Y5" s="137"/>
      <c r="Z5" s="137"/>
      <c r="AA5" s="137"/>
    </row>
    <row r="6" ht="18.0" customHeight="1">
      <c r="A6" s="138"/>
      <c r="B6" s="455"/>
      <c r="C6" s="137"/>
      <c r="D6" s="137"/>
      <c r="E6" s="137"/>
      <c r="F6" s="137"/>
      <c r="G6" s="137"/>
      <c r="H6" s="180"/>
      <c r="I6" s="180"/>
      <c r="J6" s="96"/>
      <c r="K6" s="96"/>
      <c r="L6" s="96"/>
      <c r="M6" s="387"/>
      <c r="N6" s="96"/>
      <c r="O6" s="137"/>
      <c r="P6" s="137"/>
      <c r="Q6" s="137"/>
      <c r="R6" s="96"/>
      <c r="S6" s="96"/>
      <c r="T6" s="96"/>
      <c r="U6" s="149"/>
      <c r="V6" s="137"/>
      <c r="W6" s="137"/>
      <c r="X6" s="137"/>
      <c r="Y6" s="137"/>
      <c r="Z6" s="137"/>
      <c r="AA6" s="137"/>
    </row>
    <row r="7" ht="18.0" customHeight="1">
      <c r="A7" s="150"/>
      <c r="B7" s="456"/>
      <c r="C7" s="222"/>
      <c r="D7" s="222"/>
      <c r="E7" s="222"/>
      <c r="F7" s="222"/>
      <c r="G7" s="222"/>
      <c r="H7" s="457"/>
      <c r="I7" s="457"/>
      <c r="J7" s="156"/>
      <c r="K7" s="156"/>
      <c r="L7" s="156"/>
      <c r="M7" s="458"/>
      <c r="N7" s="156"/>
      <c r="O7" s="222"/>
      <c r="P7" s="222"/>
      <c r="Q7" s="222"/>
      <c r="R7" s="156"/>
      <c r="S7" s="156"/>
      <c r="T7" s="156"/>
      <c r="U7" s="153"/>
      <c r="V7" s="137"/>
      <c r="W7" s="137"/>
      <c r="X7" s="137"/>
      <c r="Y7" s="137"/>
      <c r="Z7" s="137"/>
      <c r="AA7" s="137"/>
    </row>
    <row r="8" ht="15.75" customHeight="1">
      <c r="A8" s="451" t="s">
        <v>131</v>
      </c>
      <c r="B8" s="455"/>
      <c r="C8" s="137"/>
      <c r="D8" s="137"/>
      <c r="E8" s="137"/>
      <c r="F8" s="137"/>
      <c r="G8" s="137"/>
      <c r="H8" s="180"/>
      <c r="I8" s="180"/>
      <c r="J8" s="96"/>
      <c r="K8" s="96"/>
      <c r="L8" s="96"/>
      <c r="M8" s="387"/>
      <c r="N8" s="96"/>
      <c r="O8" s="137"/>
      <c r="P8" s="137"/>
      <c r="Q8" s="137"/>
      <c r="R8" s="96"/>
      <c r="S8" s="96"/>
      <c r="T8" s="96"/>
      <c r="U8" s="149"/>
      <c r="V8" s="137"/>
      <c r="W8" s="137"/>
      <c r="X8" s="137"/>
      <c r="Y8" s="137"/>
      <c r="Z8" s="137"/>
      <c r="AA8" s="137"/>
    </row>
    <row r="9" ht="18.0" customHeight="1">
      <c r="A9" s="138"/>
      <c r="B9" s="455"/>
      <c r="C9" s="137"/>
      <c r="D9" s="137"/>
      <c r="E9" s="137"/>
      <c r="F9" s="137"/>
      <c r="G9" s="137"/>
      <c r="H9" s="180"/>
      <c r="I9" s="180"/>
      <c r="J9" s="96"/>
      <c r="K9" s="96"/>
      <c r="L9" s="96"/>
      <c r="M9" s="387"/>
      <c r="N9" s="96"/>
      <c r="O9" s="137"/>
      <c r="P9" s="137"/>
      <c r="Q9" s="137"/>
      <c r="R9" s="96"/>
      <c r="S9" s="96"/>
      <c r="T9" s="96"/>
      <c r="U9" s="149"/>
      <c r="V9" s="137"/>
      <c r="W9" s="137"/>
      <c r="X9" s="137"/>
      <c r="Y9" s="137"/>
      <c r="Z9" s="137"/>
      <c r="AA9" s="137"/>
    </row>
    <row r="10" ht="18.0" customHeight="1">
      <c r="A10" s="138"/>
      <c r="B10" s="455"/>
      <c r="C10" s="137"/>
      <c r="D10" s="137"/>
      <c r="E10" s="137"/>
      <c r="F10" s="137"/>
      <c r="G10" s="137"/>
      <c r="H10" s="180"/>
      <c r="I10" s="180"/>
      <c r="J10" s="96"/>
      <c r="K10" s="96"/>
      <c r="L10" s="96"/>
      <c r="M10" s="387"/>
      <c r="N10" s="96"/>
      <c r="O10" s="137"/>
      <c r="P10" s="137"/>
      <c r="Q10" s="137"/>
      <c r="R10" s="96"/>
      <c r="S10" s="96"/>
      <c r="T10" s="96"/>
      <c r="U10" s="149"/>
      <c r="V10" s="137"/>
      <c r="W10" s="137"/>
      <c r="X10" s="137"/>
      <c r="Y10" s="137"/>
      <c r="Z10" s="137"/>
      <c r="AA10" s="137"/>
    </row>
    <row r="11" ht="18.0" customHeight="1">
      <c r="A11" s="150"/>
      <c r="B11" s="455"/>
      <c r="C11" s="137"/>
      <c r="D11" s="137"/>
      <c r="E11" s="137"/>
      <c r="F11" s="137"/>
      <c r="G11" s="137"/>
      <c r="H11" s="180"/>
      <c r="I11" s="180"/>
      <c r="J11" s="96"/>
      <c r="K11" s="96"/>
      <c r="L11" s="96"/>
      <c r="M11" s="387"/>
      <c r="N11" s="96"/>
      <c r="O11" s="137"/>
      <c r="P11" s="137"/>
      <c r="Q11" s="137"/>
      <c r="R11" s="96"/>
      <c r="S11" s="96"/>
      <c r="T11" s="96"/>
      <c r="U11" s="149"/>
      <c r="V11" s="137"/>
      <c r="W11" s="137"/>
      <c r="X11" s="137"/>
      <c r="Y11" s="137"/>
      <c r="Z11" s="137"/>
      <c r="AA11" s="137"/>
    </row>
    <row r="12" ht="18.0" customHeight="1">
      <c r="A12" s="451" t="s">
        <v>152</v>
      </c>
      <c r="B12" s="452"/>
      <c r="C12" s="110"/>
      <c r="D12" s="110"/>
      <c r="E12" s="110"/>
      <c r="F12" s="110"/>
      <c r="G12" s="110"/>
      <c r="H12" s="453"/>
      <c r="I12" s="453"/>
      <c r="J12" s="106"/>
      <c r="K12" s="106"/>
      <c r="L12" s="106"/>
      <c r="M12" s="454"/>
      <c r="N12" s="106"/>
      <c r="O12" s="110"/>
      <c r="P12" s="110"/>
      <c r="Q12" s="110"/>
      <c r="R12" s="106"/>
      <c r="S12" s="106"/>
      <c r="T12" s="106"/>
      <c r="U12" s="111"/>
      <c r="V12" s="137"/>
      <c r="W12" s="137"/>
      <c r="X12" s="137"/>
      <c r="Y12" s="137"/>
      <c r="Z12" s="137"/>
      <c r="AA12" s="137"/>
    </row>
    <row r="13" ht="18.75" customHeight="1">
      <c r="A13" s="150"/>
      <c r="B13" s="456"/>
      <c r="C13" s="222"/>
      <c r="D13" s="222"/>
      <c r="E13" s="222"/>
      <c r="F13" s="222"/>
      <c r="G13" s="222"/>
      <c r="H13" s="457"/>
      <c r="I13" s="457"/>
      <c r="J13" s="156"/>
      <c r="K13" s="156"/>
      <c r="L13" s="156"/>
      <c r="M13" s="458"/>
      <c r="N13" s="156"/>
      <c r="O13" s="222"/>
      <c r="P13" s="222"/>
      <c r="Q13" s="222"/>
      <c r="R13" s="156"/>
      <c r="S13" s="156"/>
      <c r="T13" s="156"/>
      <c r="U13" s="153"/>
      <c r="V13" s="137"/>
      <c r="W13" s="137"/>
      <c r="X13" s="137"/>
      <c r="Y13" s="137"/>
      <c r="Z13" s="137"/>
      <c r="AA13" s="137"/>
    </row>
    <row r="14" ht="18.0" customHeight="1">
      <c r="A14" s="451" t="s">
        <v>153</v>
      </c>
      <c r="B14" s="455"/>
      <c r="C14" s="137"/>
      <c r="D14" s="137"/>
      <c r="E14" s="137"/>
      <c r="F14" s="137"/>
      <c r="G14" s="137"/>
      <c r="H14" s="180"/>
      <c r="I14" s="180"/>
      <c r="J14" s="96"/>
      <c r="K14" s="96"/>
      <c r="L14" s="96"/>
      <c r="M14" s="387"/>
      <c r="N14" s="96"/>
      <c r="O14" s="137"/>
      <c r="P14" s="137"/>
      <c r="Q14" s="137"/>
      <c r="R14" s="96"/>
      <c r="S14" s="96"/>
      <c r="T14" s="96"/>
      <c r="U14" s="149"/>
      <c r="V14" s="137"/>
      <c r="W14" s="137"/>
      <c r="X14" s="137"/>
      <c r="Y14" s="137"/>
      <c r="Z14" s="137"/>
      <c r="AA14" s="137"/>
    </row>
    <row r="15" ht="18.0" customHeight="1">
      <c r="A15" s="138"/>
      <c r="B15" s="455"/>
      <c r="C15" s="137"/>
      <c r="D15" s="137"/>
      <c r="E15" s="137"/>
      <c r="F15" s="137"/>
      <c r="G15" s="137"/>
      <c r="H15" s="180"/>
      <c r="I15" s="180"/>
      <c r="J15" s="96"/>
      <c r="K15" s="96"/>
      <c r="L15" s="96"/>
      <c r="M15" s="387"/>
      <c r="N15" s="96"/>
      <c r="O15" s="137"/>
      <c r="P15" s="137"/>
      <c r="Q15" s="137"/>
      <c r="R15" s="96"/>
      <c r="S15" s="96"/>
      <c r="T15" s="96"/>
      <c r="U15" s="149"/>
      <c r="V15" s="137"/>
      <c r="W15" s="137"/>
      <c r="X15" s="137"/>
      <c r="Y15" s="137"/>
      <c r="Z15" s="137"/>
      <c r="AA15" s="137"/>
    </row>
    <row r="16" ht="18.0" customHeight="1">
      <c r="A16" s="138"/>
      <c r="B16" s="455"/>
      <c r="C16" s="137"/>
      <c r="D16" s="137"/>
      <c r="E16" s="137"/>
      <c r="F16" s="137"/>
      <c r="G16" s="137"/>
      <c r="H16" s="180"/>
      <c r="I16" s="180"/>
      <c r="J16" s="96"/>
      <c r="K16" s="96"/>
      <c r="L16" s="96"/>
      <c r="M16" s="387"/>
      <c r="N16" s="96"/>
      <c r="O16" s="137"/>
      <c r="P16" s="137"/>
      <c r="Q16" s="137"/>
      <c r="R16" s="96"/>
      <c r="S16" s="96"/>
      <c r="T16" s="96"/>
      <c r="U16" s="149"/>
      <c r="V16" s="137"/>
      <c r="W16" s="137"/>
      <c r="X16" s="137"/>
      <c r="Y16" s="137"/>
      <c r="Z16" s="137"/>
      <c r="AA16" s="137"/>
    </row>
    <row r="17" ht="18.0" customHeight="1">
      <c r="A17" s="150"/>
      <c r="B17" s="455"/>
      <c r="C17" s="137"/>
      <c r="D17" s="137"/>
      <c r="E17" s="137"/>
      <c r="F17" s="137"/>
      <c r="G17" s="137"/>
      <c r="H17" s="180"/>
      <c r="I17" s="180"/>
      <c r="J17" s="96"/>
      <c r="K17" s="96"/>
      <c r="L17" s="96"/>
      <c r="M17" s="387"/>
      <c r="N17" s="96"/>
      <c r="O17" s="137"/>
      <c r="P17" s="137"/>
      <c r="Q17" s="137"/>
      <c r="R17" s="96"/>
      <c r="S17" s="96"/>
      <c r="T17" s="96"/>
      <c r="U17" s="149"/>
      <c r="V17" s="137"/>
      <c r="W17" s="137"/>
      <c r="X17" s="137"/>
      <c r="Y17" s="137"/>
      <c r="Z17" s="137"/>
      <c r="AA17" s="137"/>
    </row>
    <row r="18" ht="18.0" customHeight="1">
      <c r="A18" s="451" t="s">
        <v>162</v>
      </c>
      <c r="B18" s="452"/>
      <c r="C18" s="110"/>
      <c r="D18" s="110"/>
      <c r="E18" s="110"/>
      <c r="F18" s="110"/>
      <c r="G18" s="110"/>
      <c r="H18" s="453"/>
      <c r="I18" s="453"/>
      <c r="J18" s="106"/>
      <c r="K18" s="106"/>
      <c r="L18" s="106"/>
      <c r="M18" s="454"/>
      <c r="N18" s="106"/>
      <c r="O18" s="110"/>
      <c r="P18" s="110"/>
      <c r="Q18" s="110"/>
      <c r="R18" s="106"/>
      <c r="S18" s="106"/>
      <c r="T18" s="106"/>
      <c r="U18" s="111"/>
      <c r="V18" s="96"/>
      <c r="W18" s="96"/>
      <c r="X18" s="300"/>
      <c r="Y18" s="300"/>
      <c r="Z18" s="300"/>
      <c r="AA18" s="300"/>
    </row>
    <row r="19" ht="18.0" customHeight="1">
      <c r="A19" s="138"/>
      <c r="B19" s="455"/>
      <c r="C19" s="137"/>
      <c r="D19" s="137"/>
      <c r="E19" s="137"/>
      <c r="F19" s="137"/>
      <c r="G19" s="137"/>
      <c r="H19" s="180"/>
      <c r="I19" s="180"/>
      <c r="J19" s="96"/>
      <c r="K19" s="96"/>
      <c r="L19" s="96"/>
      <c r="M19" s="387"/>
      <c r="N19" s="96"/>
      <c r="O19" s="137"/>
      <c r="P19" s="137"/>
      <c r="Q19" s="137"/>
      <c r="R19" s="96"/>
      <c r="S19" s="96"/>
      <c r="T19" s="96"/>
      <c r="U19" s="149"/>
      <c r="V19" s="96"/>
      <c r="W19" s="96"/>
      <c r="X19" s="300"/>
      <c r="Y19" s="300"/>
      <c r="Z19" s="300"/>
      <c r="AA19" s="300"/>
    </row>
    <row r="20" ht="18.0" customHeight="1">
      <c r="A20" s="138"/>
      <c r="B20" s="455"/>
      <c r="C20" s="137"/>
      <c r="D20" s="137"/>
      <c r="E20" s="137"/>
      <c r="F20" s="137"/>
      <c r="G20" s="137"/>
      <c r="H20" s="180"/>
      <c r="I20" s="180"/>
      <c r="J20" s="96"/>
      <c r="K20" s="96"/>
      <c r="L20" s="96"/>
      <c r="M20" s="387"/>
      <c r="N20" s="96"/>
      <c r="O20" s="137"/>
      <c r="P20" s="137"/>
      <c r="Q20" s="137"/>
      <c r="R20" s="96"/>
      <c r="S20" s="96"/>
      <c r="T20" s="96"/>
      <c r="U20" s="149"/>
      <c r="V20" s="96"/>
      <c r="W20" s="96"/>
      <c r="X20" s="300"/>
      <c r="Y20" s="300"/>
      <c r="Z20" s="300"/>
      <c r="AA20" s="300"/>
    </row>
    <row r="21" ht="18.0" customHeight="1">
      <c r="A21" s="150"/>
      <c r="B21" s="456"/>
      <c r="C21" s="222"/>
      <c r="D21" s="222"/>
      <c r="E21" s="222"/>
      <c r="F21" s="222"/>
      <c r="G21" s="222"/>
      <c r="H21" s="457"/>
      <c r="I21" s="457"/>
      <c r="J21" s="156"/>
      <c r="K21" s="156"/>
      <c r="L21" s="156"/>
      <c r="M21" s="458"/>
      <c r="N21" s="156"/>
      <c r="O21" s="222"/>
      <c r="P21" s="222"/>
      <c r="Q21" s="222"/>
      <c r="R21" s="156"/>
      <c r="S21" s="156"/>
      <c r="T21" s="156"/>
      <c r="U21" s="153"/>
      <c r="V21" s="96"/>
      <c r="W21" s="96"/>
      <c r="X21" s="300"/>
      <c r="Y21" s="300"/>
      <c r="Z21" s="300"/>
      <c r="AA21" s="300"/>
    </row>
    <row r="22" ht="24.75" customHeight="1">
      <c r="A22" s="137"/>
      <c r="B22" s="459"/>
      <c r="C22" s="137"/>
      <c r="D22" s="137"/>
      <c r="E22" s="137"/>
      <c r="F22" s="137"/>
      <c r="G22" s="137"/>
      <c r="H22" s="180"/>
      <c r="I22" s="180"/>
      <c r="J22" s="96"/>
      <c r="K22" s="96"/>
      <c r="L22" s="96"/>
      <c r="M22" s="387"/>
      <c r="N22" s="96"/>
      <c r="O22" s="137"/>
      <c r="P22" s="137"/>
      <c r="Q22" s="137"/>
      <c r="R22" s="96"/>
      <c r="S22" s="96"/>
      <c r="T22" s="96"/>
      <c r="U22" s="96"/>
      <c r="V22" s="96"/>
      <c r="W22" s="96"/>
      <c r="X22" s="300"/>
      <c r="Y22" s="300"/>
      <c r="Z22" s="300"/>
      <c r="AA22" s="300"/>
    </row>
    <row r="23" ht="24.75" customHeight="1">
      <c r="A23" s="460"/>
      <c r="B23" s="461" t="s">
        <v>170</v>
      </c>
      <c r="C23" s="461" t="s">
        <v>171</v>
      </c>
      <c r="D23" s="461"/>
      <c r="E23" s="461"/>
      <c r="F23" s="461"/>
      <c r="G23" s="461"/>
      <c r="H23" s="461"/>
      <c r="I23" s="461" t="s">
        <v>172</v>
      </c>
      <c r="J23" s="461" t="s">
        <v>173</v>
      </c>
      <c r="K23" s="419"/>
      <c r="L23" s="419"/>
      <c r="M23" s="461" t="s">
        <v>170</v>
      </c>
      <c r="N23" s="461" t="s">
        <v>171</v>
      </c>
      <c r="O23" s="461"/>
      <c r="P23" s="461"/>
      <c r="Q23" s="461"/>
      <c r="R23" s="461"/>
      <c r="S23" s="461"/>
      <c r="T23" s="461" t="s">
        <v>172</v>
      </c>
      <c r="U23" s="461" t="s">
        <v>173</v>
      </c>
      <c r="V23" s="462"/>
      <c r="W23" s="460"/>
      <c r="X23" s="418"/>
      <c r="Y23" s="418"/>
      <c r="Z23" s="418"/>
      <c r="AA23" s="418"/>
    </row>
    <row r="24" ht="24.75" customHeight="1">
      <c r="A24" s="463" t="s">
        <v>330</v>
      </c>
      <c r="B24" s="464">
        <v>954484.0</v>
      </c>
      <c r="C24" s="465" t="s">
        <v>373</v>
      </c>
      <c r="D24" s="460"/>
      <c r="E24" s="419"/>
      <c r="F24" s="419"/>
      <c r="G24" s="419"/>
      <c r="H24" s="419"/>
      <c r="I24" s="464"/>
      <c r="J24" s="464">
        <v>6.0</v>
      </c>
      <c r="K24" s="419"/>
      <c r="L24" s="460"/>
      <c r="M24" s="464">
        <v>954484.0</v>
      </c>
      <c r="N24" s="465" t="s">
        <v>374</v>
      </c>
      <c r="O24" s="460"/>
      <c r="P24" s="419"/>
      <c r="Q24" s="419"/>
      <c r="R24" s="419"/>
      <c r="S24" s="419"/>
      <c r="T24" s="464"/>
      <c r="U24" s="464">
        <v>6.0</v>
      </c>
      <c r="V24" s="462"/>
      <c r="W24" s="460"/>
      <c r="X24" s="418"/>
      <c r="Y24" s="418"/>
      <c r="Z24" s="418"/>
      <c r="AA24" s="418"/>
    </row>
    <row r="25" ht="18.0" customHeight="1">
      <c r="A25" s="466"/>
      <c r="B25" s="464"/>
      <c r="C25" s="465"/>
      <c r="D25" s="467" t="s">
        <v>193</v>
      </c>
      <c r="I25" s="468"/>
      <c r="J25" s="469">
        <v>6.0</v>
      </c>
      <c r="K25" s="419"/>
      <c r="L25" s="460"/>
      <c r="M25" s="464"/>
      <c r="N25" s="465"/>
      <c r="O25" s="467" t="s">
        <v>193</v>
      </c>
      <c r="T25" s="468"/>
      <c r="U25" s="469">
        <v>6.0</v>
      </c>
      <c r="V25" s="462"/>
      <c r="W25" s="460"/>
      <c r="X25" s="418"/>
      <c r="Y25" s="418"/>
      <c r="Z25" s="418"/>
      <c r="AA25" s="418"/>
    </row>
    <row r="26" ht="18.0" customHeight="1">
      <c r="A26" s="466"/>
      <c r="B26" s="470"/>
      <c r="C26" s="460"/>
      <c r="D26" s="460"/>
      <c r="E26" s="460"/>
      <c r="F26" s="460"/>
      <c r="G26" s="460"/>
      <c r="H26" s="470"/>
      <c r="I26" s="470"/>
      <c r="J26" s="471"/>
      <c r="K26" s="460"/>
      <c r="L26" s="460"/>
      <c r="M26" s="470"/>
      <c r="N26" s="460"/>
      <c r="O26" s="460"/>
      <c r="P26" s="460"/>
      <c r="Q26" s="460"/>
      <c r="R26" s="460"/>
      <c r="S26" s="470"/>
      <c r="T26" s="470"/>
      <c r="U26" s="471"/>
      <c r="V26" s="460"/>
      <c r="W26" s="460"/>
      <c r="X26" s="418"/>
      <c r="Y26" s="418"/>
      <c r="Z26" s="418"/>
      <c r="AA26" s="418"/>
    </row>
    <row r="27" ht="18.0" customHeight="1">
      <c r="A27" s="466"/>
      <c r="B27" s="470"/>
      <c r="C27" s="460"/>
      <c r="D27" s="460"/>
      <c r="E27" s="460"/>
      <c r="F27" s="460"/>
      <c r="G27" s="460"/>
      <c r="H27" s="470"/>
      <c r="I27" s="470"/>
      <c r="J27" s="471"/>
      <c r="K27" s="460"/>
      <c r="L27" s="460"/>
      <c r="M27" s="470"/>
      <c r="N27" s="460"/>
      <c r="O27" s="460"/>
      <c r="P27" s="460"/>
      <c r="Q27" s="460"/>
      <c r="R27" s="460"/>
      <c r="S27" s="470"/>
      <c r="T27" s="470"/>
      <c r="U27" s="471"/>
      <c r="V27" s="460"/>
      <c r="W27" s="460"/>
      <c r="X27" s="418"/>
      <c r="Y27" s="418"/>
      <c r="Z27" s="418"/>
      <c r="AA27" s="418"/>
    </row>
    <row r="28" ht="18.0" customHeight="1">
      <c r="A28" s="463" t="s">
        <v>333</v>
      </c>
      <c r="B28" s="464">
        <v>954489.0</v>
      </c>
      <c r="C28" s="419" t="s">
        <v>375</v>
      </c>
      <c r="D28" s="419"/>
      <c r="E28" s="419"/>
      <c r="F28" s="419"/>
      <c r="G28" s="419"/>
      <c r="H28" s="464"/>
      <c r="I28" s="464"/>
      <c r="J28" s="464">
        <v>3.0</v>
      </c>
      <c r="K28" s="419"/>
      <c r="L28" s="472"/>
      <c r="M28" s="464">
        <v>954489.0</v>
      </c>
      <c r="N28" s="419" t="s">
        <v>376</v>
      </c>
      <c r="O28" s="419"/>
      <c r="P28" s="419"/>
      <c r="Q28" s="419"/>
      <c r="R28" s="419"/>
      <c r="S28" s="464"/>
      <c r="T28" s="464"/>
      <c r="U28" s="464">
        <v>3.0</v>
      </c>
      <c r="V28" s="460"/>
      <c r="W28" s="460"/>
      <c r="X28" s="418"/>
      <c r="Y28" s="418"/>
      <c r="Z28" s="418"/>
      <c r="AA28" s="418"/>
    </row>
    <row r="29" ht="18.0" customHeight="1">
      <c r="A29" s="460"/>
      <c r="B29" s="464" t="s">
        <v>377</v>
      </c>
      <c r="C29" s="419" t="s">
        <v>317</v>
      </c>
      <c r="D29" s="419"/>
      <c r="E29" s="419"/>
      <c r="F29" s="419"/>
      <c r="G29" s="419"/>
      <c r="H29" s="464"/>
      <c r="I29" s="464"/>
      <c r="J29" s="464">
        <v>3.0</v>
      </c>
      <c r="K29" s="419"/>
      <c r="L29" s="419"/>
      <c r="M29" s="464" t="s">
        <v>377</v>
      </c>
      <c r="N29" s="419" t="s">
        <v>378</v>
      </c>
      <c r="O29" s="419"/>
      <c r="P29" s="419"/>
      <c r="Q29" s="419"/>
      <c r="R29" s="419"/>
      <c r="S29" s="464"/>
      <c r="T29" s="464"/>
      <c r="U29" s="464">
        <v>3.0</v>
      </c>
      <c r="V29" s="460"/>
      <c r="W29" s="460"/>
      <c r="X29" s="418"/>
      <c r="Y29" s="418"/>
      <c r="Z29" s="418"/>
      <c r="AA29" s="418"/>
    </row>
    <row r="30" ht="18.75" customHeight="1">
      <c r="A30" s="460"/>
      <c r="B30" s="473"/>
      <c r="C30" s="419"/>
      <c r="D30" s="467" t="s">
        <v>193</v>
      </c>
      <c r="I30" s="468"/>
      <c r="J30" s="469">
        <v>6.0</v>
      </c>
      <c r="K30" s="419"/>
      <c r="L30" s="460"/>
      <c r="M30" s="464"/>
      <c r="N30" s="465"/>
      <c r="O30" s="467" t="s">
        <v>193</v>
      </c>
      <c r="T30" s="468"/>
      <c r="U30" s="469">
        <v>6.0</v>
      </c>
      <c r="V30" s="460"/>
      <c r="W30" s="460"/>
      <c r="X30" s="418"/>
      <c r="Y30" s="418"/>
      <c r="Z30" s="418"/>
      <c r="AA30" s="418"/>
    </row>
    <row r="31" ht="22.5" customHeight="1">
      <c r="A31" s="460"/>
      <c r="B31" s="419"/>
      <c r="C31" s="419"/>
      <c r="D31" s="465"/>
      <c r="F31" s="419"/>
      <c r="G31" s="419"/>
      <c r="H31" s="419"/>
      <c r="I31" s="419"/>
      <c r="J31" s="419"/>
      <c r="K31" s="419"/>
      <c r="L31" s="419"/>
      <c r="M31" s="464"/>
      <c r="N31" s="419"/>
      <c r="O31" s="419"/>
      <c r="P31" s="419"/>
      <c r="Q31" s="419"/>
      <c r="R31" s="419"/>
      <c r="S31" s="419"/>
      <c r="T31" s="419"/>
      <c r="U31" s="419"/>
      <c r="V31" s="460"/>
      <c r="W31" s="460"/>
      <c r="X31" s="418"/>
      <c r="Y31" s="418"/>
      <c r="Z31" s="418"/>
      <c r="AA31" s="418"/>
    </row>
    <row r="32" ht="22.5" customHeight="1">
      <c r="A32" s="96"/>
      <c r="B32" s="459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300"/>
      <c r="Y32" s="300"/>
      <c r="Z32" s="300"/>
      <c r="AA32" s="300"/>
    </row>
    <row r="33" ht="35.25" customHeight="1">
      <c r="A33" s="96"/>
      <c r="B33" s="96"/>
      <c r="C33" s="96"/>
      <c r="D33" s="96"/>
      <c r="E33" s="96"/>
      <c r="F33" s="96"/>
      <c r="G33" s="474"/>
      <c r="H33" s="474"/>
      <c r="I33" s="474"/>
      <c r="J33" s="474"/>
      <c r="K33" s="474"/>
      <c r="L33" s="474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300"/>
      <c r="Y33" s="300"/>
      <c r="Z33" s="300"/>
      <c r="AA33" s="300"/>
    </row>
    <row r="34" ht="22.5" customHeight="1">
      <c r="A34" s="96"/>
      <c r="B34" s="96"/>
      <c r="C34" s="96"/>
      <c r="D34" s="96"/>
      <c r="E34" s="96"/>
      <c r="F34" s="96"/>
      <c r="G34" s="475"/>
      <c r="H34" s="306"/>
      <c r="I34" s="183"/>
      <c r="J34" s="183"/>
      <c r="K34" s="183"/>
      <c r="L34" s="183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300"/>
      <c r="Y34" s="300"/>
      <c r="Z34" s="300"/>
      <c r="AA34" s="300"/>
    </row>
    <row r="35" ht="22.5" customHeight="1">
      <c r="A35" s="96"/>
      <c r="B35" s="96"/>
      <c r="C35" s="96"/>
      <c r="D35" s="96"/>
      <c r="E35" s="96"/>
      <c r="F35" s="96"/>
      <c r="G35" s="475"/>
      <c r="H35" s="475"/>
      <c r="I35" s="183"/>
      <c r="J35" s="183"/>
      <c r="K35" s="183"/>
      <c r="L35" s="183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300"/>
      <c r="Y35" s="300"/>
      <c r="Z35" s="300"/>
      <c r="AA35" s="300"/>
    </row>
    <row r="36" ht="22.5" customHeight="1">
      <c r="A36" s="96"/>
      <c r="B36" s="96"/>
      <c r="C36" s="96"/>
      <c r="D36" s="96"/>
      <c r="E36" s="96"/>
      <c r="F36" s="96"/>
      <c r="G36" s="306"/>
      <c r="H36" s="306"/>
      <c r="I36" s="183"/>
      <c r="J36" s="183"/>
      <c r="K36" s="183"/>
      <c r="L36" s="183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300"/>
      <c r="Y36" s="300"/>
      <c r="Z36" s="300"/>
      <c r="AA36" s="300"/>
    </row>
    <row r="37" ht="22.5" customHeight="1">
      <c r="A37" s="96"/>
      <c r="B37" s="96"/>
      <c r="C37" s="96"/>
      <c r="D37" s="96"/>
      <c r="E37" s="96"/>
      <c r="F37" s="96"/>
      <c r="G37" s="306"/>
      <c r="H37" s="475"/>
      <c r="I37" s="183"/>
      <c r="J37" s="183"/>
      <c r="K37" s="183"/>
      <c r="L37" s="183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137"/>
      <c r="X37" s="300"/>
      <c r="Y37" s="300"/>
      <c r="Z37" s="300"/>
      <c r="AA37" s="300"/>
    </row>
    <row r="38" ht="22.5" customHeight="1">
      <c r="A38" s="96"/>
      <c r="B38" s="96"/>
      <c r="C38" s="96"/>
      <c r="D38" s="96"/>
      <c r="E38" s="96"/>
      <c r="F38" s="96"/>
      <c r="G38" s="306"/>
      <c r="H38" s="183"/>
      <c r="I38" s="183"/>
      <c r="J38" s="183"/>
      <c r="K38" s="183"/>
      <c r="L38" s="183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300"/>
      <c r="Y38" s="300"/>
      <c r="Z38" s="300"/>
      <c r="AA38" s="300"/>
    </row>
    <row r="39" ht="22.5" customHeight="1">
      <c r="A39" s="96"/>
      <c r="B39" s="96"/>
      <c r="C39" s="96"/>
      <c r="D39" s="96"/>
      <c r="E39" s="96"/>
      <c r="F39" s="96"/>
      <c r="G39" s="306"/>
      <c r="H39" s="183"/>
      <c r="I39" s="183"/>
      <c r="J39" s="137"/>
      <c r="K39" s="183"/>
      <c r="L39" s="183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300"/>
      <c r="Y39" s="300"/>
      <c r="Z39" s="300"/>
      <c r="AA39" s="300"/>
    </row>
    <row r="40" ht="22.5" customHeight="1">
      <c r="A40" s="96"/>
      <c r="B40" s="96"/>
      <c r="C40" s="96"/>
      <c r="D40" s="96"/>
      <c r="E40" s="96"/>
      <c r="F40" s="96"/>
      <c r="G40" s="475"/>
      <c r="H40" s="183"/>
      <c r="I40" s="183"/>
      <c r="J40" s="183"/>
      <c r="K40" s="183"/>
      <c r="L40" s="183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300"/>
      <c r="Y40" s="300"/>
      <c r="Z40" s="300"/>
      <c r="AA40" s="300"/>
    </row>
    <row r="41" ht="22.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300"/>
      <c r="Y41" s="300"/>
      <c r="Z41" s="300"/>
      <c r="AA41" s="300"/>
    </row>
    <row r="42" ht="22.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137"/>
      <c r="Y42" s="137"/>
      <c r="Z42" s="137"/>
      <c r="AA42" s="137"/>
    </row>
    <row r="43" ht="22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137"/>
      <c r="Y43" s="137"/>
      <c r="Z43" s="137"/>
      <c r="AA43" s="137"/>
    </row>
    <row r="44" ht="22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137"/>
      <c r="Y44" s="137"/>
      <c r="Z44" s="137"/>
      <c r="AA44" s="137"/>
    </row>
    <row r="45" ht="22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137"/>
      <c r="Y45" s="137"/>
      <c r="Z45" s="137"/>
      <c r="AA45" s="137"/>
    </row>
    <row r="46" ht="22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137"/>
      <c r="Y46" s="137"/>
      <c r="Z46" s="137"/>
      <c r="AA46" s="137"/>
    </row>
    <row r="47" ht="22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137"/>
      <c r="Y47" s="137"/>
      <c r="Z47" s="137"/>
      <c r="AA47" s="137"/>
    </row>
    <row r="48" ht="15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</row>
    <row r="55" ht="15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</row>
    <row r="56" ht="15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</row>
    <row r="57" ht="15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</row>
    <row r="58" ht="15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</row>
    <row r="59" ht="15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</row>
    <row r="60" ht="15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</row>
    <row r="61" ht="15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</row>
    <row r="62" ht="15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</row>
    <row r="63" ht="15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</row>
    <row r="64" ht="15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</row>
    <row r="65" ht="15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</row>
    <row r="66" ht="15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</row>
    <row r="67" ht="15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</row>
    <row r="68" ht="15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</row>
    <row r="69" ht="15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</row>
    <row r="70" ht="15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</row>
    <row r="81" ht="15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</row>
    <row r="228" ht="15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</row>
    <row r="229" ht="15.75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</row>
    <row r="230" ht="15.75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</row>
    <row r="231" ht="15.75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</row>
    <row r="232" ht="15.75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</row>
    <row r="233" ht="15.75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</row>
    <row r="234" ht="15.75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</row>
    <row r="235" ht="15.75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</row>
    <row r="236" ht="15.75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</row>
    <row r="237" ht="15.75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</row>
    <row r="238" ht="15.75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</row>
    <row r="239" ht="15.75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</row>
    <row r="240" ht="15.75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</row>
    <row r="241" ht="15.75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</row>
    <row r="242" ht="15.75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</row>
    <row r="243" ht="15.75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</row>
    <row r="244" ht="15.75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</row>
    <row r="245" ht="15.75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</row>
    <row r="246" ht="15.75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</row>
    <row r="247" ht="15.75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</row>
    <row r="248" ht="15.75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</row>
    <row r="249" ht="15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</row>
    <row r="250" ht="15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</row>
    <row r="251" ht="15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</row>
    <row r="252" ht="15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</row>
    <row r="253" ht="15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</row>
    <row r="254" ht="15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</row>
    <row r="255" ht="15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</row>
    <row r="256" ht="15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</row>
    <row r="257" ht="15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</row>
    <row r="258" ht="15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</row>
    <row r="259" ht="15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</row>
    <row r="260" ht="15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</row>
    <row r="261" ht="15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</row>
    <row r="262" ht="15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</row>
    <row r="263" ht="15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</row>
    <row r="264" ht="15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</row>
    <row r="265" ht="15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</row>
    <row r="266" ht="15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</row>
    <row r="267" ht="15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</row>
    <row r="268" ht="15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</row>
    <row r="269" ht="15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</row>
    <row r="270" ht="15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</row>
    <row r="271" ht="15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</row>
    <row r="272" ht="15.75" customHeight="1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</row>
    <row r="273" ht="15.75" customHeight="1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</row>
    <row r="274" ht="15.75" customHeight="1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</row>
    <row r="275" ht="15.75" customHeight="1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</row>
    <row r="276" ht="15.75" customHeight="1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</row>
    <row r="277" ht="15.75" customHeight="1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</row>
    <row r="278" ht="15.75" customHeight="1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</row>
    <row r="279" ht="15.75" customHeight="1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</row>
    <row r="280" ht="15.75" customHeight="1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</row>
    <row r="281" ht="15.75" customHeight="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</row>
    <row r="282" ht="15.75" customHeight="1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</row>
    <row r="283" ht="15.75" customHeight="1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</row>
    <row r="284" ht="15.75" customHeight="1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</row>
    <row r="285" ht="15.75" customHeight="1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</row>
    <row r="286" ht="15.75" customHeight="1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</row>
    <row r="287" ht="15.75" customHeight="1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</row>
    <row r="288" ht="15.75" customHeight="1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</row>
    <row r="289" ht="15.75" customHeight="1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</row>
    <row r="290" ht="15.75" customHeight="1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</row>
    <row r="291" ht="15.75" customHeight="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</row>
    <row r="292" ht="15.75" customHeight="1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</row>
    <row r="293" ht="15.75" customHeight="1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</row>
    <row r="294" ht="15.75" customHeight="1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</row>
    <row r="295" ht="15.75" customHeight="1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</row>
    <row r="296" ht="15.75" customHeight="1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</row>
    <row r="297" ht="15.75" customHeight="1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</row>
    <row r="298" ht="15.75" customHeight="1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</row>
    <row r="299" ht="15.75" customHeight="1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</row>
    <row r="300" ht="15.75" customHeight="1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</row>
    <row r="301" ht="15.75" customHeight="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</row>
    <row r="302" ht="15.75" customHeight="1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</row>
    <row r="303" ht="15.75" customHeight="1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</row>
    <row r="304" ht="15.75" customHeight="1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</row>
    <row r="305" ht="15.75" customHeight="1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</row>
    <row r="306" ht="15.75" customHeight="1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</row>
    <row r="307" ht="15.75" customHeight="1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</row>
    <row r="308" ht="15.75" customHeight="1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</row>
    <row r="309" ht="15.75" customHeight="1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</row>
    <row r="310" ht="15.7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</row>
    <row r="311" ht="15.75" customHeight="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</row>
    <row r="312" ht="15.75" customHeight="1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</row>
    <row r="313" ht="15.75" customHeight="1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</row>
    <row r="314" ht="15.75" customHeight="1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</row>
    <row r="315" ht="15.75" customHeight="1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</row>
    <row r="316" ht="15.75" customHeight="1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</row>
    <row r="317" ht="15.75" customHeight="1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</row>
    <row r="318" ht="15.75" customHeight="1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</row>
    <row r="319" ht="15.75" customHeight="1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</row>
    <row r="320" ht="15.75" customHeight="1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</row>
    <row r="321" ht="15.75" customHeight="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</row>
    <row r="322" ht="15.75" customHeight="1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</row>
    <row r="323" ht="15.75" customHeight="1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</row>
    <row r="324" ht="15.75" customHeight="1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</row>
    <row r="325" ht="15.75" customHeight="1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</row>
    <row r="326" ht="15.75" customHeight="1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</row>
    <row r="327" ht="15.75" customHeight="1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</row>
    <row r="328" ht="15.75" customHeight="1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</row>
    <row r="329" ht="15.75" customHeight="1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</row>
    <row r="330" ht="15.75" customHeight="1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</row>
    <row r="331" ht="15.75" customHeight="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</row>
    <row r="332" ht="15.75" customHeight="1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</row>
    <row r="333" ht="15.75" customHeight="1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</row>
    <row r="334" ht="15.75" customHeight="1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</row>
    <row r="335" ht="15.75" customHeight="1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</row>
    <row r="336" ht="15.75" customHeight="1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</row>
    <row r="337" ht="15.75" customHeight="1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</row>
    <row r="338" ht="15.75" customHeight="1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</row>
    <row r="339" ht="15.75" customHeight="1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</row>
    <row r="340" ht="15.75" customHeight="1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</row>
    <row r="341" ht="15.75" customHeight="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</row>
    <row r="342" ht="15.75" customHeight="1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</row>
    <row r="343" ht="15.75" customHeight="1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</row>
    <row r="344" ht="15.75" customHeight="1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</row>
    <row r="345" ht="15.75" customHeight="1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</row>
    <row r="346" ht="15.75" customHeight="1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</row>
    <row r="347" ht="15.75" customHeight="1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</row>
    <row r="348" ht="15.75" customHeight="1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</row>
    <row r="349" ht="15.75" customHeight="1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</row>
    <row r="350" ht="15.75" customHeight="1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</row>
    <row r="351" ht="15.75" customHeight="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</row>
    <row r="352" ht="15.75" customHeight="1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</row>
    <row r="353" ht="15.75" customHeight="1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</row>
    <row r="354" ht="15.75" customHeight="1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</row>
    <row r="355" ht="15.75" customHeight="1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</row>
    <row r="356" ht="15.75" customHeight="1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</row>
    <row r="357" ht="15.75" customHeight="1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</row>
    <row r="358" ht="15.75" customHeight="1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</row>
    <row r="359" ht="15.75" customHeight="1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</row>
    <row r="360" ht="15.75" customHeight="1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</row>
    <row r="361" ht="15.75" customHeight="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</row>
    <row r="362" ht="15.75" customHeight="1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</row>
    <row r="363" ht="15.75" customHeight="1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</row>
    <row r="364" ht="15.75" customHeight="1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</row>
    <row r="365" ht="15.75" customHeight="1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</row>
    <row r="366" ht="15.75" customHeight="1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</row>
    <row r="367" ht="15.75" customHeight="1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</row>
    <row r="368" ht="15.75" customHeight="1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</row>
    <row r="369" ht="15.75" customHeight="1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</row>
    <row r="370" ht="15.75" customHeight="1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</row>
    <row r="371" ht="15.75" customHeight="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</row>
    <row r="372" ht="15.75" customHeight="1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</row>
    <row r="373" ht="15.75" customHeight="1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</row>
    <row r="374" ht="15.75" customHeight="1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</row>
    <row r="375" ht="15.75" customHeight="1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</row>
    <row r="376" ht="15.75" customHeight="1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</row>
    <row r="377" ht="15.75" customHeight="1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</row>
    <row r="378" ht="15.75" customHeight="1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</row>
    <row r="379" ht="15.75" customHeight="1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</row>
    <row r="380" ht="15.75" customHeight="1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</row>
    <row r="381" ht="15.75" customHeight="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</row>
    <row r="382" ht="15.75" customHeight="1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</row>
    <row r="383" ht="15.75" customHeight="1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</row>
    <row r="384" ht="15.75" customHeight="1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</row>
    <row r="385" ht="15.75" customHeight="1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</row>
    <row r="386" ht="15.75" customHeight="1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</row>
    <row r="387" ht="15.75" customHeight="1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</row>
    <row r="388" ht="15.75" customHeight="1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</row>
    <row r="389" ht="15.75" customHeight="1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</row>
    <row r="390" ht="15.75" customHeight="1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</row>
    <row r="391" ht="15.75" customHeight="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</row>
    <row r="392" ht="15.75" customHeight="1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</row>
    <row r="393" ht="15.75" customHeight="1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</row>
    <row r="394" ht="15.75" customHeight="1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</row>
    <row r="395" ht="15.75" customHeight="1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</row>
    <row r="396" ht="15.75" customHeight="1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</row>
    <row r="397" ht="15.75" customHeight="1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</row>
    <row r="398" ht="15.75" customHeight="1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</row>
    <row r="399" ht="15.75" customHeight="1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</row>
    <row r="400" ht="15.75" customHeight="1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</row>
    <row r="401" ht="15.75" customHeight="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</row>
    <row r="402" ht="15.75" customHeight="1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</row>
    <row r="403" ht="15.75" customHeight="1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</row>
    <row r="404" ht="15.75" customHeight="1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</row>
    <row r="405" ht="15.75" customHeight="1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</row>
    <row r="406" ht="15.75" customHeight="1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</row>
    <row r="407" ht="15.75" customHeight="1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</row>
    <row r="408" ht="15.75" customHeight="1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</row>
    <row r="409" ht="15.75" customHeight="1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</row>
    <row r="410" ht="15.75" customHeight="1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</row>
    <row r="411" ht="15.75" customHeight="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</row>
    <row r="412" ht="15.75" customHeight="1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</row>
    <row r="413" ht="15.75" customHeight="1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</row>
    <row r="414" ht="15.75" customHeight="1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</row>
    <row r="415" ht="15.75" customHeight="1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</row>
    <row r="416" ht="15.75" customHeight="1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</row>
    <row r="417" ht="15.75" customHeight="1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</row>
    <row r="418" ht="15.75" customHeight="1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</row>
    <row r="419" ht="15.75" customHeight="1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</row>
    <row r="420" ht="15.75" customHeight="1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</row>
    <row r="421" ht="15.75" customHeight="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</row>
    <row r="422" ht="15.75" customHeight="1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</row>
    <row r="423" ht="15.75" customHeight="1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</row>
    <row r="424" ht="15.75" customHeight="1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</row>
    <row r="425" ht="15.75" customHeight="1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</row>
    <row r="426" ht="15.75" customHeight="1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</row>
    <row r="427" ht="15.75" customHeight="1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</row>
    <row r="428" ht="15.75" customHeight="1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</row>
    <row r="429" ht="15.75" customHeight="1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</row>
    <row r="430" ht="15.75" customHeight="1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</row>
    <row r="431" ht="15.75" customHeight="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</row>
    <row r="432" ht="15.75" customHeight="1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</row>
    <row r="433" ht="15.75" customHeight="1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</row>
    <row r="434" ht="15.75" customHeight="1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</row>
    <row r="435" ht="15.75" customHeight="1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</row>
    <row r="436" ht="15.75" customHeight="1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</row>
    <row r="437" ht="15.75" customHeight="1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</row>
    <row r="438" ht="15.75" customHeight="1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</row>
    <row r="439" ht="15.75" customHeight="1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</row>
    <row r="440" ht="15.75" customHeight="1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</row>
    <row r="441" ht="15.75" customHeight="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</row>
    <row r="442" ht="15.75" customHeight="1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</row>
    <row r="443" ht="15.75" customHeight="1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</row>
    <row r="444" ht="15.75" customHeight="1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</row>
    <row r="445" ht="15.75" customHeight="1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</row>
    <row r="446" ht="15.75" customHeight="1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</row>
    <row r="447" ht="15.75" customHeight="1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</row>
    <row r="448" ht="15.75" customHeight="1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</row>
    <row r="449" ht="15.75" customHeight="1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</row>
    <row r="450" ht="15.75" customHeight="1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</row>
    <row r="451" ht="15.75" customHeight="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</row>
    <row r="452" ht="15.75" customHeight="1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</row>
    <row r="453" ht="15.75" customHeight="1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</row>
    <row r="454" ht="15.75" customHeight="1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</row>
    <row r="455" ht="15.75" customHeight="1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</row>
    <row r="456" ht="15.75" customHeight="1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</row>
    <row r="457" ht="15.75" customHeight="1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</row>
    <row r="458" ht="15.75" customHeight="1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</row>
    <row r="459" ht="15.75" customHeight="1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</row>
    <row r="460" ht="15.75" customHeight="1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</row>
    <row r="461" ht="15.75" customHeight="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</row>
    <row r="462" ht="15.75" customHeight="1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</row>
    <row r="463" ht="15.75" customHeight="1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</row>
    <row r="464" ht="15.75" customHeight="1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</row>
    <row r="465" ht="15.75" customHeight="1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</row>
    <row r="466" ht="15.75" customHeight="1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</row>
    <row r="467" ht="15.75" customHeight="1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</row>
    <row r="468" ht="15.75" customHeight="1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</row>
    <row r="469" ht="15.75" customHeight="1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</row>
    <row r="470" ht="15.75" customHeight="1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</row>
    <row r="471" ht="15.75" customHeight="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</row>
    <row r="472" ht="15.75" customHeight="1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</row>
    <row r="473" ht="15.75" customHeight="1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</row>
    <row r="474" ht="15.75" customHeight="1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</row>
    <row r="475" ht="15.75" customHeight="1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</row>
    <row r="476" ht="15.75" customHeight="1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</row>
    <row r="477" ht="15.75" customHeight="1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</row>
    <row r="478" ht="15.75" customHeight="1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</row>
    <row r="479" ht="15.75" customHeight="1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</row>
    <row r="480" ht="15.75" customHeight="1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</row>
    <row r="481" ht="15.75" customHeight="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</row>
    <row r="482" ht="15.75" customHeight="1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</row>
    <row r="483" ht="15.75" customHeight="1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</row>
    <row r="484" ht="15.75" customHeight="1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</row>
    <row r="485" ht="15.75" customHeight="1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</row>
    <row r="486" ht="15.75" customHeight="1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</row>
    <row r="487" ht="15.75" customHeight="1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</row>
    <row r="488" ht="15.75" customHeight="1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</row>
    <row r="489" ht="15.75" customHeight="1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</row>
    <row r="490" ht="15.75" customHeight="1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</row>
    <row r="491" ht="15.75" customHeight="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</row>
    <row r="492" ht="15.75" customHeight="1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</row>
    <row r="493" ht="15.75" customHeight="1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</row>
    <row r="494" ht="15.75" customHeight="1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</row>
    <row r="495" ht="15.75" customHeight="1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</row>
    <row r="496" ht="15.75" customHeight="1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</row>
    <row r="497" ht="15.75" customHeight="1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</row>
    <row r="498" ht="15.75" customHeight="1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</row>
    <row r="499" ht="15.75" customHeight="1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</row>
    <row r="500" ht="15.75" customHeight="1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</row>
    <row r="501" ht="15.75" customHeight="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</row>
    <row r="502" ht="15.75" customHeight="1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</row>
    <row r="503" ht="15.75" customHeight="1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</row>
    <row r="504" ht="15.75" customHeight="1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</row>
    <row r="505" ht="15.75" customHeight="1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</row>
    <row r="506" ht="15.75" customHeight="1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</row>
    <row r="507" ht="15.75" customHeight="1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</row>
    <row r="508" ht="15.75" customHeight="1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</row>
    <row r="509" ht="15.75" customHeight="1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</row>
    <row r="510" ht="15.75" customHeight="1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</row>
    <row r="511" ht="15.75" customHeight="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</row>
    <row r="512" ht="15.75" customHeight="1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</row>
    <row r="513" ht="15.75" customHeight="1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</row>
    <row r="514" ht="15.75" customHeight="1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</row>
    <row r="515" ht="15.75" customHeight="1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</row>
    <row r="516" ht="15.75" customHeight="1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</row>
    <row r="517" ht="15.75" customHeight="1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</row>
    <row r="518" ht="15.75" customHeight="1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</row>
    <row r="519" ht="15.75" customHeight="1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</row>
    <row r="520" ht="15.75" customHeight="1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</row>
    <row r="521" ht="15.75" customHeight="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</row>
    <row r="522" ht="15.75" customHeight="1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</row>
    <row r="523" ht="15.75" customHeight="1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</row>
    <row r="524" ht="15.75" customHeight="1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</row>
    <row r="525" ht="15.75" customHeight="1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</row>
    <row r="526" ht="15.75" customHeight="1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</row>
    <row r="527" ht="15.75" customHeight="1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</row>
    <row r="528" ht="15.75" customHeight="1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</row>
    <row r="529" ht="15.75" customHeight="1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</row>
    <row r="530" ht="15.75" customHeight="1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</row>
    <row r="531" ht="15.75" customHeight="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</row>
    <row r="532" ht="15.75" customHeight="1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</row>
    <row r="533" ht="15.75" customHeight="1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</row>
    <row r="534" ht="15.75" customHeight="1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</row>
    <row r="535" ht="15.75" customHeight="1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</row>
    <row r="536" ht="15.75" customHeight="1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</row>
    <row r="537" ht="15.75" customHeight="1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</row>
    <row r="538" ht="15.75" customHeight="1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</row>
    <row r="539" ht="15.75" customHeight="1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</row>
    <row r="540" ht="15.75" customHeight="1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</row>
    <row r="541" ht="15.75" customHeight="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</row>
    <row r="542" ht="15.75" customHeight="1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</row>
    <row r="543" ht="15.75" customHeight="1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</row>
    <row r="544" ht="15.75" customHeight="1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</row>
    <row r="545" ht="15.75" customHeight="1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</row>
    <row r="546" ht="15.75" customHeight="1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</row>
    <row r="547" ht="15.75" customHeight="1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</row>
    <row r="548" ht="15.75" customHeight="1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</row>
    <row r="549" ht="15.75" customHeight="1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</row>
    <row r="550" ht="15.75" customHeight="1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</row>
    <row r="551" ht="15.75" customHeight="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</row>
    <row r="552" ht="15.75" customHeight="1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</row>
    <row r="553" ht="15.75" customHeight="1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</row>
    <row r="554" ht="15.75" customHeight="1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</row>
    <row r="555" ht="15.75" customHeight="1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</row>
    <row r="556" ht="15.75" customHeight="1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</row>
    <row r="557" ht="15.75" customHeight="1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</row>
    <row r="558" ht="15.75" customHeight="1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</row>
    <row r="559" ht="15.75" customHeight="1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</row>
    <row r="560" ht="15.75" customHeight="1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</row>
    <row r="561" ht="15.75" customHeight="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</row>
    <row r="562" ht="15.75" customHeight="1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</row>
    <row r="563" ht="15.75" customHeight="1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</row>
    <row r="564" ht="15.75" customHeight="1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</row>
    <row r="565" ht="15.75" customHeight="1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</row>
    <row r="566" ht="15.75" customHeight="1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</row>
    <row r="567" ht="15.75" customHeight="1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</row>
    <row r="568" ht="15.75" customHeight="1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</row>
    <row r="569" ht="15.75" customHeight="1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</row>
    <row r="570" ht="15.75" customHeight="1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</row>
    <row r="571" ht="15.75" customHeight="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</row>
    <row r="572" ht="15.75" customHeight="1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</row>
    <row r="573" ht="15.75" customHeight="1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</row>
    <row r="574" ht="15.75" customHeight="1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</row>
    <row r="575" ht="15.75" customHeight="1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</row>
    <row r="576" ht="15.75" customHeight="1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</row>
    <row r="577" ht="15.75" customHeight="1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</row>
    <row r="578" ht="15.75" customHeight="1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</row>
    <row r="579" ht="15.75" customHeight="1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</row>
    <row r="580" ht="15.75" customHeight="1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</row>
    <row r="581" ht="15.75" customHeight="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</row>
    <row r="582" ht="15.75" customHeight="1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</row>
    <row r="583" ht="15.75" customHeight="1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</row>
    <row r="584" ht="15.75" customHeight="1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</row>
    <row r="585" ht="15.75" customHeight="1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</row>
    <row r="586" ht="15.75" customHeight="1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</row>
    <row r="587" ht="15.75" customHeight="1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</row>
    <row r="588" ht="15.75" customHeight="1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</row>
    <row r="589" ht="15.75" customHeight="1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</row>
    <row r="590" ht="15.75" customHeight="1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</row>
    <row r="591" ht="15.75" customHeight="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</row>
    <row r="592" ht="15.75" customHeight="1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</row>
    <row r="593" ht="15.75" customHeight="1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</row>
    <row r="594" ht="15.75" customHeight="1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</row>
    <row r="595" ht="15.75" customHeight="1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</row>
    <row r="596" ht="15.75" customHeight="1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</row>
    <row r="597" ht="15.75" customHeight="1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</row>
    <row r="598" ht="15.75" customHeight="1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</row>
    <row r="599" ht="15.75" customHeight="1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</row>
    <row r="600" ht="15.75" customHeight="1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</row>
    <row r="601" ht="15.75" customHeight="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</row>
    <row r="602" ht="15.75" customHeight="1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</row>
    <row r="603" ht="15.75" customHeight="1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</row>
    <row r="604" ht="15.75" customHeight="1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</row>
    <row r="605" ht="15.75" customHeight="1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</row>
    <row r="606" ht="15.75" customHeight="1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</row>
    <row r="607" ht="15.75" customHeight="1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</row>
    <row r="608" ht="15.75" customHeight="1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</row>
    <row r="609" ht="15.75" customHeight="1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</row>
    <row r="610" ht="15.75" customHeight="1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</row>
    <row r="611" ht="15.75" customHeight="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</row>
    <row r="612" ht="15.75" customHeight="1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</row>
    <row r="613" ht="15.75" customHeight="1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</row>
    <row r="614" ht="15.75" customHeight="1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</row>
    <row r="615" ht="15.75" customHeight="1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</row>
    <row r="616" ht="15.75" customHeight="1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</row>
    <row r="617" ht="15.75" customHeight="1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</row>
    <row r="618" ht="15.75" customHeight="1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</row>
    <row r="619" ht="15.75" customHeight="1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</row>
    <row r="620" ht="15.75" customHeight="1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</row>
    <row r="621" ht="15.75" customHeight="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</row>
    <row r="622" ht="15.75" customHeight="1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</row>
    <row r="623" ht="15.75" customHeight="1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</row>
    <row r="624" ht="15.75" customHeight="1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</row>
    <row r="625" ht="15.75" customHeight="1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</row>
    <row r="626" ht="15.75" customHeight="1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</row>
    <row r="627" ht="15.75" customHeight="1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</row>
    <row r="628" ht="15.75" customHeight="1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</row>
    <row r="629" ht="15.75" customHeight="1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</row>
    <row r="630" ht="15.75" customHeight="1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</row>
    <row r="631" ht="15.75" customHeight="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</row>
    <row r="632" ht="15.75" customHeight="1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</row>
    <row r="633" ht="15.75" customHeight="1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</row>
    <row r="634" ht="15.75" customHeight="1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</row>
    <row r="635" ht="15.75" customHeight="1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</row>
    <row r="636" ht="15.75" customHeight="1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</row>
    <row r="637" ht="15.75" customHeight="1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</row>
    <row r="638" ht="15.75" customHeight="1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</row>
    <row r="639" ht="15.75" customHeight="1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</row>
    <row r="640" ht="15.75" customHeight="1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</row>
    <row r="641" ht="15.75" customHeight="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</row>
    <row r="642" ht="15.75" customHeight="1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</row>
    <row r="643" ht="15.75" customHeight="1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</row>
    <row r="644" ht="15.75" customHeight="1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</row>
    <row r="645" ht="15.75" customHeight="1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</row>
    <row r="646" ht="15.75" customHeight="1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</row>
    <row r="647" ht="15.75" customHeight="1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</row>
    <row r="648" ht="15.75" customHeight="1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</row>
    <row r="649" ht="15.75" customHeight="1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</row>
    <row r="650" ht="15.75" customHeight="1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</row>
    <row r="651" ht="15.75" customHeight="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</row>
    <row r="652" ht="15.75" customHeight="1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</row>
    <row r="653" ht="15.75" customHeight="1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</row>
    <row r="654" ht="15.75" customHeight="1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</row>
    <row r="655" ht="15.75" customHeight="1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</row>
    <row r="656" ht="15.75" customHeight="1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</row>
    <row r="657" ht="15.75" customHeight="1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</row>
    <row r="658" ht="15.75" customHeight="1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</row>
    <row r="659" ht="15.75" customHeight="1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</row>
    <row r="660" ht="15.75" customHeight="1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</row>
    <row r="661" ht="15.75" customHeight="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</row>
    <row r="662" ht="15.75" customHeight="1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</row>
    <row r="663" ht="15.75" customHeight="1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</row>
    <row r="664" ht="15.75" customHeight="1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</row>
    <row r="665" ht="15.75" customHeight="1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</row>
    <row r="666" ht="15.75" customHeight="1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</row>
    <row r="667" ht="15.75" customHeight="1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</row>
    <row r="668" ht="15.75" customHeight="1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</row>
    <row r="669" ht="15.75" customHeight="1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</row>
    <row r="670" ht="15.75" customHeight="1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</row>
    <row r="671" ht="15.75" customHeight="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</row>
    <row r="672" ht="15.75" customHeight="1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</row>
    <row r="673" ht="15.75" customHeight="1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</row>
    <row r="674" ht="15.75" customHeight="1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</row>
    <row r="675" ht="15.75" customHeight="1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</row>
    <row r="676" ht="15.75" customHeight="1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</row>
    <row r="677" ht="15.75" customHeight="1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</row>
    <row r="678" ht="15.75" customHeight="1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</row>
    <row r="679" ht="15.75" customHeight="1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</row>
    <row r="680" ht="15.75" customHeight="1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</row>
    <row r="681" ht="15.75" customHeight="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</row>
    <row r="682" ht="15.75" customHeight="1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</row>
    <row r="683" ht="15.75" customHeight="1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</row>
    <row r="684" ht="15.75" customHeight="1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</row>
    <row r="685" ht="15.75" customHeight="1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</row>
    <row r="686" ht="15.75" customHeight="1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</row>
    <row r="687" ht="15.75" customHeight="1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</row>
    <row r="688" ht="15.75" customHeight="1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</row>
    <row r="689" ht="15.75" customHeight="1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</row>
    <row r="690" ht="15.75" customHeight="1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</row>
    <row r="691" ht="15.75" customHeight="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</row>
    <row r="692" ht="15.75" customHeight="1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</row>
    <row r="693" ht="15.75" customHeight="1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</row>
    <row r="694" ht="15.75" customHeight="1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</row>
    <row r="695" ht="15.75" customHeight="1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</row>
    <row r="696" ht="15.75" customHeight="1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</row>
    <row r="697" ht="15.75" customHeight="1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</row>
    <row r="698" ht="15.75" customHeight="1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</row>
    <row r="699" ht="15.75" customHeight="1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</row>
    <row r="700" ht="15.75" customHeight="1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</row>
    <row r="701" ht="15.75" customHeight="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</row>
    <row r="702" ht="15.75" customHeight="1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</row>
    <row r="703" ht="15.75" customHeight="1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</row>
    <row r="704" ht="15.75" customHeight="1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</row>
    <row r="705" ht="15.75" customHeight="1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</row>
    <row r="706" ht="15.75" customHeight="1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</row>
    <row r="707" ht="15.75" customHeight="1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</row>
    <row r="708" ht="15.75" customHeight="1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</row>
    <row r="709" ht="15.75" customHeight="1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</row>
    <row r="710" ht="15.75" customHeight="1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</row>
    <row r="711" ht="15.75" customHeight="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</row>
    <row r="712" ht="15.75" customHeight="1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</row>
    <row r="713" ht="15.75" customHeight="1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</row>
    <row r="714" ht="15.75" customHeight="1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</row>
    <row r="715" ht="15.75" customHeight="1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</row>
    <row r="716" ht="15.75" customHeight="1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</row>
    <row r="717" ht="15.75" customHeight="1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</row>
    <row r="718" ht="15.75" customHeight="1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</row>
    <row r="719" ht="15.75" customHeight="1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</row>
    <row r="720" ht="15.75" customHeight="1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</row>
    <row r="721" ht="15.75" customHeight="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</row>
    <row r="722" ht="15.75" customHeight="1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</row>
    <row r="723" ht="15.75" customHeight="1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</row>
    <row r="724" ht="15.75" customHeight="1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</row>
    <row r="725" ht="15.75" customHeight="1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</row>
    <row r="726" ht="15.75" customHeight="1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</row>
    <row r="727" ht="15.75" customHeight="1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</row>
    <row r="728" ht="15.75" customHeight="1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</row>
    <row r="729" ht="15.75" customHeight="1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</row>
    <row r="730" ht="15.75" customHeight="1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</row>
    <row r="731" ht="15.75" customHeight="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</row>
    <row r="732" ht="15.75" customHeight="1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</row>
    <row r="733" ht="15.75" customHeight="1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</row>
    <row r="734" ht="15.75" customHeight="1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</row>
    <row r="735" ht="15.75" customHeight="1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</row>
    <row r="736" ht="15.75" customHeight="1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</row>
    <row r="737" ht="15.75" customHeight="1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</row>
    <row r="738" ht="15.75" customHeight="1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</row>
    <row r="739" ht="15.75" customHeight="1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</row>
    <row r="740" ht="15.75" customHeight="1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</row>
    <row r="741" ht="15.75" customHeight="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</row>
    <row r="742" ht="15.75" customHeight="1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</row>
    <row r="743" ht="15.75" customHeight="1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</row>
    <row r="744" ht="15.75" customHeight="1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</row>
    <row r="745" ht="15.75" customHeight="1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</row>
    <row r="746" ht="15.75" customHeight="1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</row>
    <row r="747" ht="15.75" customHeight="1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</row>
    <row r="748" ht="15.75" customHeight="1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</row>
    <row r="749" ht="15.75" customHeight="1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</row>
    <row r="750" ht="15.75" customHeight="1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</row>
    <row r="751" ht="15.75" customHeight="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</row>
    <row r="752" ht="15.75" customHeight="1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</row>
    <row r="753" ht="15.75" customHeight="1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</row>
    <row r="754" ht="15.75" customHeight="1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</row>
    <row r="755" ht="15.75" customHeight="1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</row>
    <row r="756" ht="15.75" customHeight="1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</row>
    <row r="757" ht="15.75" customHeight="1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</row>
    <row r="758" ht="15.75" customHeight="1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</row>
    <row r="759" ht="15.75" customHeight="1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</row>
    <row r="760" ht="15.75" customHeight="1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</row>
    <row r="761" ht="15.75" customHeight="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</row>
    <row r="762" ht="15.75" customHeight="1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</row>
    <row r="763" ht="15.75" customHeight="1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</row>
    <row r="764" ht="15.75" customHeight="1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</row>
    <row r="765" ht="15.75" customHeight="1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</row>
    <row r="766" ht="15.75" customHeight="1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</row>
    <row r="767" ht="15.75" customHeight="1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</row>
    <row r="768" ht="15.75" customHeight="1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</row>
    <row r="769" ht="15.75" customHeight="1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</row>
    <row r="770" ht="15.75" customHeight="1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</row>
    <row r="771" ht="15.75" customHeight="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</row>
    <row r="772" ht="15.75" customHeight="1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</row>
    <row r="773" ht="15.75" customHeight="1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</row>
    <row r="774" ht="15.75" customHeight="1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</row>
    <row r="775" ht="15.75" customHeight="1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</row>
    <row r="776" ht="15.75" customHeight="1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</row>
    <row r="777" ht="15.75" customHeight="1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</row>
    <row r="778" ht="15.75" customHeight="1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</row>
    <row r="779" ht="15.75" customHeight="1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</row>
    <row r="780" ht="15.75" customHeight="1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</row>
    <row r="781" ht="15.75" customHeight="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</row>
    <row r="782" ht="15.75" customHeight="1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</row>
    <row r="783" ht="15.75" customHeight="1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</row>
    <row r="784" ht="15.75" customHeight="1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</row>
    <row r="785" ht="15.75" customHeight="1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</row>
    <row r="786" ht="15.75" customHeight="1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</row>
    <row r="787" ht="15.75" customHeight="1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</row>
    <row r="788" ht="15.75" customHeight="1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</row>
    <row r="789" ht="15.75" customHeight="1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</row>
    <row r="790" ht="15.75" customHeight="1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</row>
    <row r="791" ht="15.75" customHeight="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</row>
    <row r="792" ht="15.75" customHeight="1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</row>
    <row r="793" ht="15.75" customHeight="1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</row>
    <row r="794" ht="15.75" customHeight="1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</row>
    <row r="795" ht="15.75" customHeight="1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</row>
    <row r="796" ht="15.75" customHeight="1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</row>
    <row r="797" ht="15.75" customHeight="1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</row>
    <row r="798" ht="15.75" customHeight="1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</row>
    <row r="799" ht="15.75" customHeight="1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</row>
    <row r="800" ht="15.75" customHeight="1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</row>
    <row r="801" ht="15.75" customHeight="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</row>
    <row r="802" ht="15.75" customHeight="1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</row>
    <row r="803" ht="15.75" customHeight="1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</row>
    <row r="804" ht="15.75" customHeight="1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</row>
    <row r="805" ht="15.75" customHeight="1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</row>
    <row r="806" ht="15.75" customHeight="1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</row>
    <row r="807" ht="15.75" customHeight="1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</row>
    <row r="808" ht="15.75" customHeight="1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</row>
    <row r="809" ht="15.75" customHeight="1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</row>
    <row r="810" ht="15.75" customHeight="1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</row>
    <row r="811" ht="15.75" customHeight="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</row>
    <row r="812" ht="15.75" customHeight="1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</row>
    <row r="813" ht="15.75" customHeight="1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</row>
    <row r="814" ht="15.75" customHeight="1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</row>
    <row r="815" ht="15.75" customHeight="1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</row>
    <row r="816" ht="15.75" customHeight="1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</row>
    <row r="817" ht="15.75" customHeight="1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</row>
    <row r="818" ht="15.75" customHeight="1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</row>
    <row r="819" ht="15.75" customHeight="1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</row>
    <row r="820" ht="15.75" customHeight="1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</row>
    <row r="821" ht="15.75" customHeight="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</row>
    <row r="822" ht="15.75" customHeight="1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</row>
    <row r="823" ht="15.75" customHeight="1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</row>
    <row r="824" ht="15.75" customHeight="1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</row>
    <row r="825" ht="15.75" customHeight="1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</row>
    <row r="826" ht="15.75" customHeight="1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</row>
    <row r="827" ht="15.75" customHeight="1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</row>
    <row r="828" ht="15.75" customHeight="1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</row>
    <row r="829" ht="15.75" customHeight="1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</row>
    <row r="830" ht="15.75" customHeight="1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</row>
    <row r="831" ht="15.75" customHeight="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</row>
    <row r="832" ht="15.75" customHeight="1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</row>
    <row r="833" ht="15.75" customHeight="1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</row>
    <row r="834" ht="15.75" customHeight="1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</row>
    <row r="835" ht="15.75" customHeight="1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</row>
    <row r="836" ht="15.75" customHeight="1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</row>
    <row r="837" ht="15.75" customHeight="1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</row>
    <row r="838" ht="15.75" customHeight="1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</row>
    <row r="839" ht="15.75" customHeight="1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</row>
    <row r="840" ht="15.75" customHeight="1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</row>
    <row r="841" ht="15.75" customHeight="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</row>
    <row r="842" ht="15.75" customHeight="1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</row>
    <row r="843" ht="15.75" customHeight="1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</row>
    <row r="844" ht="15.75" customHeight="1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</row>
    <row r="845" ht="15.75" customHeight="1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</row>
    <row r="846" ht="15.75" customHeight="1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</row>
    <row r="847" ht="15.75" customHeight="1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</row>
    <row r="848" ht="15.75" customHeight="1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</row>
    <row r="849" ht="15.75" customHeight="1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</row>
    <row r="850" ht="15.75" customHeight="1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</row>
    <row r="851" ht="15.75" customHeight="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</row>
    <row r="852" ht="15.75" customHeight="1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</row>
    <row r="853" ht="15.75" customHeight="1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</row>
    <row r="854" ht="15.75" customHeight="1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</row>
    <row r="855" ht="15.75" customHeight="1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</row>
    <row r="856" ht="15.75" customHeight="1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</row>
    <row r="857" ht="15.75" customHeight="1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</row>
    <row r="858" ht="15.75" customHeight="1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</row>
    <row r="859" ht="15.75" customHeight="1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</row>
    <row r="860" ht="15.75" customHeight="1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</row>
    <row r="861" ht="15.75" customHeight="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</row>
    <row r="862" ht="15.75" customHeight="1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</row>
    <row r="863" ht="15.75" customHeight="1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</row>
    <row r="864" ht="15.75" customHeight="1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</row>
    <row r="865" ht="15.75" customHeight="1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</row>
    <row r="866" ht="15.75" customHeight="1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</row>
    <row r="867" ht="15.75" customHeight="1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</row>
    <row r="868" ht="15.75" customHeight="1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</row>
    <row r="869" ht="15.75" customHeight="1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</row>
    <row r="870" ht="15.75" customHeight="1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</row>
    <row r="871" ht="15.75" customHeight="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</row>
    <row r="872" ht="15.75" customHeight="1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</row>
    <row r="873" ht="15.75" customHeight="1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</row>
    <row r="874" ht="15.75" customHeight="1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</row>
    <row r="875" ht="15.75" customHeight="1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</row>
    <row r="876" ht="15.75" customHeight="1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</row>
    <row r="877" ht="15.75" customHeight="1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</row>
    <row r="878" ht="15.75" customHeight="1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</row>
    <row r="879" ht="15.75" customHeight="1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</row>
    <row r="880" ht="15.75" customHeight="1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</row>
    <row r="881" ht="15.75" customHeight="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</row>
    <row r="882" ht="15.75" customHeight="1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</row>
    <row r="883" ht="15.75" customHeight="1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</row>
    <row r="884" ht="15.75" customHeight="1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</row>
    <row r="885" ht="15.75" customHeight="1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</row>
    <row r="886" ht="15.75" customHeight="1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</row>
    <row r="887" ht="15.75" customHeight="1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</row>
    <row r="888" ht="15.75" customHeight="1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</row>
    <row r="889" ht="15.75" customHeight="1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</row>
    <row r="890" ht="15.75" customHeight="1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</row>
    <row r="891" ht="15.75" customHeight="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</row>
    <row r="892" ht="15.75" customHeight="1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</row>
    <row r="893" ht="15.75" customHeight="1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</row>
    <row r="894" ht="15.75" customHeight="1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</row>
    <row r="895" ht="15.75" customHeight="1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</row>
    <row r="896" ht="15.75" customHeight="1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</row>
    <row r="897" ht="15.75" customHeight="1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</row>
    <row r="898" ht="15.75" customHeight="1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</row>
    <row r="899" ht="15.75" customHeight="1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</row>
    <row r="900" ht="15.75" customHeight="1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</row>
    <row r="901" ht="15.75" customHeight="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</row>
    <row r="902" ht="15.75" customHeight="1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</row>
    <row r="903" ht="15.75" customHeight="1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</row>
    <row r="904" ht="15.75" customHeight="1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</row>
    <row r="905" ht="15.75" customHeight="1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</row>
    <row r="906" ht="15.75" customHeight="1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</row>
    <row r="907" ht="15.75" customHeight="1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</row>
    <row r="908" ht="15.75" customHeight="1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</row>
    <row r="909" ht="15.75" customHeight="1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</row>
    <row r="910" ht="15.75" customHeight="1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</row>
    <row r="911" ht="15.75" customHeight="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</row>
    <row r="912" ht="15.75" customHeight="1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</row>
    <row r="913" ht="15.75" customHeight="1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</row>
    <row r="914" ht="15.75" customHeight="1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</row>
    <row r="915" ht="15.75" customHeight="1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</row>
    <row r="916" ht="15.75" customHeight="1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</row>
    <row r="917" ht="15.75" customHeight="1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</row>
    <row r="918" ht="15.75" customHeight="1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</row>
    <row r="919" ht="15.75" customHeight="1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</row>
    <row r="920" ht="15.75" customHeight="1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</row>
    <row r="921" ht="15.75" customHeight="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</row>
    <row r="922" ht="15.75" customHeight="1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</row>
    <row r="923" ht="15.75" customHeight="1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</row>
    <row r="924" ht="15.75" customHeight="1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</row>
    <row r="925" ht="15.75" customHeight="1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</row>
    <row r="926" ht="15.75" customHeight="1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</row>
    <row r="927" ht="15.75" customHeight="1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</row>
    <row r="928" ht="15.75" customHeight="1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</row>
    <row r="929" ht="15.75" customHeight="1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</row>
    <row r="930" ht="15.75" customHeight="1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</row>
    <row r="931" ht="15.75" customHeight="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</row>
    <row r="932" ht="15.75" customHeight="1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</row>
    <row r="933" ht="15.75" customHeight="1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</row>
    <row r="934" ht="15.75" customHeight="1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</row>
    <row r="935" ht="15.75" customHeight="1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</row>
    <row r="936" ht="15.75" customHeight="1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</row>
    <row r="937" ht="15.75" customHeight="1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</row>
    <row r="938" ht="15.75" customHeight="1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</row>
    <row r="939" ht="15.75" customHeight="1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</row>
    <row r="940" ht="15.75" customHeight="1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</row>
    <row r="941" ht="15.75" customHeight="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</row>
    <row r="942" ht="15.75" customHeight="1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</row>
    <row r="943" ht="15.75" customHeight="1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</row>
    <row r="944" ht="15.75" customHeight="1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</row>
    <row r="945" ht="15.75" customHeight="1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</row>
    <row r="946" ht="15.75" customHeight="1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</row>
    <row r="947" ht="15.75" customHeight="1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</row>
    <row r="948" ht="15.75" customHeight="1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</row>
    <row r="949" ht="15.75" customHeight="1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</row>
    <row r="950" ht="15.75" customHeight="1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</row>
    <row r="951" ht="15.75" customHeight="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</row>
    <row r="952" ht="15.75" customHeight="1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</row>
    <row r="953" ht="15.75" customHeight="1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</row>
    <row r="954" ht="15.75" customHeight="1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</row>
    <row r="955" ht="15.75" customHeight="1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</row>
    <row r="956" ht="15.75" customHeight="1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</row>
    <row r="957" ht="15.75" customHeight="1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</row>
    <row r="958" ht="15.75" customHeight="1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</row>
    <row r="959" ht="15.75" customHeight="1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</row>
    <row r="960" ht="15.75" customHeight="1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</row>
    <row r="961" ht="15.75" customHeight="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</row>
    <row r="962" ht="15.75" customHeight="1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</row>
    <row r="963" ht="15.75" customHeight="1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</row>
    <row r="964" ht="15.75" customHeight="1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</row>
    <row r="965" ht="15.75" customHeight="1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</row>
    <row r="966" ht="15.75" customHeight="1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</row>
    <row r="967" ht="15.75" customHeight="1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</row>
    <row r="968" ht="15.75" customHeight="1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</row>
    <row r="969" ht="15.75" customHeight="1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</row>
    <row r="970" ht="15.75" customHeight="1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</row>
    <row r="971" ht="15.75" customHeight="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</row>
    <row r="972" ht="15.75" customHeight="1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</row>
    <row r="973" ht="15.75" customHeight="1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</row>
    <row r="974" ht="15.75" customHeight="1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</row>
    <row r="975" ht="15.75" customHeight="1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</row>
    <row r="976" ht="15.75" customHeight="1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</row>
    <row r="977" ht="15.75" customHeight="1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</row>
    <row r="978" ht="15.75" customHeight="1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</row>
    <row r="979" ht="15.75" customHeight="1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</row>
    <row r="980" ht="15.75" customHeight="1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</row>
    <row r="981" ht="15.75" customHeight="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</row>
    <row r="982" ht="15.75" customHeight="1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</row>
    <row r="983" ht="15.75" customHeight="1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</row>
    <row r="984" ht="15.75" customHeight="1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</row>
    <row r="985" ht="15.75" customHeight="1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</row>
    <row r="986" ht="15.75" customHeight="1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</row>
    <row r="987" ht="15.75" customHeight="1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</row>
    <row r="988" ht="15.75" customHeight="1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</row>
    <row r="989" ht="15.75" customHeight="1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</row>
    <row r="990" ht="15.75" customHeight="1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</row>
    <row r="991" ht="15.75" customHeight="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</row>
    <row r="992" ht="15.75" customHeight="1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</row>
    <row r="993" ht="15.75" customHeight="1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</row>
    <row r="994" ht="15.75" customHeight="1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</row>
    <row r="995" ht="15.75" customHeight="1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</row>
    <row r="996" ht="15.75" customHeight="1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</row>
    <row r="997" ht="15.75" customHeight="1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</row>
    <row r="998" ht="15.75" customHeight="1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</row>
    <row r="999" ht="15.75" customHeight="1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</row>
    <row r="1000" ht="15.75" customHeight="1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</row>
    <row r="1001" ht="15.75" customHeight="1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</row>
  </sheetData>
  <mergeCells count="21">
    <mergeCell ref="R3:S3"/>
    <mergeCell ref="T3:U3"/>
    <mergeCell ref="A1:U1"/>
    <mergeCell ref="B3:C3"/>
    <mergeCell ref="D3:E3"/>
    <mergeCell ref="F3:G3"/>
    <mergeCell ref="H3:I3"/>
    <mergeCell ref="J3:K3"/>
    <mergeCell ref="L3:M3"/>
    <mergeCell ref="D25:H25"/>
    <mergeCell ref="O25:S25"/>
    <mergeCell ref="D30:H30"/>
    <mergeCell ref="O30:S30"/>
    <mergeCell ref="D31:E31"/>
    <mergeCell ref="N3:O3"/>
    <mergeCell ref="P3:Q3"/>
    <mergeCell ref="A4:A7"/>
    <mergeCell ref="A8:A11"/>
    <mergeCell ref="A12:A13"/>
    <mergeCell ref="A14:A17"/>
    <mergeCell ref="A18:A21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2022-08-25T07:13:03Z</dcterms:created>
  <dc:creator>Matebook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0x010100596D44E58314794580D0ACF623EA60E2</vt:lpwstr>
  </property>
</Properties>
</file>