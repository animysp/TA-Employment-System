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ี1 (รหัส66) เทอม1-66" sheetId="1" r:id="rId5"/>
    <sheet state="visible" name="ปี2 (รหัส65) เทอม1-66 (60)" sheetId="2" r:id="rId6"/>
    <sheet state="visible" name="ปี3 (รหัส64) เทอม1-66 (58)" sheetId="3" r:id="rId7"/>
    <sheet state="visible" name="ปี4 (รหัส63) เทอม1-66 (45)" sheetId="4" r:id="rId8"/>
    <sheet state="visible" name="DG2562V1.1Courses" sheetId="5" r:id="rId9"/>
    <sheet state="visible" name="DG2562V1.2Courses" sheetId="6" r:id="rId10"/>
    <sheet state="visible" name="Workload" sheetId="7" r:id="rId11"/>
    <sheet state="hidden" name="สำเนาของ  เทอม 1-65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5">
      <text>
        <t xml:space="preserve">สามารถแยกLAB LEC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เอกเลือก</t>
      </text>
    </comment>
    <comment authorId="0" ref="H13">
      <text>
        <t xml:space="preserve">เอกเลือก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เอกเลือก</t>
      </text>
    </comment>
    <comment authorId="0" ref="O5">
      <text>
        <t xml:space="preserve">เอกเลือก</t>
      </text>
    </comment>
    <comment authorId="0" ref="R5">
      <text>
        <t xml:space="preserve">เอกเลือก</t>
      </text>
    </comment>
    <comment authorId="0" ref="E9">
      <text>
        <t xml:space="preserve">เอกเลือก</t>
      </text>
    </comment>
    <comment authorId="0" ref="H13">
      <text>
        <t xml:space="preserve">เอกเลือก</t>
      </text>
    </comment>
    <comment authorId="0" ref="E17">
      <text>
        <t xml:space="preserve">เอกเลือก</t>
      </text>
    </comment>
    <comment authorId="0" ref="N24">
      <text>
        <t xml:space="preserve">ประสบการณ์, ชื่อเสียง
ป.ตรี 
ป.โท 1000-1500
ป.เอก</t>
      </text>
    </comment>
    <comment authorId="0" ref="N27">
      <text>
        <t xml:space="preserve">Richmond </t>
      </text>
    </comment>
  </commentList>
</comments>
</file>

<file path=xl/sharedStrings.xml><?xml version="1.0" encoding="utf-8"?>
<sst xmlns="http://schemas.openxmlformats.org/spreadsheetml/2006/main" count="772" uniqueCount="406">
  <si>
    <t>ตารางเรียนสาขาวิชาดิจิทัลเกม สำหรับนักศึกษาชั้นปีที่ 1 (รหัส66)</t>
  </si>
  <si>
    <t>ภาคการศึกษาที่ 1 ปีการศึกษา 2567</t>
  </si>
  <si>
    <t>(จำนวนนักศึกษา 55 คน)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</si>
  <si>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</si>
  <si>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</si>
  <si>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</si>
  <si>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</si>
  <si>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</si>
  <si>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</si>
  <si>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</si>
  <si>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</si>
  <si>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</si>
  <si>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</si>
  <si>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</si>
  <si>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Monday</t>
  </si>
  <si>
    <r>
      <rPr>
        <rFont val="Sarabun"/>
        <b/>
        <color rgb="FF000000"/>
        <sz val="11.0"/>
      </rPr>
      <t>013110</t>
    </r>
    <r>
      <rPr>
        <rFont val="Sarabun"/>
        <color rgb="FF000000"/>
        <sz val="11.0"/>
      </rPr>
      <t xml:space="preserve">
Psychology and Daily Life </t>
    </r>
  </si>
  <si>
    <r>
      <rPr>
        <rFont val="Sarabun"/>
        <b/>
        <color rgb="FF000000"/>
        <sz val="11.0"/>
      </rPr>
      <t>001101</t>
    </r>
    <r>
      <rPr>
        <rFont val="Sarabun"/>
        <color rgb="FF000000"/>
        <sz val="11.0"/>
      </rPr>
      <t xml:space="preserve">
Fundamental English 1</t>
    </r>
  </si>
  <si>
    <r>
      <rPr>
        <rFont val="Sarabun"/>
        <b/>
        <color rgb="FF000000"/>
        <sz val="11.0"/>
      </rPr>
      <t>955103</t>
    </r>
    <r>
      <rPr>
        <rFont val="Sarabun"/>
        <color rgb="FF000000"/>
        <sz val="11.0"/>
      </rPr>
      <t>/lec.006
PROGRAMMING LOGICAL THINKING 
 (113)
66 คน
อ.ดร.สุมาลี</t>
    </r>
  </si>
  <si>
    <r>
      <rPr>
        <rFont val="Sarabun"/>
        <b/>
        <color rgb="FF000000"/>
        <sz val="11.0"/>
      </rPr>
      <t>955103</t>
    </r>
    <r>
      <rPr>
        <rFont val="Sarabun"/>
        <color rgb="FF000000"/>
        <sz val="11.0"/>
      </rPr>
      <t>/lab.006
PROGRAMMING LOGICAL THINKING 
(c307),อ.ก้อย
/lab.007(</t>
    </r>
    <r>
      <rPr>
        <rFont val="Sarabun"/>
        <strike/>
        <color rgb="FF000000"/>
        <sz val="11.0"/>
      </rPr>
      <t xml:space="preserve">C208 </t>
    </r>
    <r>
      <rPr>
        <rFont val="Sarabun"/>
        <color rgb="FF000000"/>
        <sz val="11.0"/>
      </rPr>
      <t>ได้ห้อง C207)ขอแลกห้องกับ 
อ.จอห์น แล้ว 
TA พิเศษงบสำนักฯ
sec 35,30 คน
อ.ดร.สุมาลี</t>
    </r>
  </si>
  <si>
    <t>tuesday</t>
  </si>
  <si>
    <r>
      <rPr>
        <rFont val="Sarabun"/>
        <b/>
        <color rgb="FF000000"/>
        <sz val="11.0"/>
      </rPr>
      <t xml:space="preserve">801100
</t>
    </r>
    <r>
      <rPr>
        <rFont val="Sarabun"/>
        <color rgb="FF000000"/>
        <sz val="11.0"/>
      </rPr>
      <t xml:space="preserve">Architecture in Everyday Life </t>
    </r>
  </si>
  <si>
    <r>
      <rPr>
        <rFont val="Sarabun"/>
        <b/>
        <color rgb="FF000000"/>
        <sz val="11.0"/>
      </rPr>
      <t>140104</t>
    </r>
    <r>
      <rPr>
        <rFont val="Sarabun"/>
        <color rgb="FF000000"/>
        <sz val="11.0"/>
      </rPr>
      <t xml:space="preserve">
Citizenship</t>
    </r>
  </si>
  <si>
    <t xml:space="preserve"> </t>
  </si>
  <si>
    <t>wednesday</t>
  </si>
  <si>
    <t>thursday</t>
  </si>
  <si>
    <r>
      <rPr>
        <rFont val="Sarabun"/>
        <b/>
        <color rgb="FF000000"/>
        <sz val="11.0"/>
      </rPr>
      <t>013110</t>
    </r>
    <r>
      <rPr>
        <rFont val="Sarabun"/>
        <color rgb="FF000000"/>
        <sz val="11.0"/>
      </rPr>
      <t xml:space="preserve">
Psychology and Daily Life </t>
    </r>
  </si>
  <si>
    <r>
      <rPr>
        <rFont val="Sarabun"/>
        <b/>
        <color rgb="FF000000"/>
        <sz val="11.0"/>
      </rPr>
      <t>001101</t>
    </r>
    <r>
      <rPr>
        <rFont val="Sarabun"/>
        <color rgb="FF000000"/>
        <sz val="11.0"/>
      </rPr>
      <t xml:space="preserve">
Fundamental English 1</t>
    </r>
  </si>
  <si>
    <t>Friday</t>
  </si>
  <si>
    <r>
      <rPr>
        <rFont val="Sarabun"/>
        <b/>
        <color rgb="FF000000"/>
        <sz val="11.0"/>
      </rPr>
      <t xml:space="preserve">801100
</t>
    </r>
    <r>
      <rPr>
        <rFont val="Sarabun"/>
        <color rgb="FF000000"/>
        <sz val="11.0"/>
      </rPr>
      <t xml:space="preserve">Architecture in Everyday Life </t>
    </r>
  </si>
  <si>
    <r>
      <rPr>
        <rFont val="Sarabun"/>
        <b/>
        <color rgb="FF000000"/>
        <sz val="11.0"/>
      </rPr>
      <t>140104</t>
    </r>
    <r>
      <rPr>
        <rFont val="Sarabun"/>
        <color rgb="FF000000"/>
        <sz val="11.0"/>
      </rPr>
      <t xml:space="preserve">
Citizenship</t>
    </r>
  </si>
  <si>
    <r>
      <rPr>
        <rFont val="Sarabun"/>
        <b/>
        <color rgb="FF000000"/>
        <sz val="11.0"/>
      </rPr>
      <t>958111</t>
    </r>
    <r>
      <rPr>
        <rFont val="Sarabun"/>
        <color rgb="FF000000"/>
        <sz val="11.0"/>
      </rPr>
      <t>/001
COMP &amp; PROGRAM FOR GAME 1
66 คน
ผศ.ดร.กฤติยา
113</t>
    </r>
  </si>
  <si>
    <r>
      <rPr>
        <rFont val="Sarabun"/>
        <b/>
        <color rgb="FF000000"/>
        <sz val="11.0"/>
      </rPr>
      <t>958111</t>
    </r>
    <r>
      <rPr>
        <rFont val="Sarabun"/>
        <color rgb="FF000000"/>
        <sz val="11.0"/>
      </rPr>
      <t xml:space="preserve">/001 
COMP &amp; PROGRAM FOR GAME 1
ผศ.ดร.กฤติยา (c204),
/002 TA(c206),
/003 TA (c209)
</t>
    </r>
  </si>
  <si>
    <t>Saturday</t>
  </si>
  <si>
    <t>Sunday</t>
  </si>
  <si>
    <t>วิทยากร</t>
  </si>
  <si>
    <t>อาจารย์พิเศษ</t>
  </si>
  <si>
    <t>TA</t>
  </si>
  <si>
    <t>ชื่ออาจารย์</t>
  </si>
  <si>
    <t>เวลา
ชม./สัปดาห์</t>
  </si>
  <si>
    <t>จำนวนสัปดาห์</t>
  </si>
  <si>
    <t>สรุปค่าตอบแทน</t>
  </si>
  <si>
    <t>สถานนะตรวจสอบ</t>
  </si>
  <si>
    <t>ลำดับ</t>
  </si>
  <si>
    <t>รหัสวิชา</t>
  </si>
  <si>
    <t>รายวิชา</t>
  </si>
  <si>
    <t>หน่วยกิต</t>
  </si>
  <si>
    <t>อ.ผู้สอน</t>
  </si>
  <si>
    <t>ห้องเรียน</t>
  </si>
  <si>
    <t>หมายเหตุ</t>
  </si>
  <si>
    <t>Lec 
(600)</t>
  </si>
  <si>
    <t>Lec 
(1000)</t>
  </si>
  <si>
    <t>Lec 
(1500)</t>
  </si>
  <si>
    <t>Lec (600)</t>
  </si>
  <si>
    <t>Lab (450)</t>
  </si>
  <si>
    <t>Lec 
(200)</t>
  </si>
  <si>
    <t>Lab (200)</t>
  </si>
  <si>
    <t>ยังไม่ได้ตรวจสอบ</t>
  </si>
  <si>
    <t>955103</t>
  </si>
  <si>
    <t>อ.ดร.สุมาลี</t>
  </si>
  <si>
    <t>113,c307,c208</t>
  </si>
  <si>
    <t>958111</t>
  </si>
  <si>
    <t>ผศ.ดร.กฤติยา</t>
  </si>
  <si>
    <t>113,c204,c206,C208</t>
  </si>
  <si>
    <t>013110</t>
  </si>
  <si>
    <t>140104</t>
  </si>
  <si>
    <t>801100</t>
  </si>
  <si>
    <t>001101</t>
  </si>
  <si>
    <t>001101 ภาษาอังกฤษ
***เวลาไม่แน่นอน***</t>
  </si>
  <si>
    <t>รวม</t>
  </si>
  <si>
    <t>ตารางเรียนสาขาวิชาดิจิทัลเกม สำหรับนักศึกษาชั้นปีที่ 2 (รหัส65)</t>
  </si>
  <si>
    <t>ภาคการศึกษาที่ 1 ปีการศึกษา 2566</t>
  </si>
  <si>
    <t>(จำนวนนักศึกษา 62 คน)</t>
  </si>
  <si>
    <r>
      <rPr>
        <rFont val="Sarabun"/>
        <b/>
        <color rgb="FF000000"/>
        <sz val="11.0"/>
      </rPr>
      <t>958201
MATH FOR COMP GRAPH &amp; GAME</t>
    </r>
    <r>
      <rPr>
        <rFont val="Sarabun"/>
        <color rgb="FF000000"/>
        <sz val="11.0"/>
      </rPr>
      <t xml:space="preserve">
80 คน
ผศ.ดร.กฤติยา 
CAMT 113</t>
    </r>
  </si>
  <si>
    <r>
      <rPr>
        <rFont val="Sarabun"/>
        <b/>
        <color rgb="FF000000"/>
        <sz val="11.0"/>
      </rPr>
      <t>001201</t>
    </r>
    <r>
      <rPr>
        <rFont val="Sarabun"/>
        <color rgb="FF000000"/>
        <sz val="11.0"/>
      </rPr>
      <t xml:space="preserve">
Critical Reading and Effective Writing</t>
    </r>
  </si>
  <si>
    <t>955104 (Sec.001)
60คน
อ.ศุภรา
113</t>
  </si>
  <si>
    <r>
      <rPr>
        <rFont val="Sarabun"/>
        <b/>
        <color rgb="FFCC0000"/>
        <sz val="11.0"/>
      </rPr>
      <t>958373
GAMIFICATION</t>
    </r>
    <r>
      <rPr>
        <rFont val="Sarabun"/>
        <color rgb="FF000000"/>
        <sz val="11.0"/>
      </rPr>
      <t xml:space="preserve">
30 คน
ผศ.ดร.ธีรวัฒน์
b302 (Sec001)</t>
    </r>
  </si>
  <si>
    <t xml:space="preserve">958225 
Digital Game Production
sec.001
อ.ศุภรา (อ.เอม เป็นผู้สอน)
c201,c202
</t>
  </si>
  <si>
    <r>
      <rPr>
        <rFont val="Sarabun"/>
        <b/>
        <color rgb="FF000000"/>
        <sz val="11.0"/>
      </rPr>
      <t>958261</t>
    </r>
    <r>
      <rPr>
        <rFont val="Sarabun"/>
        <color rgb="FF000000"/>
        <sz val="11.0"/>
      </rPr>
      <t>/001
GRAPHICS DESIGN FOR 2D GAMES
60คน
อ.ศุภรา
(อ.พิเศษ) (b302)</t>
    </r>
  </si>
  <si>
    <r>
      <rPr>
        <rFont val="Sarabun"/>
        <b/>
        <color rgb="FF000000"/>
        <sz val="11.0"/>
      </rPr>
      <t>958261</t>
    </r>
    <r>
      <rPr>
        <rFont val="Sarabun"/>
        <color rgb="FF000000"/>
        <sz val="11.0"/>
      </rPr>
      <t>/001 อ.ศุภรา (อ.พิเศษ)
GRAPHICS DESIGN FOR 2D GAMES
 (c207),
/002 TA C208,
/003ILC-C209
sec30คน</t>
    </r>
  </si>
  <si>
    <r>
      <rPr>
        <rFont val="Sarabun"/>
        <b/>
        <color rgb="FF000000"/>
        <sz val="11.0"/>
      </rPr>
      <t>958201
MATH FOR COMP GRAPH &amp; GAME</t>
    </r>
    <r>
      <rPr>
        <rFont val="Sarabun"/>
        <color rgb="FF000000"/>
        <sz val="11.0"/>
      </rPr>
      <t xml:space="preserve">
80 คน
ผศ.ดร.กฤติยา 
CAMT 113</t>
    </r>
  </si>
  <si>
    <r>
      <rPr>
        <rFont val="Sarabun"/>
        <b/>
        <color rgb="FF000000"/>
        <sz val="11.0"/>
      </rPr>
      <t>001201</t>
    </r>
    <r>
      <rPr>
        <rFont val="Sarabun"/>
        <color rgb="FF000000"/>
        <sz val="11.0"/>
      </rPr>
      <t xml:space="preserve">
Critical Reading and Effective Writing</t>
    </r>
  </si>
  <si>
    <r>
      <rPr>
        <rFont val="Sarabun"/>
        <b/>
        <color rgb="FF000000"/>
        <sz val="11.0"/>
      </rPr>
      <t>958221</t>
    </r>
    <r>
      <rPr>
        <rFont val="Sarabun"/>
        <color rgb="FF000000"/>
        <sz val="11.0"/>
      </rPr>
      <t xml:space="preserve">/001
60คน
อ.ดร.ปฏิสนธิ์
(b302) </t>
    </r>
  </si>
  <si>
    <r>
      <rPr>
        <rFont val="Sarabun"/>
        <b/>
        <color rgb="FF000000"/>
        <sz val="11.0"/>
      </rPr>
      <t>958221</t>
    </r>
    <r>
      <rPr>
        <rFont val="Sarabun"/>
        <color rgb="FF000000"/>
        <sz val="11.0"/>
      </rPr>
      <t>/001 อ.ดร.ปฏิสนธิ์ (c204),
/002 TA (c206),
sec30คน</t>
    </r>
  </si>
  <si>
    <r>
      <rPr>
        <rFont val="Sarabun"/>
        <b/>
        <color rgb="FFCC0000"/>
        <sz val="11.0"/>
      </rPr>
      <t>958373
GAMIFICATION</t>
    </r>
    <r>
      <rPr>
        <rFont val="Sarabun"/>
        <color rgb="FF000000"/>
        <sz val="11.0"/>
      </rPr>
      <t xml:space="preserve">
30 คน
ผศ.ดร.ธีรวัฒน์
b302 (Sec001)</t>
    </r>
  </si>
  <si>
    <t>ผู้สอน</t>
  </si>
  <si>
    <t>ห้อง</t>
  </si>
  <si>
    <t>001201</t>
  </si>
  <si>
    <t>955104</t>
  </si>
  <si>
    <t>958201</t>
  </si>
  <si>
    <t>b302</t>
  </si>
  <si>
    <t>958221</t>
  </si>
  <si>
    <t>อ.ดร.ปฏิสนธิ์</t>
  </si>
  <si>
    <t>C207,C208</t>
  </si>
  <si>
    <t>1(น้องมาย)</t>
  </si>
  <si>
    <t>958225</t>
  </si>
  <si>
    <t>อ.ศุภรา (เอมสอน)</t>
  </si>
  <si>
    <t>c201,c202</t>
  </si>
  <si>
    <t>958261</t>
  </si>
  <si>
    <t>อ.ศุภรา</t>
  </si>
  <si>
    <t>เอกเลือก</t>
  </si>
  <si>
    <t>***ให้นักศึกษาเลือกเพิ่ม</t>
  </si>
  <si>
    <t>958373</t>
  </si>
  <si>
    <t>ผศ.ดร.ธีรวัฒน์</t>
  </si>
  <si>
    <t>อ.ดร.เทพฤทธิ์</t>
  </si>
  <si>
    <t>C308 หรือ C309</t>
  </si>
  <si>
    <t>4ชม.</t>
  </si>
  <si>
    <t>***หมายเหตุ*** สำหรับนักศึกษาที่ยังลงทะเบียนกลุ่มวิชาการเรียนรู้ผ่านกิจกรรม ไม่ครบ 3 หน่วยกิตต้องลงเพิ่มเติมให้ครบ</t>
  </si>
  <si>
    <t>ตารางเรียนสาขาวิชาดิจิทัลเกม สำหรับนักศึกษาชั้นปีที่ 3 (รหัส 64)</t>
  </si>
  <si>
    <t xml:space="preserve">(จำนวนนักศึกษา 47 คน)                                </t>
  </si>
  <si>
    <t>(จำนวนนักศึกษา 58 คน)</t>
  </si>
  <si>
    <r>
      <rPr>
        <rFont val="Sarabun"/>
        <color theme="1"/>
        <sz val="11.0"/>
      </rPr>
      <t xml:space="preserve">(เอกเลือก)   
</t>
    </r>
    <r>
      <rPr>
        <rFont val="Sarabun"/>
        <b/>
        <color theme="1"/>
        <sz val="11.0"/>
      </rPr>
      <t xml:space="preserve">958481/sec.003    </t>
    </r>
    <r>
      <rPr>
        <rFont val="Sarabun"/>
        <color theme="1"/>
        <sz val="11.0"/>
      </rPr>
      <t xml:space="preserve"> (ฺCAMT 112)   
Sel Topic in Game Dev1 (Basic Game Design)   อ.ศุภรา   
lab notebook C305,C306                                        </t>
    </r>
  </si>
  <si>
    <r>
      <rPr>
        <rFont val="Sarabun"/>
        <color theme="1"/>
        <sz val="11.0"/>
      </rPr>
      <t xml:space="preserve">(เอกเลือก)   
</t>
    </r>
    <r>
      <rPr>
        <rFont val="Sarabun"/>
        <b/>
        <color theme="1"/>
        <sz val="11.0"/>
      </rPr>
      <t xml:space="preserve">958481/sec.001 </t>
    </r>
    <r>
      <rPr>
        <rFont val="Sarabun"/>
        <color theme="1"/>
        <sz val="11.0"/>
      </rPr>
      <t xml:space="preserve">    C308 
Sel Topic in Game Dev1 (Adv UE )   อ.ดร.เทพฤทธิ์    
                             </t>
    </r>
  </si>
  <si>
    <r>
      <rPr>
        <rFont val="Sarabun"/>
        <b/>
        <color rgb="FF000000"/>
        <sz val="11.0"/>
      </rPr>
      <t xml:space="preserve">951212      </t>
    </r>
    <r>
      <rPr>
        <rFont val="Sarabun"/>
        <color rgb="FF000000"/>
        <sz val="11.0"/>
      </rPr>
      <t xml:space="preserve">  
3D Modeling and Animation Design 2                                                 
อ.ดร.กลวัชร (C204) ได้ห้อง C209</t>
    </r>
  </si>
  <si>
    <r>
      <rPr>
        <rFont val="Sarabun"/>
        <b/>
        <color rgb="FF000000"/>
        <sz val="11.0"/>
      </rPr>
      <t xml:space="preserve">951212      </t>
    </r>
    <r>
      <rPr>
        <rFont val="Sarabun"/>
        <color rgb="FF000000"/>
        <sz val="11.0"/>
      </rPr>
      <t xml:space="preserve">  
3D Modeling and Animation Design 2
อ.กลวัชร (Sec. 030, C209)</t>
    </r>
  </si>
  <si>
    <r>
      <rPr>
        <rFont val="Sarabun"/>
        <color theme="1"/>
        <sz val="11.0"/>
      </rPr>
      <t xml:space="preserve">(เอกเลือก)   
</t>
    </r>
    <r>
      <rPr>
        <rFont val="Sarabun"/>
        <b/>
        <color theme="1"/>
        <sz val="11.0"/>
      </rPr>
      <t xml:space="preserve">958481/sec.004 </t>
    </r>
    <r>
      <rPr>
        <rFont val="Sarabun"/>
        <color theme="1"/>
        <sz val="11.0"/>
      </rPr>
      <t xml:space="preserve">    C309 
Sel Topic in Game Dev1 (Adv UE )   อ.ดร.เทพฤทธิ์    
                             </t>
    </r>
  </si>
  <si>
    <r>
      <rPr>
        <rFont val="Sarabun"/>
        <b/>
        <color rgb="FF000000"/>
        <sz val="11.0"/>
      </rPr>
      <t>958331/sec.001</t>
    </r>
    <r>
      <rPr>
        <rFont val="Sarabun"/>
        <color rgb="FF000000"/>
        <sz val="11.0"/>
      </rPr>
      <t xml:space="preserve">
Database and Network for Game Development 
อ.ดร.สุมาลี lec.113 (lab C204,c206) ได้ห้อง c203/c204</t>
    </r>
  </si>
  <si>
    <r>
      <rPr>
        <rFont val="Sarabun"/>
        <color rgb="FF000000"/>
        <sz val="11.0"/>
      </rPr>
      <t xml:space="preserve"> (เอกเลือก)   
 </t>
    </r>
    <r>
      <rPr>
        <rFont val="Sarabun"/>
        <b/>
        <strike/>
        <color rgb="FF980000"/>
        <sz val="11.0"/>
      </rPr>
      <t xml:space="preserve">958341 </t>
    </r>
    <r>
      <rPr>
        <rFont val="Sarabun"/>
        <b/>
        <color rgb="FF980000"/>
        <sz val="11.0"/>
      </rPr>
      <t xml:space="preserve"> (ปิดกระบวนวิชานี้)</t>
    </r>
    <r>
      <rPr>
        <rFont val="Sarabun"/>
        <b/>
        <color rgb="FF000000"/>
        <sz val="11.0"/>
      </rPr>
      <t xml:space="preserve"> แล้วเปิดกระบวนวิชา 958481  (ตอนที่ 002)</t>
    </r>
    <r>
      <rPr>
        <rFont val="Sarabun"/>
        <color rgb="FF000000"/>
        <sz val="11.0"/>
      </rPr>
      <t xml:space="preserve">
</t>
    </r>
    <r>
      <rPr>
        <rFont val="Sarabun"/>
        <strike/>
        <color rgb="FF980000"/>
        <sz val="10.0"/>
      </rPr>
      <t>Realistic Game</t>
    </r>
    <r>
      <rPr>
        <rFont val="Sarabun"/>
        <color rgb="FF980000"/>
        <sz val="10.0"/>
      </rPr>
      <t xml:space="preserve">  </t>
    </r>
    <r>
      <rPr>
        <rFont val="Sarabun"/>
        <color rgb="FF000000"/>
        <sz val="10.0"/>
      </rPr>
      <t xml:space="preserve">Sel Topic in Game  prog patterns  </t>
    </r>
    <r>
      <rPr>
        <rFont val="Sarabun"/>
        <color rgb="FF980000"/>
        <sz val="10.0"/>
      </rPr>
      <t xml:space="preserve">
</t>
    </r>
    <r>
      <rPr>
        <rFont val="Sarabun"/>
        <strike/>
        <color rgb="FF980000"/>
        <sz val="10.0"/>
      </rPr>
      <t>Development</t>
    </r>
    <r>
      <rPr>
        <rFont val="Sarabun"/>
        <color rgb="FF000000"/>
        <sz val="10.0"/>
      </rPr>
      <t xml:space="preserve">
 อ.ดร.เกียรติกร (C309)                      </t>
    </r>
    <r>
      <rPr>
        <rFont val="Sarabun"/>
        <color rgb="FF000000"/>
        <sz val="11.0"/>
      </rPr>
      <t xml:space="preserve">                </t>
    </r>
  </si>
  <si>
    <t>958321/001 (C307) 
Game Development 3
อ.ดร.เกียรติกร
 Sec.002/(C308), TA Sec.003 (C309),อานน 
Sec 25 คน</t>
  </si>
  <si>
    <r>
      <rPr>
        <rFont val="Sarabun"/>
        <color rgb="FF000000"/>
        <sz val="11.0"/>
      </rPr>
      <t xml:space="preserve">(เอกเลือก)  
</t>
    </r>
    <r>
      <rPr>
        <rFont val="Sarabun"/>
        <b/>
        <color rgb="FF000000"/>
        <sz val="11.0"/>
      </rPr>
      <t xml:space="preserve">958441       </t>
    </r>
    <r>
      <rPr>
        <rFont val="Sarabun"/>
        <color rgb="FF000000"/>
        <sz val="11.0"/>
      </rPr>
      <t xml:space="preserve"> 
</t>
    </r>
    <r>
      <rPr>
        <rFont val="Sarabun"/>
        <color rgb="FF000000"/>
        <sz val="10.0"/>
      </rPr>
      <t xml:space="preserve">Motion Capture for Game Development 
ผศ.ดร.ธีรวัฒน์    (112)                         </t>
    </r>
    <r>
      <rPr>
        <rFont val="Sarabun"/>
        <color rgb="FF000000"/>
        <sz val="11.0"/>
      </rPr>
      <t xml:space="preserve">    </t>
    </r>
  </si>
  <si>
    <r>
      <rPr>
        <rFont val="Sarabun"/>
        <color rgb="FF000000"/>
        <sz val="11.0"/>
      </rPr>
      <t xml:space="preserve">(เอกเลือก)  
</t>
    </r>
    <r>
      <rPr>
        <rFont val="Sarabun"/>
        <b/>
        <color rgb="FF000000"/>
        <sz val="11.0"/>
      </rPr>
      <t xml:space="preserve">958441 LAB  / 001    </t>
    </r>
    <r>
      <rPr>
        <rFont val="Sarabun"/>
        <color rgb="FF000000"/>
        <sz val="11.0"/>
      </rPr>
      <t xml:space="preserve"> (จำนวนที่รองรับได้ 30 คน)
</t>
    </r>
    <r>
      <rPr>
        <rFont val="Sarabun"/>
        <color rgb="FF000000"/>
        <sz val="10.0"/>
      </rPr>
      <t xml:space="preserve">Motion Capture for Game Development 
ผศ.ดร.ธีรวัฒน์    (C202) </t>
    </r>
    <r>
      <rPr>
        <rFont val="Sarabun"/>
        <b/>
        <color rgb="FF980000"/>
        <sz val="10.0"/>
      </rPr>
      <t>แลกห้องกับ อ.แนท SE เป็นห้อง C206 เรียบร้อยแล้ว</t>
    </r>
    <r>
      <rPr>
        <rFont val="Sarabun"/>
        <b/>
        <color rgb="FFFF0000"/>
        <sz val="10.0"/>
      </rPr>
      <t xml:space="preserve"> </t>
    </r>
    <r>
      <rPr>
        <rFont val="Sarabun"/>
        <color rgb="FFFF0000"/>
        <sz val="10.0"/>
      </rPr>
      <t xml:space="preserve">  </t>
    </r>
    <r>
      <rPr>
        <rFont val="Sarabun"/>
        <color rgb="FF000000"/>
        <sz val="10.0"/>
      </rPr>
      <t xml:space="preserve">                     </t>
    </r>
    <r>
      <rPr>
        <rFont val="Sarabun"/>
        <color rgb="FF000000"/>
        <sz val="11.0"/>
      </rPr>
      <t xml:space="preserve">    </t>
    </r>
  </si>
  <si>
    <r>
      <rPr>
        <rFont val="Sarabun"/>
        <color theme="0"/>
        <sz val="8.0"/>
      </rPr>
      <t xml:space="preserve">(เอกเลือก)   
</t>
    </r>
    <r>
      <rPr>
        <rFont val="Sarabun"/>
        <b/>
        <color theme="0"/>
        <sz val="8.0"/>
      </rPr>
      <t xml:space="preserve">958481    </t>
    </r>
    <r>
      <rPr>
        <rFont val="Sarabun"/>
        <color theme="0"/>
        <sz val="8.0"/>
      </rPr>
      <t xml:space="preserve"> (ฺB302)   
Sel Topic in Game Dev1 (Basic Game Design)   อ.ศุภรา                                           </t>
    </r>
  </si>
  <si>
    <t>เอกบังคับ</t>
  </si>
  <si>
    <t>จำนวนรับ Sec001</t>
  </si>
  <si>
    <t>Game Development 3</t>
  </si>
  <si>
    <t>001</t>
  </si>
  <si>
    <t>อ.ดร.เกียรติกร</t>
  </si>
  <si>
    <t>C308,C309,307</t>
  </si>
  <si>
    <t xml:space="preserve">เด็กตกแผนเพิ่มมา 13 คน </t>
  </si>
  <si>
    <t>Artificial Intelligence for Game Development</t>
  </si>
  <si>
    <t>C308,C309</t>
  </si>
  <si>
    <t>เด็กตกแผนเพิ่มมา 13 คน (รวมใน 60 คนแล้ว)</t>
  </si>
  <si>
    <t>Database and Network for Game Development</t>
  </si>
  <si>
    <t>อ.ดร. สุมาลี</t>
  </si>
  <si>
    <t>C206,C207</t>
  </si>
  <si>
    <t>60 (ห้องรับได้ถึง 68)</t>
  </si>
  <si>
    <t>1คน 3ชม.</t>
  </si>
  <si>
    <t>Realistic Game Development (เอกเลือก)</t>
  </si>
  <si>
    <t>C309</t>
  </si>
  <si>
    <t>ปิดกระบวนวิชา</t>
  </si>
  <si>
    <t>002</t>
  </si>
  <si>
    <t>เปิดกระบวนวิชานี้แทน</t>
  </si>
  <si>
    <t>Motion Capture for Game Development(เอกเลือก)</t>
  </si>
  <si>
    <t>112 ,C202,C206</t>
  </si>
  <si>
    <t>1คน 10ชม.(2ครั้ง)</t>
  </si>
  <si>
    <t>ตรวจสอบแล้ว (เทพฤทธิ์)</t>
  </si>
  <si>
    <t>Sel Topic in Game Dev1 (AdvUE + VR)</t>
  </si>
  <si>
    <t>XXX</t>
  </si>
  <si>
    <t>Sel Topic in Game Dev1 (Basic Game Design) (เอกเลือก)</t>
  </si>
  <si>
    <t>003</t>
  </si>
  <si>
    <t xml:space="preserve"> B302</t>
  </si>
  <si>
    <t>1(น้องยู้)</t>
  </si>
  <si>
    <t xml:space="preserve">Three Dimensional Modeling and Animation Design 2 </t>
  </si>
  <si>
    <t>อ.ดร.อรุษ</t>
  </si>
  <si>
    <t>C208</t>
  </si>
  <si>
    <t>test</t>
  </si>
  <si>
    <t>ตารางเรียนสาขาวิชาดิจิทัลเกม สำหรับนักศึกษาชั้นปีที่ 4 (รหัส63)</t>
  </si>
  <si>
    <t xml:space="preserve">(จำนวนนักศึกษา 45 คน)                                </t>
  </si>
  <si>
    <t>Section</t>
  </si>
  <si>
    <t>คน</t>
  </si>
  <si>
    <t>Work integrated Lerning for Digital Game 1</t>
  </si>
  <si>
    <t>อ. เกียรติกร</t>
  </si>
  <si>
    <t>อ. เอ๋</t>
  </si>
  <si>
    <t>อ. แจ๋ว</t>
  </si>
  <si>
    <t>อ. น้อย</t>
  </si>
  <si>
    <t>อ. จอน</t>
  </si>
  <si>
    <t>อ. จูน</t>
  </si>
  <si>
    <t>อ. สุมาลี</t>
  </si>
  <si>
    <t>อ. มอง</t>
  </si>
  <si>
    <t>(1) General Education</t>
  </si>
  <si>
    <t>Course Code</t>
  </si>
  <si>
    <t>Course Abbrev</t>
  </si>
  <si>
    <t>Course Name</t>
  </si>
  <si>
    <t>Course Credits</t>
  </si>
  <si>
    <t>Credits Structure</t>
  </si>
  <si>
    <t>Language and Communication</t>
  </si>
  <si>
    <t>ENGL 101</t>
  </si>
  <si>
    <t>Fundamental English 1</t>
  </si>
  <si>
    <t>3-0-6</t>
  </si>
  <si>
    <t>001102</t>
  </si>
  <si>
    <t>ENGL 102</t>
  </si>
  <si>
    <t>Fundamental English 2</t>
  </si>
  <si>
    <t>ENGL 201</t>
  </si>
  <si>
    <t>Critical Reading and Effective Writing</t>
  </si>
  <si>
    <t>001229</t>
  </si>
  <si>
    <t>ENGL 229</t>
  </si>
  <si>
    <t>English for Media Arts</t>
  </si>
  <si>
    <t>Humanities and Social Sciences</t>
  </si>
  <si>
    <t>PSY 100</t>
  </si>
  <si>
    <t>Psychology and Daily Life</t>
  </si>
  <si>
    <t>050100</t>
  </si>
  <si>
    <t>HUGE 100</t>
  </si>
  <si>
    <t>Usage of The Thai Language</t>
  </si>
  <si>
    <t>109115</t>
  </si>
  <si>
    <t>FAGE 115</t>
  </si>
  <si>
    <t>Life and Aesthetics</t>
  </si>
  <si>
    <t>176100</t>
  </si>
  <si>
    <t>LAGE 100</t>
  </si>
  <si>
    <t>Law and Modern World</t>
  </si>
  <si>
    <t>703103</t>
  </si>
  <si>
    <t>MGMT 103</t>
  </si>
  <si>
    <t>Introduction to Enterpreneurship and Business</t>
  </si>
  <si>
    <t>751100</t>
  </si>
  <si>
    <t>ECON 100</t>
  </si>
  <si>
    <t>Economics for Everyday Life</t>
  </si>
  <si>
    <t>851100</t>
  </si>
  <si>
    <t>MC 100</t>
  </si>
  <si>
    <t>Introduction to Communication</t>
  </si>
  <si>
    <t>207110</t>
  </si>
  <si>
    <t>Physics : The Science that Changed the World</t>
  </si>
  <si>
    <t>208101</t>
  </si>
  <si>
    <t>Statistics for Everyday Life and Work</t>
  </si>
  <si>
    <t>Architecture in Everyday Life</t>
  </si>
  <si>
    <t>953111</t>
  </si>
  <si>
    <t>Software for Everyday Life</t>
  </si>
  <si>
    <t>955100</t>
  </si>
  <si>
    <t>Learning through Activities 1</t>
  </si>
  <si>
    <t>0-3-1</t>
  </si>
  <si>
    <t>955101</t>
  </si>
  <si>
    <t>Learning through Activities 2</t>
  </si>
  <si>
    <t>057121</t>
  </si>
  <si>
    <t>Football for Life and Exercise</t>
  </si>
  <si>
    <t xml:space="preserve">057122 </t>
  </si>
  <si>
    <t>Swimming for Life and Exercise</t>
  </si>
  <si>
    <t>057125</t>
  </si>
  <si>
    <t>Rhythmic Activities for Life and Exercise</t>
  </si>
  <si>
    <t>057126</t>
  </si>
  <si>
    <t>Basketball for Life and Exercise</t>
  </si>
  <si>
    <t>057127</t>
  </si>
  <si>
    <t>Badminton for Life and Exercise</t>
  </si>
  <si>
    <t>057128</t>
  </si>
  <si>
    <t>Tennis for Life and Exercise</t>
  </si>
  <si>
    <t>057129</t>
  </si>
  <si>
    <t>Table Tennis for Life and Exercise</t>
  </si>
  <si>
    <t>057130</t>
  </si>
  <si>
    <t>Golf for Life and Exercise</t>
  </si>
  <si>
    <t>057131</t>
  </si>
  <si>
    <t>Exercise and Health</t>
  </si>
  <si>
    <t>057133</t>
  </si>
  <si>
    <t>Recreation for Quality of Life</t>
  </si>
  <si>
    <t>(2) Field of Specialization</t>
  </si>
  <si>
    <t>(2.1) Core Courses</t>
  </si>
  <si>
    <t>955102</t>
  </si>
  <si>
    <t>Digital Literacy</t>
  </si>
  <si>
    <t>1-2-3</t>
  </si>
  <si>
    <t>Programming and Logical Thinking</t>
  </si>
  <si>
    <t>Introduction to Digital Business</t>
  </si>
  <si>
    <t>2-0-4</t>
  </si>
  <si>
    <t>955105</t>
  </si>
  <si>
    <t>Fundamental Design in Digital Arts</t>
  </si>
  <si>
    <t>Computer and Programming for Game 1</t>
  </si>
  <si>
    <t>1-4-4</t>
  </si>
  <si>
    <t>958112</t>
  </si>
  <si>
    <t>Computer and Programming for Game 2</t>
  </si>
  <si>
    <t>(2.2) Major Courses</t>
  </si>
  <si>
    <t>(2.2.1) Required Courses</t>
  </si>
  <si>
    <t>Mathematics for Computer Graphics and Game</t>
  </si>
  <si>
    <t>958202</t>
  </si>
  <si>
    <t>Computer Graphic Programming</t>
  </si>
  <si>
    <t>Game Development 1</t>
  </si>
  <si>
    <t>958222</t>
  </si>
  <si>
    <t>Game Development 2</t>
  </si>
  <si>
    <t>Digital Game Production</t>
  </si>
  <si>
    <t>Graphics Design for Two Dimensional Games</t>
  </si>
  <si>
    <t>958321</t>
  </si>
  <si>
    <t>958322</t>
  </si>
  <si>
    <t>Game Development 4</t>
  </si>
  <si>
    <t>958325</t>
  </si>
  <si>
    <t>958331</t>
  </si>
  <si>
    <t>958421</t>
  </si>
  <si>
    <t>Advanced Game Design</t>
  </si>
  <si>
    <t>958453</t>
  </si>
  <si>
    <t>Digital Game Industry and Distribution</t>
  </si>
  <si>
    <t>958491</t>
  </si>
  <si>
    <t>Work Integrated Learning for Digital Game 1</t>
  </si>
  <si>
    <t>958492</t>
  </si>
  <si>
    <t>Work Integrated Learning for Digital Game 2</t>
  </si>
  <si>
    <t>(2.2.2) Major Electives</t>
  </si>
  <si>
    <t>958332</t>
  </si>
  <si>
    <t>Mobile Game Development</t>
  </si>
  <si>
    <t>958333</t>
  </si>
  <si>
    <t>Multiplayer Online Game Development</t>
  </si>
  <si>
    <t>958341</t>
  </si>
  <si>
    <t xml:space="preserve">Realistic Game Development </t>
  </si>
  <si>
    <t>958361</t>
  </si>
  <si>
    <t>Advanced Modeling for Game</t>
  </si>
  <si>
    <t>958371</t>
  </si>
  <si>
    <t>Interactive Applications</t>
  </si>
  <si>
    <t>958372</t>
  </si>
  <si>
    <t>Serious Games Design and Applications</t>
  </si>
  <si>
    <t>Gamification</t>
  </si>
  <si>
    <t>958441</t>
  </si>
  <si>
    <t>Motion Capture for Game Development</t>
  </si>
  <si>
    <t>951103</t>
  </si>
  <si>
    <t>Sketch Drawing</t>
  </si>
  <si>
    <t>951106</t>
  </si>
  <si>
    <t>Screenwriting and Digital Storytelling</t>
  </si>
  <si>
    <t>951211</t>
  </si>
  <si>
    <t>Three Dimensional Modelling and Animation Design 1</t>
  </si>
  <si>
    <t>951212</t>
  </si>
  <si>
    <t>Three Dimensional Modelling and Animation Design 2</t>
  </si>
  <si>
    <t>951215</t>
  </si>
  <si>
    <t>Storyboarding</t>
  </si>
  <si>
    <t>951301</t>
  </si>
  <si>
    <t>Advanced Animation and Rendering Techniques</t>
  </si>
  <si>
    <t>951411</t>
  </si>
  <si>
    <t>Advanced Three Dimensional Character Design</t>
  </si>
  <si>
    <t>951412</t>
  </si>
  <si>
    <t>Advanced Three Dimensional Scene Design</t>
  </si>
  <si>
    <t>957211</t>
  </si>
  <si>
    <t>Photoshop 1</t>
  </si>
  <si>
    <t>958451</t>
  </si>
  <si>
    <t>Electronics Sports 1</t>
  </si>
  <si>
    <t>958452</t>
  </si>
  <si>
    <t>Electronics Sports 2</t>
  </si>
  <si>
    <t>958481</t>
  </si>
  <si>
    <t>Selected Topics in Game Development 1</t>
  </si>
  <si>
    <t>958482</t>
  </si>
  <si>
    <t>Selected Topics in Game Development 2</t>
  </si>
  <si>
    <t>1.1 Required Courses</t>
  </si>
  <si>
    <t>261111</t>
  </si>
  <si>
    <t>Internet and Online Community</t>
  </si>
  <si>
    <t>1.2 Innovative Co-Creator</t>
  </si>
  <si>
    <t>206100</t>
  </si>
  <si>
    <t>Mathematics in Everyday Life</t>
  </si>
  <si>
    <t>356102</t>
  </si>
  <si>
    <t>Ornamental Aquatic Animals</t>
  </si>
  <si>
    <t>852100</t>
  </si>
  <si>
    <t>Introduction to Film</t>
  </si>
  <si>
    <t>888107</t>
  </si>
  <si>
    <t>Business Startup on Digital Platform</t>
  </si>
  <si>
    <t>1.3 Active Citizen</t>
  </si>
  <si>
    <t>Citizenship</t>
  </si>
  <si>
    <t>1.4 Elective Courses</t>
  </si>
  <si>
    <t>057137</t>
  </si>
  <si>
    <t>Sports for Health</t>
  </si>
  <si>
    <t>011155</t>
  </si>
  <si>
    <t>Philosophy of Happiness</t>
  </si>
  <si>
    <t>011100</t>
  </si>
  <si>
    <t>Man and Philosophy</t>
  </si>
  <si>
    <t>012200</t>
  </si>
  <si>
    <t>Mind Volunteer</t>
  </si>
  <si>
    <t>154100</t>
  </si>
  <si>
    <t>Introduction to Geography</t>
  </si>
  <si>
    <t>259108</t>
  </si>
  <si>
    <t>Electricity in Everyday Life</t>
  </si>
  <si>
    <t>เทอม1</t>
  </si>
  <si>
    <t>วิชา</t>
  </si>
  <si>
    <t>อ.อู๋</t>
  </si>
  <si>
    <t>อ.เอม</t>
  </si>
  <si>
    <t>อ.มอง</t>
  </si>
  <si>
    <t>อ.เเจ๋ว</t>
  </si>
  <si>
    <t>อ.น้อย</t>
  </si>
  <si>
    <t>อ.ก้อย</t>
  </si>
  <si>
    <t>อ.จอห์น</t>
  </si>
  <si>
    <t>เกิน 2</t>
  </si>
  <si>
    <t>อ.เอ๋</t>
  </si>
  <si>
    <t>ตารางเรียนสาขาวิชาดิจิทัลเกม สำหรับนักศึกษาชั้นปีที่ 3 (รหัส 62)</t>
  </si>
  <si>
    <t>ภาคการศึกษาที่ 2 ปีการศึกษา 2564</t>
  </si>
  <si>
    <t xml:space="preserve">(จำนวนนักศึกษา 47 คน)          </t>
  </si>
  <si>
    <r>
      <rPr>
        <rFont val="Sarabun"/>
        <b/>
        <color rgb="FF000000"/>
        <sz val="11.0"/>
      </rPr>
      <t>958371</t>
    </r>
    <r>
      <rPr>
        <rFont val="Sarabun"/>
        <color rgb="FF000000"/>
        <sz val="11.0"/>
      </rPr>
      <t xml:space="preserve">
Interactive Applications 
(UX UI) อ.ดร.ศุภรา      B302                                          </t>
    </r>
  </si>
  <si>
    <r>
      <rPr>
        <rFont val="Sarabun"/>
        <b/>
        <color rgb="FF000000"/>
        <sz val="11.0"/>
      </rPr>
      <t>958421</t>
    </r>
    <r>
      <rPr>
        <rFont val="Sarabun"/>
        <color rgb="FF000000"/>
        <sz val="11.0"/>
      </rPr>
      <t xml:space="preserve"> 
Advanced Game Design
อ.ดร.ศุภรา
112</t>
    </r>
  </si>
  <si>
    <r>
      <rPr>
        <rFont val="Sarabun"/>
        <b/>
        <color theme="1"/>
        <sz val="11.0"/>
      </rPr>
      <t>958482</t>
    </r>
    <r>
      <rPr>
        <rFont val="Sarabun"/>
        <color theme="1"/>
        <sz val="11.0"/>
      </rPr>
      <t xml:space="preserve">        
Sel Topic in Game Dev 2 
(Shader Programming)
อ.ดร.เกียรติกร           C208                                     </t>
    </r>
  </si>
  <si>
    <r>
      <rPr>
        <rFont val="Sarabun"/>
        <b/>
        <color theme="1"/>
        <sz val="11.0"/>
      </rPr>
      <t xml:space="preserve">958482     </t>
    </r>
    <r>
      <rPr>
        <rFont val="Sarabun"/>
        <color theme="1"/>
        <sz val="11.0"/>
      </rPr>
      <t xml:space="preserve">   
Sel Topic in Game Dev 2 
(Shader Programming) 
อ.ดร.เกียรติกร              C209                                  </t>
    </r>
  </si>
  <si>
    <r>
      <rPr>
        <rFont val="Sarabun"/>
        <b/>
        <color rgb="FF000000"/>
        <sz val="11.0"/>
      </rPr>
      <t>958372</t>
    </r>
    <r>
      <rPr>
        <rFont val="Sarabun"/>
        <color rgb="FF000000"/>
        <sz val="11.0"/>
      </rPr>
      <t xml:space="preserve">
Serious Games Design and Applications 
อ.ดร.กฤติยา           
114                                         </t>
    </r>
  </si>
  <si>
    <r>
      <rPr>
        <rFont val="Sarabun"/>
        <b/>
        <color rgb="FF000000"/>
        <sz val="11.0"/>
      </rPr>
      <t xml:space="preserve">958453 
</t>
    </r>
    <r>
      <rPr>
        <rFont val="Sarabun"/>
        <color rgb="FF000000"/>
        <sz val="11.0"/>
      </rPr>
      <t>Digital Game industry and Distribution
อ.ดร.ปฏิสนธิ์ (อ.พิเศษและผู้ประกอบการ)
114</t>
    </r>
  </si>
  <si>
    <r>
      <rPr>
        <rFont val="Sarabun"/>
        <b/>
        <color theme="1"/>
        <sz val="11.0"/>
      </rPr>
      <t xml:space="preserve">958322 
</t>
    </r>
    <r>
      <rPr>
        <rFont val="Sarabun"/>
        <color theme="1"/>
        <sz val="11.0"/>
      </rPr>
      <t>Game Development 4                                                
47 คน
อ.ดร.เกียรติกร</t>
    </r>
  </si>
  <si>
    <r>
      <rPr>
        <rFont val="Sarabun"/>
        <b/>
        <color theme="1"/>
        <sz val="11.0"/>
      </rPr>
      <t xml:space="preserve">958322 
</t>
    </r>
    <r>
      <rPr>
        <rFont val="Sarabun"/>
        <color theme="1"/>
        <sz val="11.0"/>
      </rPr>
      <t xml:space="preserve">Game Development 4   /001 (C208),  /002 (C209)                                
47 คน
อ.ดร.เกียรติกร     </t>
    </r>
  </si>
  <si>
    <r>
      <rPr>
        <rFont val="Sarabun"/>
        <b/>
        <color rgb="FF000000"/>
        <sz val="11.0"/>
      </rPr>
      <t>958371</t>
    </r>
    <r>
      <rPr>
        <rFont val="Sarabun"/>
        <color rgb="FF000000"/>
        <sz val="11.0"/>
      </rPr>
      <t xml:space="preserve">
Interactive Applications 
(UX UI) อ.ดร.ศุภรา     B302                                                      </t>
    </r>
  </si>
  <si>
    <r>
      <rPr>
        <rFont val="Sarabun"/>
        <b/>
        <color rgb="FF000000"/>
        <sz val="11.0"/>
      </rPr>
      <t xml:space="preserve">958421 
</t>
    </r>
    <r>
      <rPr>
        <rFont val="Sarabun"/>
        <color rgb="FF000000"/>
        <sz val="11.0"/>
      </rPr>
      <t>Advanced Game Design
อ.ดร.ศุภรา
112</t>
    </r>
  </si>
  <si>
    <r>
      <rPr>
        <rFont val="Sarabun"/>
        <b/>
        <color rgb="FF000000"/>
        <sz val="11.0"/>
      </rPr>
      <t>958372</t>
    </r>
    <r>
      <rPr>
        <rFont val="Sarabun"/>
        <color rgb="FF000000"/>
        <sz val="11.0"/>
      </rPr>
      <t xml:space="preserve">
Serious Games Design and Applications 
อ.ดร.กฤติยา         
114                                       </t>
    </r>
  </si>
  <si>
    <r>
      <rPr>
        <rFont val="Sarabun"/>
        <b/>
        <color rgb="FF000000"/>
        <sz val="11.0"/>
      </rPr>
      <t xml:space="preserve">958453 
</t>
    </r>
    <r>
      <rPr>
        <rFont val="Sarabun"/>
        <color rgb="FF000000"/>
        <sz val="11.0"/>
      </rPr>
      <t>Digital Game industry and Distribution
อ.ดร.ปฏิสนธิ์ (อ.พิเศษและผู้ประกอบการ)
114</t>
    </r>
  </si>
  <si>
    <t>958322 
Game Development 4                                                
47 คน
อ.ดร.เกียรติกร</t>
  </si>
  <si>
    <t xml:space="preserve">958322 
Game Development 4   /001 (C208),  /002 (C209)                                
47 คน
อ.ดร.เกียรติกร     </t>
  </si>
  <si>
    <t>ชื่อ อ.</t>
  </si>
  <si>
    <t>เวลา</t>
  </si>
  <si>
    <t>ประมาณการอัตรา</t>
  </si>
  <si>
    <t>ผู้สอน/ผู้ดูแล</t>
  </si>
  <si>
    <t xml:space="preserve">วิทยากร </t>
  </si>
  <si>
    <t>Lec</t>
  </si>
  <si>
    <t>Lab</t>
  </si>
  <si>
    <t xml:space="preserve">อ.ดร.เกียรติกร     </t>
  </si>
  <si>
    <t>C208,C209</t>
  </si>
  <si>
    <t>อ.ดร.ศุภรา</t>
  </si>
  <si>
    <t>Digital Game industry and Distribution</t>
  </si>
  <si>
    <t>12 ชม.</t>
  </si>
  <si>
    <t>อ.อั๋น กับ บ....ทั้งวิชา</t>
  </si>
  <si>
    <t>1500 / ชม.</t>
  </si>
  <si>
    <t>Serious Games Design and Applications (อ.แจ๋ว)</t>
  </si>
  <si>
    <t xml:space="preserve">อ.ดร.กฤติยา  </t>
  </si>
  <si>
    <t>3 ชม</t>
  </si>
  <si>
    <t>1000/ชม</t>
  </si>
  <si>
    <t>ช่วง ธค 64</t>
  </si>
  <si>
    <t>Sel Topic in Game Dev 2 (Shader Programming อ.อู๋)</t>
  </si>
  <si>
    <t>Sel Topic in Game Dev 2 (Sound)</t>
  </si>
  <si>
    <t>อ.เปิล</t>
  </si>
  <si>
    <t>Interactive Applications (UX UI) (อ.มอง)</t>
  </si>
  <si>
    <t xml:space="preserve"> B302  </t>
  </si>
  <si>
    <t>Multiplayer Online Game Development (อ.เอม)</t>
  </si>
  <si>
    <t>เอม Lec Only</t>
  </si>
  <si>
    <t>2 คน</t>
  </si>
  <si>
    <t>Electronics Sports 1(อ.ก้อย)</t>
  </si>
  <si>
    <t>Close</t>
  </si>
  <si>
    <t>Free</t>
  </si>
  <si>
    <t>XXXXXX</t>
  </si>
  <si>
    <t>----------------</t>
  </si>
  <si>
    <t>ขาด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</si>
</sst>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53">
    <font>
      <sz val="10.0"/>
      <color rgb="FF000000"/>
      <name val="Calibri"/>
      <scheme val="minor"/>
    </font>
    <font>
      <b/>
      <sz val="11.0"/>
      <color theme="1"/>
      <name val="Sarabun"/>
    </font>
    <font>
      <sz val="12.0"/>
      <color rgb="FF000000"/>
      <name val="Sarabun"/>
    </font>
    <font>
      <sz val="12.0"/>
      <color theme="1"/>
      <name val="Sarabun"/>
    </font>
    <font>
      <sz val="10.0"/>
      <color rgb="FF000000"/>
      <name val="Arial"/>
    </font>
    <font>
      <b/>
      <sz val="11.0"/>
      <color rgb="FF000000"/>
      <name val="Sarabun"/>
    </font>
    <font>
      <sz val="11.0"/>
      <color rgb="FF000000"/>
      <name val="Tahoma"/>
    </font>
    <font/>
    <font>
      <b/>
      <sz val="12.0"/>
      <color rgb="FF000000"/>
      <name val="Sarabun"/>
    </font>
    <font>
      <b/>
      <sz val="12.0"/>
      <color rgb="FF000000"/>
      <name val="Cordia new"/>
    </font>
    <font>
      <sz val="12.0"/>
      <color rgb="FF000000"/>
      <name val="Cordia new"/>
    </font>
    <font>
      <sz val="11.0"/>
      <color rgb="FF000000"/>
      <name val="Sarabun"/>
    </font>
    <font>
      <color theme="1"/>
      <name val="Calibri"/>
      <scheme val="minor"/>
    </font>
    <font>
      <b/>
      <sz val="10.0"/>
      <color theme="1"/>
      <name val="Sarabun"/>
    </font>
    <font>
      <b/>
      <sz val="9.0"/>
      <color theme="1"/>
      <name val="Sarabun"/>
    </font>
    <font>
      <sz val="9.0"/>
      <color rgb="FF000000"/>
      <name val="Tahoma"/>
    </font>
    <font>
      <sz val="11.0"/>
      <color theme="1"/>
      <name val="Sarabun"/>
    </font>
    <font>
      <sz val="9.0"/>
      <color theme="1"/>
      <name val="Sarabun"/>
    </font>
    <font>
      <sz val="9.0"/>
      <color rgb="FF000000"/>
      <name val="Cordia new"/>
    </font>
    <font>
      <sz val="10.0"/>
      <color theme="1"/>
      <name val="Sarabun"/>
    </font>
    <font>
      <sz val="9.0"/>
      <color theme="1"/>
      <name val="Calibri"/>
    </font>
    <font>
      <sz val="8.0"/>
      <color theme="1"/>
      <name val="Sarabun"/>
    </font>
    <font>
      <sz val="9.0"/>
      <color rgb="FF000000"/>
      <name val="Sarabun"/>
    </font>
    <font>
      <sz val="16.0"/>
      <color rgb="FF000000"/>
      <name val="Angsana New"/>
    </font>
    <font>
      <sz val="10.0"/>
      <color theme="1"/>
      <name val="Arial"/>
    </font>
    <font>
      <b/>
      <sz val="14.0"/>
      <color rgb="FF000000"/>
      <name val="Sarabun"/>
    </font>
    <font>
      <b/>
      <sz val="12.0"/>
      <color theme="1"/>
      <name val="Sarabun"/>
    </font>
    <font>
      <sz val="14.0"/>
      <color theme="1"/>
      <name val="Sarabun"/>
    </font>
    <font>
      <b/>
      <sz val="14.0"/>
      <color theme="1"/>
      <name val="Sarabun"/>
    </font>
    <font>
      <sz val="14.0"/>
      <color theme="1"/>
      <name val="Calibri"/>
      <scheme val="minor"/>
    </font>
    <font>
      <sz val="10.0"/>
      <color rgb="FFFF0000"/>
      <name val="Sarabun"/>
    </font>
    <font>
      <sz val="14.0"/>
      <color rgb="FF000000"/>
      <name val="Sarabun"/>
    </font>
    <font>
      <sz val="14.0"/>
      <color rgb="FFFF0000"/>
      <name val="Sarabun"/>
    </font>
    <font>
      <sz val="10.0"/>
      <color rgb="FF000000"/>
      <name val="Sarabun"/>
    </font>
    <font>
      <sz val="11.0"/>
      <color rgb="FFFF0000"/>
      <name val="Sarabun"/>
    </font>
    <font>
      <sz val="12.0"/>
      <color theme="1"/>
      <name val="Calibri"/>
      <scheme val="minor"/>
    </font>
    <font>
      <sz val="14.0"/>
      <color rgb="FFFF0000"/>
      <name val="Calibri"/>
      <scheme val="minor"/>
    </font>
    <font>
      <sz val="14.0"/>
      <color rgb="FF000000"/>
      <name val="Cordia new"/>
    </font>
    <font>
      <sz val="8.0"/>
      <color theme="0"/>
      <name val="Sarabun"/>
    </font>
    <font>
      <b/>
      <sz val="12.0"/>
      <color theme="1"/>
      <name val="Calibri"/>
      <scheme val="minor"/>
    </font>
    <font>
      <sz val="10.0"/>
      <color rgb="FFFF0000"/>
      <name val="Calibri"/>
      <scheme val="minor"/>
    </font>
    <font>
      <sz val="10.0"/>
      <color theme="1"/>
      <name val="Calibri"/>
      <scheme val="minor"/>
    </font>
    <font>
      <b/>
      <strike/>
      <sz val="14.0"/>
      <color rgb="FF980000"/>
      <name val="Sarabun"/>
    </font>
    <font>
      <strike/>
      <sz val="14.0"/>
      <color rgb="FF980000"/>
      <name val="Sarabun"/>
    </font>
    <font>
      <sz val="8.0"/>
      <color rgb="FFFF0000"/>
      <name val="Sarabun"/>
    </font>
    <font>
      <b/>
      <color theme="1"/>
      <name val="Calibri"/>
      <scheme val="minor"/>
    </font>
    <font>
      <color theme="1"/>
      <name val="Arial"/>
    </font>
    <font>
      <b/>
      <color theme="1"/>
      <name val="Sarabun"/>
    </font>
    <font>
      <sz val="8.0"/>
      <color rgb="FF000000"/>
      <name val="Sarabun"/>
    </font>
    <font>
      <sz val="12.0"/>
      <color rgb="FFFF0000"/>
      <name val="Sarabun"/>
    </font>
    <font>
      <b/>
      <color rgb="FFFFFFFF"/>
      <name val="Sarabun"/>
    </font>
    <font>
      <color rgb="FFFFFFFF"/>
      <name val="Calibri"/>
    </font>
    <font>
      <sz val="11.0"/>
      <color rgb="FFFFFFFF"/>
      <name val="Sarabun"/>
    </font>
  </fonts>
  <fills count="3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548DD4"/>
        <bgColor rgb="FF548DD4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theme="5"/>
        <bgColor theme="5"/>
      </patternFill>
    </fill>
    <fill>
      <patternFill patternType="solid">
        <fgColor rgb="FFCC0000"/>
        <bgColor rgb="FFCC0000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674EA7"/>
        <bgColor rgb="FF674EA7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2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  <border>
      <left style="thin">
        <color rgb="FF000000"/>
      </left>
      <right/>
    </border>
  </borders>
  <cellStyleXfs count="1">
    <xf borderId="0" fillId="0" fontId="0" numFmtId="0" applyAlignment="1" applyFont="1"/>
  </cellStyleXfs>
  <cellXfs count="44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horizontal="center" shrinkToFit="0" wrapText="0"/>
    </xf>
    <xf borderId="1" fillId="0" fontId="2" numFmtId="0" xfId="0" applyAlignment="1" applyBorder="1" applyFont="1">
      <alignment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0"/>
    </xf>
    <xf borderId="3" fillId="2" fontId="2" numFmtId="0" xfId="0" applyAlignment="1" applyBorder="1" applyFill="1" applyFont="1">
      <alignment horizontal="left" shrinkToFit="0" wrapText="0"/>
    </xf>
    <xf borderId="4" fillId="0" fontId="7" numFmtId="0" xfId="0" applyAlignment="1" applyBorder="1" applyFont="1">
      <alignment shrinkToFit="0" wrapText="1"/>
    </xf>
    <xf borderId="5" fillId="2" fontId="2" numFmtId="0" xfId="0" applyAlignment="1" applyBorder="1" applyFont="1">
      <alignment horizontal="left" shrinkToFit="0" wrapText="0"/>
    </xf>
    <xf borderId="6" fillId="0" fontId="7" numFmtId="0" xfId="0" applyAlignment="1" applyBorder="1" applyFont="1">
      <alignment shrinkToFit="0" wrapText="1"/>
    </xf>
    <xf borderId="7" fillId="2" fontId="2" numFmtId="0" xfId="0" applyAlignment="1" applyBorder="1" applyFont="1">
      <alignment horizontal="left" shrinkToFit="0" wrapText="0"/>
    </xf>
    <xf borderId="8" fillId="0" fontId="7" numFmtId="0" xfId="0" applyAlignment="1" applyBorder="1" applyFont="1">
      <alignment shrinkToFit="0" wrapText="1"/>
    </xf>
    <xf borderId="9" fillId="0" fontId="7" numFmtId="0" xfId="0" applyAlignment="1" applyBorder="1" applyFont="1">
      <alignment shrinkToFit="0" wrapText="1"/>
    </xf>
    <xf borderId="10" fillId="0" fontId="7" numFmtId="0" xfId="0" applyAlignment="1" applyBorder="1" applyFont="1">
      <alignment shrinkToFit="0" wrapText="1"/>
    </xf>
    <xf borderId="11" fillId="0" fontId="8" numFmtId="0" xfId="0" applyAlignment="1" applyBorder="1" applyFont="1">
      <alignment horizontal="left" shrinkToFit="0" wrapText="0"/>
    </xf>
    <xf borderId="0" fillId="0" fontId="9" numFmtId="0" xfId="0" applyAlignment="1" applyFont="1">
      <alignment horizontal="left" shrinkToFit="0" wrapText="0"/>
    </xf>
    <xf borderId="0" fillId="0" fontId="10" numFmtId="0" xfId="0" applyAlignment="1" applyFont="1">
      <alignment horizontal="center" shrinkToFit="0" wrapText="0"/>
    </xf>
    <xf borderId="12" fillId="3" fontId="2" numFmtId="0" xfId="0" applyAlignment="1" applyBorder="1" applyFill="1" applyFont="1">
      <alignment horizontal="center" shrinkToFit="0" vertical="center" wrapText="0"/>
    </xf>
    <xf borderId="13" fillId="0" fontId="11" numFmtId="0" xfId="0" applyAlignment="1" applyBorder="1" applyFont="1">
      <alignment shrinkToFit="0" vertical="center" wrapText="1"/>
    </xf>
    <xf borderId="13" fillId="0" fontId="11" numFmtId="0" xfId="0" applyAlignment="1" applyBorder="1" applyFont="1">
      <alignment shrinkToFit="0" wrapText="1"/>
    </xf>
    <xf borderId="7" fillId="4" fontId="11" numFmtId="0" xfId="0" applyAlignment="1" applyBorder="1" applyFill="1" applyFont="1">
      <alignment horizontal="center" readingOrder="0" shrinkToFit="0" vertical="center" wrapText="1"/>
    </xf>
    <xf borderId="13" fillId="0" fontId="7" numFmtId="0" xfId="0" applyAlignment="1" applyBorder="1" applyFont="1">
      <alignment shrinkToFit="0" wrapText="1"/>
    </xf>
    <xf borderId="7" fillId="5" fontId="11" numFmtId="0" xfId="0" applyAlignment="1" applyBorder="1" applyFill="1" applyFont="1">
      <alignment horizontal="center" readingOrder="0" shrinkToFit="0" vertical="center" wrapText="1"/>
    </xf>
    <xf borderId="14" fillId="0" fontId="7" numFmtId="0" xfId="0" applyAlignment="1" applyBorder="1" applyFont="1">
      <alignment shrinkToFit="0" wrapText="1"/>
    </xf>
    <xf borderId="13" fillId="0" fontId="11" numFmtId="0" xfId="0" applyAlignment="1" applyBorder="1" applyFont="1">
      <alignment horizontal="center" shrinkToFit="0" wrapText="0"/>
    </xf>
    <xf borderId="7" fillId="6" fontId="11" numFmtId="0" xfId="0" applyAlignment="1" applyBorder="1" applyFill="1" applyFont="1">
      <alignment horizontal="center" readingOrder="0" shrinkToFit="0" vertical="center" wrapText="1"/>
    </xf>
    <xf borderId="13" fillId="0" fontId="11" numFmtId="0" xfId="0" applyAlignment="1" applyBorder="1" applyFont="1">
      <alignment shrinkToFit="0" vertical="center" wrapText="0"/>
    </xf>
    <xf borderId="14" fillId="0" fontId="11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wrapText="0"/>
    </xf>
    <xf borderId="15" fillId="0" fontId="7" numFmtId="0" xfId="0" applyAlignment="1" applyBorder="1" applyFont="1">
      <alignment shrinkToFit="0" wrapText="1"/>
    </xf>
    <xf borderId="1" fillId="0" fontId="11" numFmtId="0" xfId="0" applyAlignment="1" applyBorder="1" applyFont="1">
      <alignment shrinkToFit="0" wrapText="1"/>
    </xf>
    <xf borderId="16" fillId="0" fontId="7" numFmtId="0" xfId="0" applyAlignment="1" applyBorder="1" applyFont="1">
      <alignment shrinkToFit="0" wrapText="1"/>
    </xf>
    <xf borderId="17" fillId="0" fontId="7" numFmtId="0" xfId="0" applyAlignment="1" applyBorder="1" applyFont="1">
      <alignment shrinkToFit="0" wrapText="1"/>
    </xf>
    <xf borderId="1" fillId="0" fontId="11" numFmtId="0" xfId="0" applyAlignment="1" applyBorder="1" applyFont="1">
      <alignment horizontal="center" shrinkToFit="0" wrapText="0"/>
    </xf>
    <xf borderId="1" fillId="0" fontId="11" numFmtId="0" xfId="0" applyAlignment="1" applyBorder="1" applyFont="1">
      <alignment shrinkToFit="0" vertical="center" wrapText="0"/>
    </xf>
    <xf borderId="17" fillId="0" fontId="11" numFmtId="0" xfId="0" applyAlignment="1" applyBorder="1" applyFont="1">
      <alignment shrinkToFit="0" vertical="center" wrapText="0"/>
    </xf>
    <xf borderId="12" fillId="7" fontId="2" numFmtId="0" xfId="0" applyAlignment="1" applyBorder="1" applyFill="1" applyFont="1">
      <alignment horizontal="center" shrinkToFit="0" vertical="center" wrapText="0"/>
    </xf>
    <xf borderId="0" fillId="0" fontId="11" numFmtId="0" xfId="0" applyAlignment="1" applyFont="1">
      <alignment shrinkToFit="0" wrapText="1"/>
    </xf>
    <xf borderId="7" fillId="8" fontId="11" numFmtId="0" xfId="0" applyAlignment="1" applyBorder="1" applyFill="1" applyFont="1">
      <alignment horizontal="center" readingOrder="0" shrinkToFit="0" vertical="center" wrapText="1"/>
    </xf>
    <xf borderId="7" fillId="9" fontId="11" numFmtId="0" xfId="0" applyAlignment="1" applyBorder="1" applyFill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shrinkToFit="0" wrapText="0"/>
    </xf>
    <xf borderId="18" fillId="0" fontId="7" numFmtId="0" xfId="0" applyAlignment="1" applyBorder="1" applyFont="1">
      <alignment shrinkToFit="0" wrapText="1"/>
    </xf>
    <xf borderId="1" fillId="0" fontId="11" numFmtId="0" xfId="0" applyAlignment="1" applyBorder="1" applyFont="1">
      <alignment shrinkToFit="0" wrapText="1"/>
    </xf>
    <xf borderId="19" fillId="0" fontId="7" numFmtId="0" xfId="0" applyAlignment="1" applyBorder="1" applyFont="1">
      <alignment shrinkToFit="0" wrapText="1"/>
    </xf>
    <xf borderId="1" fillId="0" fontId="11" numFmtId="0" xfId="0" applyAlignment="1" applyBorder="1" applyFont="1">
      <alignment shrinkToFit="0" wrapText="0"/>
    </xf>
    <xf borderId="1" fillId="0" fontId="12" numFmtId="0" xfId="0" applyAlignment="1" applyBorder="1" applyFont="1">
      <alignment shrinkToFit="0" wrapText="1"/>
    </xf>
    <xf borderId="17" fillId="0" fontId="11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 shrinkToFit="0" wrapText="0"/>
    </xf>
    <xf borderId="0" fillId="0" fontId="11" numFmtId="0" xfId="0" applyAlignment="1" applyFont="1">
      <alignment shrinkToFit="0" wrapText="0"/>
    </xf>
    <xf borderId="0" fillId="0" fontId="11" numFmtId="0" xfId="0" applyAlignment="1" applyFont="1">
      <alignment readingOrder="0" shrinkToFit="0" wrapText="0"/>
    </xf>
    <xf borderId="20" fillId="0" fontId="11" numFmtId="0" xfId="0" applyAlignment="1" applyBorder="1" applyFont="1">
      <alignment horizontal="center" shrinkToFit="0" wrapText="0"/>
    </xf>
    <xf borderId="0" fillId="0" fontId="2" numFmtId="0" xfId="0" applyAlignment="1" applyFont="1">
      <alignment readingOrder="0" shrinkToFit="0" wrapText="0"/>
    </xf>
    <xf borderId="1" fillId="0" fontId="11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2" fillId="10" fontId="2" numFmtId="0" xfId="0" applyAlignment="1" applyBorder="1" applyFill="1" applyFont="1">
      <alignment horizontal="center" shrinkToFit="0" vertical="center" wrapText="0"/>
    </xf>
    <xf borderId="7" fillId="0" fontId="11" numFmtId="0" xfId="0" applyAlignment="1" applyBorder="1" applyFont="1">
      <alignment shrinkToFit="0" vertical="center" wrapText="0"/>
    </xf>
    <xf borderId="13" fillId="0" fontId="11" numFmtId="0" xfId="0" applyAlignment="1" applyBorder="1" applyFont="1">
      <alignment readingOrder="0" shrinkToFit="0" vertical="center" wrapText="0"/>
    </xf>
    <xf borderId="16" fillId="0" fontId="11" numFmtId="0" xfId="0" applyAlignment="1" applyBorder="1" applyFont="1">
      <alignment shrinkToFit="0" vertical="center" wrapText="0"/>
    </xf>
    <xf borderId="12" fillId="11" fontId="2" numFmtId="0" xfId="0" applyAlignment="1" applyBorder="1" applyFill="1" applyFont="1">
      <alignment horizontal="center" shrinkToFit="0" vertical="center" wrapText="0"/>
    </xf>
    <xf borderId="13" fillId="0" fontId="11" numFmtId="0" xfId="0" applyAlignment="1" applyBorder="1" applyFont="1">
      <alignment shrinkToFit="0" wrapText="0"/>
    </xf>
    <xf borderId="14" fillId="0" fontId="11" numFmtId="0" xfId="0" applyAlignment="1" applyBorder="1" applyFont="1">
      <alignment shrinkToFit="0" wrapText="0"/>
    </xf>
    <xf borderId="17" fillId="0" fontId="11" numFmtId="0" xfId="0" applyAlignment="1" applyBorder="1" applyFont="1">
      <alignment shrinkToFit="0" wrapText="0"/>
    </xf>
    <xf borderId="21" fillId="12" fontId="2" numFmtId="0" xfId="0" applyAlignment="1" applyBorder="1" applyFill="1" applyFont="1">
      <alignment horizontal="center" shrinkToFit="0" vertical="center" wrapText="0"/>
    </xf>
    <xf borderId="7" fillId="0" fontId="11" numFmtId="0" xfId="0" applyAlignment="1" applyBorder="1" applyFont="1">
      <alignment horizontal="center" shrinkToFit="0" vertical="center" wrapText="1"/>
    </xf>
    <xf borderId="7" fillId="13" fontId="11" numFmtId="0" xfId="0" applyAlignment="1" applyBorder="1" applyFill="1" applyFont="1">
      <alignment horizontal="center" readingOrder="0" shrinkToFit="0" vertical="center" wrapText="1"/>
    </xf>
    <xf borderId="7" fillId="13" fontId="11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shrinkToFit="0" wrapText="0"/>
    </xf>
    <xf borderId="22" fillId="0" fontId="7" numFmtId="0" xfId="0" applyAlignment="1" applyBorder="1" applyFont="1">
      <alignment shrinkToFit="0" wrapText="1"/>
    </xf>
    <xf borderId="16" fillId="0" fontId="11" numFmtId="0" xfId="0" applyAlignment="1" applyBorder="1" applyFont="1">
      <alignment horizontal="center" shrinkToFit="0" vertical="center" wrapText="1"/>
    </xf>
    <xf borderId="2" fillId="14" fontId="2" numFmtId="0" xfId="0" applyAlignment="1" applyBorder="1" applyFill="1" applyFont="1">
      <alignment shrinkToFit="0" wrapText="0"/>
    </xf>
    <xf borderId="3" fillId="0" fontId="2" numFmtId="0" xfId="0" applyAlignment="1" applyBorder="1" applyFont="1">
      <alignment shrinkToFit="0" wrapText="0"/>
    </xf>
    <xf borderId="23" fillId="0" fontId="2" numFmtId="0" xfId="0" applyAlignment="1" applyBorder="1" applyFont="1">
      <alignment shrinkToFit="0" wrapText="0"/>
    </xf>
    <xf borderId="10" fillId="0" fontId="2" numFmtId="0" xfId="0" applyAlignment="1" applyBorder="1" applyFont="1">
      <alignment shrinkToFit="0" wrapText="0"/>
    </xf>
    <xf borderId="13" fillId="0" fontId="2" numFmtId="0" xfId="0" applyAlignment="1" applyBorder="1" applyFont="1">
      <alignment shrinkToFit="0" wrapText="0"/>
    </xf>
    <xf borderId="3" fillId="15" fontId="13" numFmtId="0" xfId="0" applyAlignment="1" applyBorder="1" applyFill="1" applyFont="1">
      <alignment horizontal="center" shrinkToFit="0" wrapText="1"/>
    </xf>
    <xf borderId="23" fillId="0" fontId="7" numFmtId="0" xfId="0" applyAlignment="1" applyBorder="1" applyFont="1">
      <alignment shrinkToFit="0" wrapText="1"/>
    </xf>
    <xf borderId="3" fillId="15" fontId="13" numFmtId="0" xfId="0" applyAlignment="1" applyBorder="1" applyFont="1">
      <alignment horizontal="center" shrinkToFit="0" wrapText="1"/>
    </xf>
    <xf borderId="12" fillId="15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wrapText="0"/>
    </xf>
    <xf borderId="0" fillId="0" fontId="16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wrapText="0"/>
    </xf>
    <xf borderId="0" fillId="0" fontId="14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0"/>
    </xf>
    <xf borderId="12" fillId="15" fontId="17" numFmtId="0" xfId="0" applyAlignment="1" applyBorder="1" applyFont="1">
      <alignment horizontal="center" shrinkToFit="0" wrapText="1"/>
    </xf>
    <xf borderId="12" fillId="15" fontId="17" numFmtId="0" xfId="0" applyAlignment="1" applyBorder="1" applyFont="1">
      <alignment horizontal="center" shrinkToFit="0" wrapText="1"/>
    </xf>
    <xf borderId="12" fillId="15" fontId="17" numFmtId="0" xfId="0" applyAlignment="1" applyBorder="1" applyFont="1">
      <alignment horizontal="center" shrinkToFit="0" vertical="bottom" wrapText="1"/>
    </xf>
    <xf borderId="12" fillId="15" fontId="17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0"/>
    </xf>
    <xf borderId="0" fillId="0" fontId="11" numFmtId="0" xfId="0" applyAlignment="1" applyFont="1">
      <alignment horizontal="center" readingOrder="0" shrinkToFit="0" wrapText="0"/>
    </xf>
    <xf borderId="0" fillId="6" fontId="11" numFmtId="0" xfId="0" applyAlignment="1" applyFont="1">
      <alignment horizontal="center" readingOrder="0" shrinkToFit="0" wrapText="0"/>
    </xf>
    <xf borderId="0" fillId="6" fontId="1" numFmtId="49" xfId="0" applyAlignment="1" applyFont="1" applyNumberFormat="1">
      <alignment horizontal="left" shrinkToFit="0" wrapText="1"/>
    </xf>
    <xf borderId="0" fillId="6" fontId="11" numFmtId="0" xfId="0" applyAlignment="1" applyFont="1">
      <alignment horizontal="left" shrinkToFit="0" wrapText="0"/>
    </xf>
    <xf borderId="0" fillId="6" fontId="11" numFmtId="0" xfId="0" applyAlignment="1" applyFont="1">
      <alignment horizontal="right" shrinkToFit="0" wrapText="0"/>
    </xf>
    <xf borderId="0" fillId="0" fontId="19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24" fillId="6" fontId="20" numFmtId="0" xfId="0" applyAlignment="1" applyBorder="1" applyFont="1">
      <alignment shrinkToFit="0" vertical="bottom" wrapText="1"/>
    </xf>
    <xf borderId="24" fillId="6" fontId="17" numFmtId="0" xfId="0" applyAlignment="1" applyBorder="1" applyFont="1">
      <alignment horizontal="center" readingOrder="0" shrinkToFit="0" wrapText="1"/>
    </xf>
    <xf borderId="24" fillId="6" fontId="20" numFmtId="0" xfId="0" applyAlignment="1" applyBorder="1" applyFont="1">
      <alignment shrinkToFit="0" wrapText="1"/>
    </xf>
    <xf borderId="24" fillId="6" fontId="17" numFmtId="0" xfId="0" applyAlignment="1" applyBorder="1" applyFont="1">
      <alignment horizontal="right" shrinkToFit="0" wrapText="1"/>
    </xf>
    <xf borderId="24" fillId="6" fontId="17" numFmtId="164" xfId="0" applyAlignment="1" applyBorder="1" applyFont="1" applyNumberFormat="1">
      <alignment horizontal="right" shrinkToFit="0" wrapText="1"/>
    </xf>
    <xf borderId="0" fillId="13" fontId="11" numFmtId="0" xfId="0" applyAlignment="1" applyFont="1">
      <alignment horizontal="center" readingOrder="0" shrinkToFit="0" wrapText="0"/>
    </xf>
    <xf borderId="0" fillId="13" fontId="1" numFmtId="49" xfId="0" applyAlignment="1" applyFont="1" applyNumberFormat="1">
      <alignment horizontal="left" shrinkToFit="0" wrapText="1"/>
    </xf>
    <xf borderId="0" fillId="13" fontId="11" numFmtId="0" xfId="0" applyAlignment="1" applyFont="1">
      <alignment horizontal="left" shrinkToFit="0" wrapText="0"/>
    </xf>
    <xf borderId="0" fillId="13" fontId="11" numFmtId="0" xfId="0" applyAlignment="1" applyFont="1">
      <alignment horizontal="right" shrinkToFit="0" wrapText="0"/>
    </xf>
    <xf borderId="0" fillId="0" fontId="21" numFmtId="0" xfId="0" applyAlignment="1" applyFont="1">
      <alignment readingOrder="0" shrinkToFit="0" wrapText="0"/>
    </xf>
    <xf borderId="0" fillId="16" fontId="22" numFmtId="0" xfId="0" applyAlignment="1" applyFill="1" applyFont="1">
      <alignment horizontal="left" readingOrder="0" shrinkToFit="0" wrapText="1"/>
    </xf>
    <xf borderId="24" fillId="13" fontId="20" numFmtId="0" xfId="0" applyAlignment="1" applyBorder="1" applyFont="1">
      <alignment shrinkToFit="0" vertical="bottom" wrapText="1"/>
    </xf>
    <xf borderId="24" fillId="13" fontId="20" numFmtId="0" xfId="0" applyAlignment="1" applyBorder="1" applyFont="1">
      <alignment readingOrder="0" shrinkToFit="0" vertical="bottom" wrapText="1"/>
    </xf>
    <xf borderId="24" fillId="13" fontId="20" numFmtId="0" xfId="0" applyAlignment="1" applyBorder="1" applyFont="1">
      <alignment shrinkToFit="0" vertical="bottom" wrapText="1"/>
    </xf>
    <xf borderId="24" fillId="13" fontId="17" numFmtId="164" xfId="0" applyAlignment="1" applyBorder="1" applyFont="1" applyNumberFormat="1">
      <alignment horizontal="right" shrinkToFit="0" vertical="bottom" wrapText="1"/>
    </xf>
    <xf borderId="25" fillId="5" fontId="5" numFmtId="49" xfId="0" applyAlignment="1" applyBorder="1" applyFont="1" applyNumberFormat="1">
      <alignment horizontal="left" readingOrder="0" shrinkToFit="0" wrapText="0"/>
    </xf>
    <xf borderId="0" fillId="5" fontId="11" numFmtId="0" xfId="0" applyAlignment="1" applyFont="1">
      <alignment horizontal="left" shrinkToFit="0" wrapText="0"/>
    </xf>
    <xf borderId="0" fillId="5" fontId="11" numFmtId="0" xfId="0" applyAlignment="1" applyFont="1">
      <alignment horizontal="right" shrinkToFit="0" wrapText="0"/>
    </xf>
    <xf borderId="0" fillId="0" fontId="21" numFmtId="0" xfId="0" applyAlignment="1" applyFont="1">
      <alignment readingOrder="0" shrinkToFit="0" wrapText="1"/>
    </xf>
    <xf borderId="25" fillId="9" fontId="5" numFmtId="49" xfId="0" applyAlignment="1" applyBorder="1" applyFont="1" applyNumberFormat="1">
      <alignment horizontal="left" shrinkToFit="0" wrapText="0"/>
    </xf>
    <xf borderId="0" fillId="9" fontId="11" numFmtId="0" xfId="0" applyAlignment="1" applyFont="1">
      <alignment horizontal="left" shrinkToFit="0" wrapText="0"/>
    </xf>
    <xf borderId="0" fillId="9" fontId="11" numFmtId="0" xfId="0" applyAlignment="1" applyFont="1">
      <alignment horizontal="right" shrinkToFit="0" wrapText="0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25" fillId="17" fontId="5" numFmtId="49" xfId="0" applyAlignment="1" applyBorder="1" applyFill="1" applyFont="1" applyNumberFormat="1">
      <alignment horizontal="left" shrinkToFit="0" wrapText="0"/>
    </xf>
    <xf borderId="0" fillId="17" fontId="11" numFmtId="0" xfId="0" applyAlignment="1" applyFont="1">
      <alignment horizontal="left" shrinkToFit="0" wrapText="0"/>
    </xf>
    <xf borderId="0" fillId="17" fontId="11" numFmtId="0" xfId="0" applyAlignment="1" applyFont="1">
      <alignment horizontal="right" shrinkToFit="0" wrapText="0"/>
    </xf>
    <xf borderId="0" fillId="4" fontId="5" numFmtId="49" xfId="0" applyAlignment="1" applyFont="1" applyNumberForma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0" fillId="4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7" fillId="8" fontId="1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wrapText="0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horizontal="right" shrinkToFit="0" wrapText="0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23" numFmtId="0" xfId="0" applyAlignment="1" applyFont="1">
      <alignment shrinkToFit="0" wrapText="0"/>
    </xf>
    <xf borderId="0" fillId="0" fontId="24" numFmtId="0" xfId="0" applyAlignment="1" applyFont="1">
      <alignment shrinkToFit="0" wrapText="0"/>
    </xf>
    <xf borderId="11" fillId="0" fontId="9" numFmtId="0" xfId="0" applyAlignment="1" applyBorder="1" applyFont="1">
      <alignment horizontal="left" shrinkToFit="0" wrapText="0"/>
    </xf>
    <xf borderId="0" fillId="0" fontId="12" numFmtId="0" xfId="0" applyAlignment="1" applyFont="1">
      <alignment shrinkToFit="0" wrapText="1"/>
    </xf>
    <xf borderId="7" fillId="18" fontId="11" numFmtId="0" xfId="0" applyAlignment="1" applyBorder="1" applyFill="1" applyFont="1">
      <alignment horizontal="center" readingOrder="0" shrinkToFit="0" vertical="center" wrapText="1"/>
    </xf>
    <xf borderId="13" fillId="9" fontId="11" numFmtId="0" xfId="0" applyAlignment="1" applyBorder="1" applyFont="1">
      <alignment horizontal="center" readingOrder="0" shrinkToFit="0" vertical="top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horizontal="center" readingOrder="0" shrinkToFit="0" vertical="top" wrapText="1"/>
    </xf>
    <xf borderId="7" fillId="19" fontId="11" numFmtId="0" xfId="0" applyAlignment="1" applyBorder="1" applyFill="1" applyFont="1">
      <alignment horizontal="center" readingOrder="0" shrinkToFit="0" vertical="top" wrapText="1"/>
    </xf>
    <xf borderId="11" fillId="0" fontId="6" numFmtId="0" xfId="0" applyAlignment="1" applyBorder="1" applyFont="1">
      <alignment shrinkToFit="0" wrapText="0"/>
    </xf>
    <xf borderId="1" fillId="0" fontId="11" numFmtId="0" xfId="0" applyAlignment="1" applyBorder="1" applyFont="1">
      <alignment horizontal="center" readingOrder="0" shrinkToFit="0" vertical="top" wrapText="1"/>
    </xf>
    <xf borderId="7" fillId="20" fontId="11" numFmtId="0" xfId="0" applyAlignment="1" applyBorder="1" applyFill="1" applyFont="1">
      <alignment horizontal="center" readingOrder="0" shrinkToFit="0" vertical="center" wrapText="1"/>
    </xf>
    <xf borderId="7" fillId="21" fontId="11" numFmtId="0" xfId="0" applyAlignment="1" applyBorder="1" applyFill="1" applyFont="1">
      <alignment horizontal="center" readingOrder="0" shrinkToFit="0" vertical="center" wrapText="1"/>
    </xf>
    <xf borderId="12" fillId="12" fontId="2" numFmtId="0" xfId="0" applyAlignment="1" applyBorder="1" applyFont="1">
      <alignment horizontal="center" shrinkToFit="0" vertical="center" wrapText="0"/>
    </xf>
    <xf borderId="13" fillId="0" fontId="12" numFmtId="0" xfId="0" applyAlignment="1" applyBorder="1" applyFont="1">
      <alignment shrinkToFit="0" wrapText="1"/>
    </xf>
    <xf borderId="13" fillId="0" fontId="12" numFmtId="0" xfId="0" applyAlignment="1" applyBorder="1" applyFont="1">
      <alignment shrinkToFit="0" wrapText="1"/>
    </xf>
    <xf borderId="13" fillId="0" fontId="16" numFmtId="0" xfId="0" applyAlignment="1" applyBorder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shrinkToFit="0" wrapText="0"/>
    </xf>
    <xf borderId="1" fillId="0" fontId="12" numFmtId="0" xfId="0" applyAlignment="1" applyBorder="1" applyFont="1">
      <alignment shrinkToFit="0" wrapText="1"/>
    </xf>
    <xf borderId="1" fillId="0" fontId="16" numFmtId="0" xfId="0" applyAlignment="1" applyBorder="1" applyFont="1">
      <alignment horizontal="center" readingOrder="0" shrinkToFit="0" vertical="center" wrapText="1"/>
    </xf>
    <xf borderId="19" fillId="0" fontId="16" numFmtId="0" xfId="0" applyAlignment="1" applyBorder="1" applyFont="1">
      <alignment horizontal="center" readingOrder="0" shrinkToFit="0" vertical="center" wrapText="1"/>
    </xf>
    <xf borderId="2" fillId="12" fontId="2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horizontal="center" shrinkToFit="0" wrapText="0"/>
    </xf>
    <xf borderId="0" fillId="0" fontId="26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wrapText="0"/>
    </xf>
    <xf borderId="0" fillId="0" fontId="27" numFmtId="0" xfId="0" applyAlignment="1" applyFont="1">
      <alignment shrinkToFit="0" wrapText="1"/>
    </xf>
    <xf borderId="0" fillId="0" fontId="28" numFmtId="0" xfId="0" applyAlignment="1" applyFont="1">
      <alignment readingOrder="0" shrinkToFit="0" wrapText="1"/>
    </xf>
    <xf borderId="3" fillId="15" fontId="13" numFmtId="0" xfId="0" applyAlignment="1" applyBorder="1" applyFont="1">
      <alignment horizontal="center" shrinkToFit="0" vertical="center" wrapText="1"/>
    </xf>
    <xf borderId="3" fillId="15" fontId="14" numFmtId="0" xfId="0" applyAlignment="1" applyBorder="1" applyFont="1">
      <alignment horizontal="center" shrinkToFit="0" vertical="center" wrapText="1"/>
    </xf>
    <xf borderId="2" fillId="9" fontId="2" numFmtId="0" xfId="0" applyAlignment="1" applyBorder="1" applyFont="1">
      <alignment horizontal="center" shrinkToFit="0" wrapText="0"/>
    </xf>
    <xf borderId="2" fillId="9" fontId="8" numFmtId="49" xfId="0" applyAlignment="1" applyBorder="1" applyFont="1" applyNumberFormat="1">
      <alignment horizontal="left" readingOrder="0" shrinkToFit="0" wrapText="1"/>
    </xf>
    <xf borderId="2" fillId="9" fontId="2" numFmtId="49" xfId="0" applyAlignment="1" applyBorder="1" applyFont="1" applyNumberFormat="1">
      <alignment horizontal="left" readingOrder="0" shrinkToFit="0" wrapText="0"/>
    </xf>
    <xf borderId="2" fillId="9" fontId="2" numFmtId="49" xfId="0" applyAlignment="1" applyBorder="1" applyFont="1" applyNumberFormat="1">
      <alignment horizontal="left" readingOrder="0" shrinkToFit="0" wrapText="1"/>
    </xf>
    <xf borderId="2" fillId="0" fontId="29" numFmtId="49" xfId="0" applyAlignment="1" applyBorder="1" applyFont="1" applyNumberFormat="1">
      <alignment horizontal="center" shrinkToFit="0" wrapText="1"/>
    </xf>
    <xf borderId="2" fillId="19" fontId="2" numFmtId="0" xfId="0" applyAlignment="1" applyBorder="1" applyFont="1">
      <alignment horizontal="center" shrinkToFit="0" wrapText="0"/>
    </xf>
    <xf borderId="2" fillId="19" fontId="8" numFmtId="49" xfId="0" applyAlignment="1" applyBorder="1" applyFont="1" applyNumberFormat="1">
      <alignment horizontal="left" shrinkToFit="0" wrapText="1"/>
    </xf>
    <xf borderId="3" fillId="19" fontId="2" numFmtId="49" xfId="0" applyAlignment="1" applyBorder="1" applyFont="1" applyNumberFormat="1">
      <alignment horizontal="left" shrinkToFit="0" wrapText="1"/>
    </xf>
    <xf borderId="2" fillId="0" fontId="29" numFmtId="0" xfId="0" applyAlignment="1" applyBorder="1" applyFont="1">
      <alignment horizontal="center" shrinkToFit="0" wrapText="1"/>
    </xf>
    <xf borderId="0" fillId="0" fontId="30" numFmtId="0" xfId="0" applyAlignment="1" applyFont="1">
      <alignment readingOrder="0" shrinkToFit="0" wrapText="1"/>
    </xf>
    <xf borderId="0" fillId="0" fontId="31" numFmtId="0" xfId="0" applyAlignment="1" applyFont="1">
      <alignment horizontal="center" shrinkToFit="0" wrapText="0"/>
    </xf>
    <xf borderId="24" fillId="0" fontId="12" numFmtId="0" xfId="0" applyAlignment="1" applyBorder="1" applyFont="1">
      <alignment shrinkToFit="0" wrapText="1"/>
    </xf>
    <xf borderId="24" fillId="0" fontId="20" numFmtId="0" xfId="0" applyAlignment="1" applyBorder="1" applyFont="1">
      <alignment shrinkToFit="0" vertical="bottom" wrapText="1"/>
    </xf>
    <xf borderId="24" fillId="0" fontId="17" numFmtId="0" xfId="0" applyAlignment="1" applyBorder="1" applyFont="1">
      <alignment horizontal="center" shrinkToFit="0" wrapText="1"/>
    </xf>
    <xf borderId="24" fillId="0" fontId="20" numFmtId="0" xfId="0" applyAlignment="1" applyBorder="1" applyFont="1">
      <alignment shrinkToFit="0" wrapText="1"/>
    </xf>
    <xf borderId="24" fillId="0" fontId="17" numFmtId="0" xfId="0" applyAlignment="1" applyBorder="1" applyFont="1">
      <alignment horizontal="right" shrinkToFit="0" wrapText="1"/>
    </xf>
    <xf borderId="24" fillId="0" fontId="17" numFmtId="164" xfId="0" applyAlignment="1" applyBorder="1" applyFont="1" applyNumberFormat="1">
      <alignment horizontal="right" shrinkToFit="0" wrapText="1"/>
    </xf>
    <xf borderId="2" fillId="18" fontId="2" numFmtId="0" xfId="0" applyAlignment="1" applyBorder="1" applyFont="1">
      <alignment horizontal="center" shrinkToFit="0" wrapText="0"/>
    </xf>
    <xf borderId="2" fillId="18" fontId="8" numFmtId="49" xfId="0" applyAlignment="1" applyBorder="1" applyFont="1" applyNumberFormat="1">
      <alignment horizontal="left" shrinkToFit="0" wrapText="1"/>
    </xf>
    <xf borderId="3" fillId="18" fontId="2" numFmtId="49" xfId="0" applyAlignment="1" applyBorder="1" applyFont="1" applyNumberFormat="1">
      <alignment horizontal="left" shrinkToFit="0" wrapText="1"/>
    </xf>
    <xf borderId="0" fillId="0" fontId="32" numFmtId="0" xfId="0" applyAlignment="1" applyFont="1">
      <alignment shrinkToFit="0" wrapText="1"/>
    </xf>
    <xf borderId="0" fillId="0" fontId="32" numFmtId="0" xfId="0" applyAlignment="1" applyFont="1">
      <alignment shrinkToFit="0" wrapText="1"/>
    </xf>
    <xf borderId="24" fillId="0" fontId="20" numFmtId="0" xfId="0" applyAlignment="1" applyBorder="1" applyFont="1">
      <alignment shrinkToFit="0" vertical="bottom" wrapText="1"/>
    </xf>
    <xf borderId="24" fillId="0" fontId="14" numFmtId="164" xfId="0" applyAlignment="1" applyBorder="1" applyFont="1" applyNumberFormat="1">
      <alignment horizontal="right" shrinkToFit="0" vertical="bottom" wrapText="1"/>
    </xf>
    <xf borderId="2" fillId="13" fontId="2" numFmtId="0" xfId="0" applyAlignment="1" applyBorder="1" applyFont="1">
      <alignment horizontal="center" shrinkToFit="0" wrapText="0"/>
    </xf>
    <xf borderId="2" fillId="13" fontId="8" numFmtId="49" xfId="0" applyAlignment="1" applyBorder="1" applyFont="1" applyNumberFormat="1">
      <alignment horizontal="left" shrinkToFit="0" wrapText="1"/>
    </xf>
    <xf borderId="3" fillId="13" fontId="2" numFmtId="49" xfId="0" applyAlignment="1" applyBorder="1" applyFont="1" applyNumberFormat="1">
      <alignment horizontal="left" shrinkToFit="0" wrapText="1"/>
    </xf>
    <xf borderId="0" fillId="0" fontId="33" numFmtId="0" xfId="0" applyAlignment="1" applyFont="1">
      <alignment horizontal="left" readingOrder="0" shrinkToFit="0" wrapText="1"/>
    </xf>
    <xf borderId="24" fillId="13" fontId="31" numFmtId="0" xfId="0" applyAlignment="1" applyBorder="1" applyFont="1">
      <alignment horizontal="center" shrinkToFit="0" wrapText="0"/>
    </xf>
    <xf borderId="24" fillId="13" fontId="10" numFmtId="0" xfId="0" applyAlignment="1" applyBorder="1" applyFont="1">
      <alignment horizontal="center" shrinkToFit="0" wrapText="0"/>
    </xf>
    <xf borderId="24" fillId="13" fontId="10" numFmtId="0" xfId="0" applyAlignment="1" applyBorder="1" applyFont="1">
      <alignment horizontal="center" readingOrder="0" shrinkToFit="0" wrapText="0"/>
    </xf>
    <xf borderId="2" fillId="22" fontId="2" numFmtId="0" xfId="0" applyAlignment="1" applyBorder="1" applyFill="1" applyFont="1">
      <alignment horizontal="center" shrinkToFit="0" wrapText="0"/>
    </xf>
    <xf borderId="2" fillId="22" fontId="8" numFmtId="49" xfId="0" applyAlignment="1" applyBorder="1" applyFont="1" applyNumberFormat="1">
      <alignment horizontal="left" shrinkToFit="0" wrapText="1"/>
    </xf>
    <xf borderId="3" fillId="22" fontId="2" numFmtId="49" xfId="0" applyAlignment="1" applyBorder="1" applyFont="1" applyNumberFormat="1">
      <alignment horizontal="left" shrinkToFit="0" wrapText="1"/>
    </xf>
    <xf borderId="0" fillId="0" fontId="11" numFmtId="0" xfId="0" applyAlignment="1" applyFont="1">
      <alignment horizontal="left" readingOrder="0" shrinkToFit="0" wrapText="1"/>
    </xf>
    <xf borderId="0" fillId="0" fontId="32" numFmtId="0" xfId="0" applyAlignment="1" applyFont="1">
      <alignment readingOrder="0" shrinkToFit="0" wrapText="1"/>
    </xf>
    <xf borderId="24" fillId="0" fontId="31" numFmtId="0" xfId="0" applyAlignment="1" applyBorder="1" applyFont="1">
      <alignment horizontal="center" shrinkToFit="0" wrapText="0"/>
    </xf>
    <xf borderId="24" fillId="0" fontId="10" numFmtId="0" xfId="0" applyAlignment="1" applyBorder="1" applyFont="1">
      <alignment horizontal="center" shrinkToFit="0" wrapText="0"/>
    </xf>
    <xf borderId="2" fillId="4" fontId="2" numFmtId="0" xfId="0" applyAlignment="1" applyBorder="1" applyFont="1">
      <alignment horizontal="center" shrinkToFit="0" wrapText="0"/>
    </xf>
    <xf borderId="2" fillId="4" fontId="8" numFmtId="49" xfId="0" applyAlignment="1" applyBorder="1" applyFont="1" applyNumberFormat="1">
      <alignment horizontal="left" shrinkToFit="0" wrapText="1"/>
    </xf>
    <xf borderId="3" fillId="4" fontId="2" numFmtId="49" xfId="0" applyAlignment="1" applyBorder="1" applyFont="1" applyNumberFormat="1">
      <alignment horizontal="left" shrinkToFit="0" wrapText="1"/>
    </xf>
    <xf borderId="0" fillId="0" fontId="34" numFmtId="0" xfId="0" applyAlignment="1" applyFont="1">
      <alignment readingOrder="0" shrinkToFit="0" wrapText="0"/>
    </xf>
    <xf borderId="24" fillId="4" fontId="31" numFmtId="0" xfId="0" applyAlignment="1" applyBorder="1" applyFont="1">
      <alignment horizontal="center" shrinkToFit="0" wrapText="0"/>
    </xf>
    <xf borderId="24" fillId="4" fontId="10" numFmtId="0" xfId="0" applyAlignment="1" applyBorder="1" applyFont="1">
      <alignment horizontal="center" readingOrder="0" shrinkToFit="0" wrapText="0"/>
    </xf>
    <xf borderId="24" fillId="4" fontId="10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49" xfId="0" applyAlignment="1" applyBorder="1" applyFont="1" applyNumberFormat="1">
      <alignment horizontal="left" shrinkToFit="0" wrapText="1"/>
    </xf>
    <xf borderId="2" fillId="0" fontId="35" numFmtId="0" xfId="0" applyAlignment="1" applyBorder="1" applyFont="1">
      <alignment shrinkToFit="0" wrapText="1"/>
    </xf>
    <xf borderId="2" fillId="0" fontId="31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left" shrinkToFit="0" wrapText="0"/>
    </xf>
    <xf borderId="0" fillId="20" fontId="2" numFmtId="0" xfId="0" applyAlignment="1" applyFont="1">
      <alignment horizontal="center" readingOrder="0" shrinkToFit="0" wrapText="0"/>
    </xf>
    <xf borderId="0" fillId="20" fontId="8" numFmtId="49" xfId="0" applyAlignment="1" applyFont="1" applyNumberFormat="1">
      <alignment horizontal="center" readingOrder="0" shrinkToFit="0" wrapText="1"/>
    </xf>
    <xf borderId="0" fillId="20" fontId="2" numFmtId="49" xfId="0" applyAlignment="1" applyFont="1" applyNumberFormat="1">
      <alignment horizontal="left" readingOrder="0" shrinkToFit="0" wrapText="1"/>
    </xf>
    <xf borderId="0" fillId="0" fontId="29" numFmtId="0" xfId="0" applyAlignment="1" applyFont="1">
      <alignment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23" fontId="3" numFmtId="0" xfId="0" applyAlignment="1" applyFill="1" applyFont="1">
      <alignment horizontal="center" readingOrder="0" shrinkToFit="0" wrapText="1"/>
    </xf>
    <xf borderId="0" fillId="23" fontId="8" numFmtId="49" xfId="0" applyAlignment="1" applyFont="1" applyNumberFormat="1">
      <alignment horizontal="center" readingOrder="0" shrinkToFit="0" wrapText="1"/>
    </xf>
    <xf borderId="0" fillId="23" fontId="2" numFmtId="49" xfId="0" applyAlignment="1" applyFont="1" applyNumberFormat="1">
      <alignment horizontal="left" readingOrder="0" shrinkToFit="0" wrapText="1"/>
    </xf>
    <xf borderId="0" fillId="0" fontId="27" numFmtId="0" xfId="0" applyAlignment="1" applyFont="1">
      <alignment readingOrder="0" shrinkToFit="0" wrapText="1"/>
    </xf>
    <xf borderId="0" fillId="0" fontId="31" numFmtId="0" xfId="0" applyAlignment="1" applyFont="1">
      <alignment horizontal="left" readingOrder="0" shrinkToFit="0" wrapText="1"/>
    </xf>
    <xf borderId="0" fillId="0" fontId="36" numFmtId="0" xfId="0" applyAlignment="1" applyFont="1">
      <alignment readingOrder="0" shrinkToFit="0" wrapText="0"/>
    </xf>
    <xf borderId="24" fillId="23" fontId="31" numFmtId="0" xfId="0" applyAlignment="1" applyBorder="1" applyFont="1">
      <alignment horizontal="center" shrinkToFit="0" wrapText="0"/>
    </xf>
    <xf borderId="24" fillId="23" fontId="31" numFmtId="0" xfId="0" applyAlignment="1" applyBorder="1" applyFont="1">
      <alignment horizontal="center" readingOrder="0" shrinkToFit="0" wrapText="0"/>
    </xf>
    <xf borderId="24" fillId="23" fontId="36" numFmtId="0" xfId="0" applyAlignment="1" applyBorder="1" applyFont="1">
      <alignment readingOrder="0" shrinkToFit="0" wrapText="0"/>
    </xf>
    <xf borderId="24" fillId="23" fontId="10" numFmtId="0" xfId="0" applyAlignment="1" applyBorder="1" applyFont="1">
      <alignment horizontal="center" shrinkToFit="0" wrapText="0"/>
    </xf>
    <xf borderId="0" fillId="0" fontId="5" numFmtId="0" xfId="0" applyAlignment="1" applyFont="1">
      <alignment shrinkToFit="0" wrapText="1"/>
    </xf>
    <xf borderId="0" fillId="0" fontId="5" numFmtId="49" xfId="0" applyAlignment="1" applyFont="1" applyNumberFormat="1">
      <alignment horizontal="right" shrinkToFit="0" wrapText="0"/>
    </xf>
    <xf borderId="0" fillId="0" fontId="2" numFmtId="0" xfId="0" applyAlignment="1" applyFont="1">
      <alignment shrinkToFit="0" wrapText="1"/>
    </xf>
    <xf borderId="0" fillId="0" fontId="11" numFmtId="0" xfId="0" applyAlignment="1" applyFont="1">
      <alignment horizontal="left" shrinkToFit="0" wrapText="1"/>
    </xf>
    <xf borderId="0" fillId="0" fontId="10" numFmtId="0" xfId="0" applyAlignment="1" applyFont="1">
      <alignment horizontal="left" shrinkToFit="0" wrapText="0"/>
    </xf>
    <xf borderId="0" fillId="0" fontId="37" numFmtId="0" xfId="0" applyAlignment="1" applyFont="1">
      <alignment shrinkToFit="0" vertical="center" wrapText="1"/>
    </xf>
    <xf borderId="1" fillId="0" fontId="8" numFmtId="0" xfId="0" applyAlignment="1" applyBorder="1" applyFont="1">
      <alignment horizontal="right" readingOrder="0" shrinkToFit="0" wrapText="0"/>
    </xf>
    <xf borderId="7" fillId="9" fontId="16" numFmtId="0" xfId="0" applyAlignment="1" applyBorder="1" applyFont="1">
      <alignment horizontal="center" readingOrder="0" shrinkToFit="0" vertical="center" wrapText="1"/>
    </xf>
    <xf borderId="7" fillId="24" fontId="33" numFmtId="0" xfId="0" applyAlignment="1" applyBorder="1" applyFill="1" applyFont="1">
      <alignment horizontal="center" readingOrder="0" shrinkToFit="0" vertical="center" wrapText="1"/>
    </xf>
    <xf borderId="7" fillId="8" fontId="16" numFmtId="0" xfId="0" applyAlignment="1" applyBorder="1" applyFont="1">
      <alignment horizontal="center" readingOrder="0" shrinkToFit="0" vertical="center" wrapText="1"/>
    </xf>
    <xf borderId="7" fillId="25" fontId="11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0"/>
    </xf>
    <xf borderId="7" fillId="16" fontId="16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7" fillId="0" fontId="12" numFmtId="0" xfId="0" applyAlignment="1" applyBorder="1" applyFont="1">
      <alignment shrinkToFit="0" wrapText="1"/>
    </xf>
    <xf borderId="11" fillId="4" fontId="11" numFmtId="0" xfId="0" applyAlignment="1" applyBorder="1" applyFont="1">
      <alignment horizontal="center" readingOrder="0" shrinkToFit="0" vertical="center" wrapText="1"/>
    </xf>
    <xf borderId="16" fillId="0" fontId="12" numFmtId="0" xfId="0" applyAlignment="1" applyBorder="1" applyFont="1">
      <alignment shrinkToFit="0" wrapText="1"/>
    </xf>
    <xf borderId="13" fillId="16" fontId="11" numFmtId="0" xfId="0" applyAlignment="1" applyBorder="1" applyFont="1">
      <alignment horizontal="center" readingOrder="0" shrinkToFit="0" vertical="center" wrapText="1"/>
    </xf>
    <xf borderId="1" fillId="16" fontId="11" numFmtId="0" xfId="0" applyAlignment="1" applyBorder="1" applyFont="1">
      <alignment horizontal="center" readingOrder="0" shrinkToFit="0" vertical="center" wrapText="1"/>
    </xf>
    <xf borderId="7" fillId="26" fontId="11" numFmtId="0" xfId="0" applyAlignment="1" applyBorder="1" applyFill="1" applyFont="1">
      <alignment horizontal="center" readingOrder="0" shrinkToFit="0" vertical="bottom" wrapText="1"/>
    </xf>
    <xf borderId="13" fillId="16" fontId="11" numFmtId="0" xfId="0" applyAlignment="1" applyBorder="1" applyFont="1">
      <alignment horizontal="center" readingOrder="0" shrinkToFit="0" vertical="bottom" wrapText="1"/>
    </xf>
    <xf borderId="20" fillId="0" fontId="11" numFmtId="0" xfId="0" applyAlignment="1" applyBorder="1" applyFont="1">
      <alignment shrinkToFit="0" wrapText="0"/>
    </xf>
    <xf borderId="26" fillId="12" fontId="2" numFmtId="0" xfId="0" applyAlignment="1" applyBorder="1" applyFont="1">
      <alignment horizontal="center" shrinkToFit="0" vertical="center" wrapText="0"/>
    </xf>
    <xf borderId="7" fillId="27" fontId="38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0"/>
    </xf>
    <xf borderId="0" fillId="0" fontId="39" numFmtId="0" xfId="0" applyAlignment="1" applyFont="1">
      <alignment readingOrder="0" shrinkToFit="0" wrapText="1"/>
    </xf>
    <xf borderId="0" fillId="13" fontId="31" numFmtId="0" xfId="0" applyAlignment="1" applyFont="1">
      <alignment horizontal="center" shrinkToFit="0" wrapText="0"/>
    </xf>
    <xf borderId="0" fillId="13" fontId="25" numFmtId="0" xfId="0" applyAlignment="1" applyFont="1">
      <alignment horizontal="left" readingOrder="0" shrinkToFit="0" wrapText="1"/>
    </xf>
    <xf borderId="0" fillId="13" fontId="31" numFmtId="0" xfId="0" applyAlignment="1" applyFont="1">
      <alignment readingOrder="0" shrinkToFit="0" wrapText="1"/>
    </xf>
    <xf borderId="0" fillId="13" fontId="31" numFmtId="49" xfId="0" applyAlignment="1" applyFont="1" applyNumberFormat="1">
      <alignment readingOrder="0" shrinkToFit="0" wrapText="1"/>
    </xf>
    <xf borderId="0" fillId="0" fontId="19" numFmtId="0" xfId="0" applyAlignment="1" applyFont="1">
      <alignment horizontal="left" readingOrder="0" shrinkToFit="0" wrapText="0"/>
    </xf>
    <xf borderId="0" fillId="0" fontId="40" numFmtId="0" xfId="0" applyAlignment="1" applyFont="1">
      <alignment readingOrder="0" shrinkToFit="0" wrapText="0"/>
    </xf>
    <xf borderId="0" fillId="0" fontId="41" numFmtId="0" xfId="0" applyAlignment="1" applyFont="1">
      <alignment shrinkToFit="0" wrapText="1"/>
    </xf>
    <xf borderId="0" fillId="24" fontId="31" numFmtId="0" xfId="0" applyAlignment="1" applyFont="1">
      <alignment horizontal="center" shrinkToFit="0" wrapText="0"/>
    </xf>
    <xf borderId="0" fillId="24" fontId="25" numFmtId="0" xfId="0" applyAlignment="1" applyFont="1">
      <alignment horizontal="left" readingOrder="0" shrinkToFit="0" wrapText="1"/>
    </xf>
    <xf borderId="0" fillId="24" fontId="31" numFmtId="0" xfId="0" applyAlignment="1" applyFont="1">
      <alignment readingOrder="0" shrinkToFit="0" wrapText="1"/>
    </xf>
    <xf borderId="0" fillId="24" fontId="31" numFmtId="49" xfId="0" applyAlignment="1" applyFont="1" applyNumberFormat="1">
      <alignment readingOrder="0" shrinkToFit="0" wrapText="1"/>
    </xf>
    <xf borderId="0" fillId="4" fontId="31" numFmtId="0" xfId="0" applyAlignment="1" applyFont="1">
      <alignment horizontal="center" shrinkToFit="0" wrapText="0"/>
    </xf>
    <xf borderId="0" fillId="4" fontId="25" numFmtId="0" xfId="0" applyAlignment="1" applyFont="1">
      <alignment horizontal="left" readingOrder="0" shrinkToFit="0" wrapText="1"/>
    </xf>
    <xf borderId="0" fillId="4" fontId="31" numFmtId="0" xfId="0" applyAlignment="1" applyFont="1">
      <alignment readingOrder="0" shrinkToFit="0" wrapText="1"/>
    </xf>
    <xf borderId="0" fillId="4" fontId="31" numFmtId="49" xfId="0" applyAlignment="1" applyFont="1" applyNumberFormat="1">
      <alignment readingOrder="0" shrinkToFit="0" wrapText="1"/>
    </xf>
    <xf borderId="24" fillId="4" fontId="12" numFmtId="0" xfId="0" applyAlignment="1" applyBorder="1" applyFont="1">
      <alignment shrinkToFit="0" wrapText="1"/>
    </xf>
    <xf borderId="24" fillId="4" fontId="12" numFmtId="0" xfId="0" applyAlignment="1" applyBorder="1" applyFont="1">
      <alignment readingOrder="0" shrinkToFit="0" wrapText="1"/>
    </xf>
    <xf borderId="0" fillId="0" fontId="2" numFmtId="49" xfId="0" applyAlignment="1" applyFont="1" applyNumberFormat="1">
      <alignment horizontal="left" shrinkToFit="0" wrapText="1"/>
    </xf>
    <xf borderId="0" fillId="0" fontId="31" numFmtId="0" xfId="0" applyAlignment="1" applyFont="1">
      <alignment readingOrder="0" shrinkToFit="0" wrapText="1"/>
    </xf>
    <xf borderId="0" fillId="0" fontId="31" numFmtId="49" xfId="0" applyAlignment="1" applyFont="1" applyNumberFormat="1">
      <alignment readingOrder="0" shrinkToFit="0" wrapText="1"/>
    </xf>
    <xf borderId="0" fillId="0" fontId="30" numFmtId="0" xfId="0" applyAlignment="1" applyFont="1">
      <alignment readingOrder="0" shrinkToFit="0" wrapText="0"/>
    </xf>
    <xf borderId="0" fillId="5" fontId="31" numFmtId="0" xfId="0" applyAlignment="1" applyFont="1">
      <alignment horizontal="center" readingOrder="0" shrinkToFit="0" wrapText="0"/>
    </xf>
    <xf borderId="0" fillId="5" fontId="42" numFmtId="0" xfId="0" applyAlignment="1" applyFont="1">
      <alignment horizontal="left" readingOrder="0" shrinkToFit="0" wrapText="1"/>
    </xf>
    <xf borderId="0" fillId="5" fontId="43" numFmtId="0" xfId="0" applyAlignment="1" applyFont="1">
      <alignment readingOrder="0" shrinkToFit="0" wrapText="1"/>
    </xf>
    <xf borderId="0" fillId="5" fontId="43" numFmtId="49" xfId="0" applyAlignment="1" applyFont="1" applyNumberFormat="1">
      <alignment readingOrder="0" shrinkToFit="0" wrapText="1"/>
    </xf>
    <xf borderId="0" fillId="5" fontId="31" numFmtId="0" xfId="0" applyAlignment="1" applyFont="1">
      <alignment horizontal="center" shrinkToFit="0" wrapText="0"/>
    </xf>
    <xf borderId="0" fillId="5" fontId="25" numFmtId="0" xfId="0" applyAlignment="1" applyFont="1">
      <alignment horizontal="left" readingOrder="0" shrinkToFit="0" wrapText="1"/>
    </xf>
    <xf borderId="0" fillId="5" fontId="31" numFmtId="0" xfId="0" applyAlignment="1" applyFont="1">
      <alignment readingOrder="0" shrinkToFit="0" wrapText="1"/>
    </xf>
    <xf borderId="0" fillId="5" fontId="31" numFmtId="49" xfId="0" applyAlignment="1" applyFont="1" applyNumberFormat="1">
      <alignment readingOrder="0" shrinkToFit="0" wrapText="1"/>
    </xf>
    <xf borderId="0" fillId="26" fontId="31" numFmtId="0" xfId="0" applyAlignment="1" applyFont="1">
      <alignment horizontal="center" shrinkToFit="0" wrapText="0"/>
    </xf>
    <xf borderId="0" fillId="26" fontId="25" numFmtId="0" xfId="0" applyAlignment="1" applyFont="1">
      <alignment horizontal="left" readingOrder="0" shrinkToFit="0" wrapText="1"/>
    </xf>
    <xf borderId="0" fillId="26" fontId="31" numFmtId="0" xfId="0" applyAlignment="1" applyFont="1">
      <alignment readingOrder="0" shrinkToFit="0" wrapText="1"/>
    </xf>
    <xf borderId="0" fillId="26" fontId="31" numFmtId="49" xfId="0" applyAlignment="1" applyFont="1" applyNumberFormat="1">
      <alignment readingOrder="0" shrinkToFit="0" wrapText="1"/>
    </xf>
    <xf borderId="24" fillId="28" fontId="12" numFmtId="0" xfId="0" applyAlignment="1" applyBorder="1" applyFill="1" applyFont="1">
      <alignment shrinkToFit="0" wrapText="1"/>
    </xf>
    <xf borderId="24" fillId="28" fontId="12" numFmtId="0" xfId="0" applyAlignment="1" applyBorder="1" applyFont="1">
      <alignment readingOrder="0" shrinkToFit="0" wrapText="1"/>
    </xf>
    <xf borderId="24" fillId="28" fontId="10" numFmtId="0" xfId="0" applyAlignment="1" applyBorder="1" applyFont="1">
      <alignment horizontal="center" shrinkToFit="0" wrapText="0"/>
    </xf>
    <xf borderId="0" fillId="8" fontId="31" numFmtId="0" xfId="0" applyAlignment="1" applyFont="1">
      <alignment horizontal="center" shrinkToFit="0" wrapText="0"/>
    </xf>
    <xf borderId="0" fillId="8" fontId="25" numFmtId="0" xfId="0" applyAlignment="1" applyFont="1">
      <alignment horizontal="left" readingOrder="0" shrinkToFit="0" wrapText="1"/>
    </xf>
    <xf borderId="0" fillId="8" fontId="31" numFmtId="0" xfId="0" applyAlignment="1" applyFont="1">
      <alignment readingOrder="0" shrinkToFit="0" wrapText="1"/>
    </xf>
    <xf borderId="0" fillId="8" fontId="31" numFmtId="49" xfId="0" applyAlignment="1" applyFont="1" applyNumberFormat="1">
      <alignment readingOrder="0" shrinkToFit="0" wrapText="1"/>
    </xf>
    <xf borderId="0" fillId="0" fontId="30" numFmtId="0" xfId="0" applyAlignment="1" applyFont="1">
      <alignment horizontal="left" readingOrder="0" shrinkToFit="0" wrapText="0"/>
    </xf>
    <xf borderId="0" fillId="9" fontId="31" numFmtId="0" xfId="0" applyAlignment="1" applyFont="1">
      <alignment horizontal="center" readingOrder="0" shrinkToFit="0" wrapText="0"/>
    </xf>
    <xf borderId="0" fillId="9" fontId="25" numFmtId="0" xfId="0" applyAlignment="1" applyFont="1">
      <alignment horizontal="left" readingOrder="0" shrinkToFit="0" wrapText="1"/>
    </xf>
    <xf borderId="0" fillId="9" fontId="31" numFmtId="0" xfId="0" applyAlignment="1" applyFont="1">
      <alignment horizontal="left" readingOrder="0" shrinkToFit="0" vertical="center" wrapText="1"/>
    </xf>
    <xf borderId="0" fillId="9" fontId="31" numFmtId="0" xfId="0" applyAlignment="1" applyFont="1">
      <alignment readingOrder="0" shrinkToFit="0" wrapText="1"/>
    </xf>
    <xf borderId="0" fillId="9" fontId="31" numFmtId="49" xfId="0" applyAlignment="1" applyFont="1" applyNumberFormat="1">
      <alignment readingOrder="0" shrinkToFit="0" wrapText="1"/>
    </xf>
    <xf borderId="0" fillId="0" fontId="34" numFmtId="0" xfId="0" applyAlignment="1" applyFont="1">
      <alignment readingOrder="0" shrinkToFit="0" wrapText="1"/>
    </xf>
    <xf borderId="24" fillId="9" fontId="12" numFmtId="0" xfId="0" applyAlignment="1" applyBorder="1" applyFont="1">
      <alignment shrinkToFit="0" wrapText="1"/>
    </xf>
    <xf borderId="24" fillId="9" fontId="12" numFmtId="0" xfId="0" applyAlignment="1" applyBorder="1" applyFont="1">
      <alignment readingOrder="0" shrinkToFit="0" wrapText="1"/>
    </xf>
    <xf borderId="24" fillId="9" fontId="10" numFmtId="0" xfId="0" applyAlignment="1" applyBorder="1" applyFont="1">
      <alignment horizontal="center" shrinkToFit="0" wrapText="0"/>
    </xf>
    <xf borderId="0" fillId="25" fontId="31" numFmtId="0" xfId="0" applyAlignment="1" applyFont="1">
      <alignment horizontal="center" readingOrder="0" shrinkToFit="0" wrapText="0"/>
    </xf>
    <xf borderId="0" fillId="25" fontId="25" numFmtId="0" xfId="0" applyAlignment="1" applyFont="1">
      <alignment horizontal="left" readingOrder="0" shrinkToFit="0" wrapText="1"/>
    </xf>
    <xf borderId="0" fillId="25" fontId="31" numFmtId="0" xfId="0" applyAlignment="1" applyFont="1">
      <alignment readingOrder="0" shrinkToFit="0" wrapText="1"/>
    </xf>
    <xf borderId="0" fillId="25" fontId="31" numFmtId="49" xfId="0" applyAlignment="1" applyFont="1" applyNumberFormat="1">
      <alignment readingOrder="0" shrinkToFit="0" wrapText="1"/>
    </xf>
    <xf borderId="24" fillId="0" fontId="29" numFmtId="0" xfId="0" applyAlignment="1" applyBorder="1" applyFont="1">
      <alignment readingOrder="0" shrinkToFit="0" wrapText="0"/>
    </xf>
    <xf borderId="0" fillId="0" fontId="37" numFmtId="0" xfId="0" applyAlignment="1" applyFont="1">
      <alignment readingOrder="0" shrinkToFit="0" vertical="center" wrapText="1"/>
    </xf>
    <xf borderId="0" fillId="0" fontId="37" numFmtId="0" xfId="0" applyAlignment="1" applyFont="1">
      <alignment shrinkToFit="0" vertical="center" wrapText="0"/>
    </xf>
    <xf borderId="1" fillId="0" fontId="8" numFmtId="0" xfId="0" applyAlignment="1" applyBorder="1" applyFont="1">
      <alignment horizontal="center" readingOrder="0" shrinkToFit="0" wrapText="0"/>
    </xf>
    <xf borderId="7" fillId="0" fontId="33" numFmtId="0" xfId="0" applyAlignment="1" applyBorder="1" applyFont="1">
      <alignment horizontal="center" readingOrder="0" shrinkToFit="0" vertical="center" wrapText="1"/>
    </xf>
    <xf borderId="13" fillId="0" fontId="33" numFmtId="0" xfId="0" applyAlignment="1" applyBorder="1" applyFont="1">
      <alignment horizontal="center" readingOrder="0" shrinkToFit="0" vertical="center" wrapText="1"/>
    </xf>
    <xf borderId="14" fillId="0" fontId="33" numFmtId="0" xfId="0" applyAlignment="1" applyBorder="1" applyFont="1">
      <alignment horizontal="center" readingOrder="0" shrinkToFit="0" vertical="center" wrapText="1"/>
    </xf>
    <xf borderId="16" fillId="0" fontId="33" numFmtId="0" xfId="0" applyAlignment="1" applyBorder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17" fillId="0" fontId="33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16" fillId="0" fontId="11" numFmtId="0" xfId="0" applyAlignment="1" applyBorder="1" applyFont="1">
      <alignment horizontal="center" readingOrder="0" shrinkToFit="0" vertical="center" wrapText="1"/>
    </xf>
    <xf borderId="17" fillId="0" fontId="11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shrinkToFit="0" vertical="bottom" wrapText="1"/>
    </xf>
    <xf borderId="13" fillId="0" fontId="11" numFmtId="0" xfId="0" applyAlignment="1" applyBorder="1" applyFont="1">
      <alignment horizontal="center" readingOrder="0" shrinkToFit="0" vertical="bottom" wrapText="1"/>
    </xf>
    <xf borderId="14" fillId="0" fontId="11" numFmtId="0" xfId="0" applyAlignment="1" applyBorder="1" applyFont="1">
      <alignment horizontal="center" readingOrder="0" shrinkToFit="0" vertical="bottom" wrapText="1"/>
    </xf>
    <xf borderId="20" fillId="0" fontId="12" numFmtId="0" xfId="0" applyAlignment="1" applyBorder="1" applyFont="1">
      <alignment shrinkToFit="0" wrapText="1"/>
    </xf>
    <xf borderId="16" fillId="0" fontId="11" numFmtId="0" xfId="0" applyAlignment="1" applyBorder="1" applyFont="1">
      <alignment horizontal="center" readingOrder="0" shrinkToFit="0" vertical="bottom" wrapText="1"/>
    </xf>
    <xf borderId="1" fillId="0" fontId="11" numFmtId="0" xfId="0" applyAlignment="1" applyBorder="1" applyFont="1">
      <alignment horizontal="center" readingOrder="0" shrinkToFit="0" vertical="bottom" wrapText="1"/>
    </xf>
    <xf borderId="17" fillId="0" fontId="11" numFmtId="0" xfId="0" applyAlignment="1" applyBorder="1" applyFont="1">
      <alignment horizontal="center" readingOrder="0" shrinkToFit="0" vertical="bottom" wrapText="1"/>
    </xf>
    <xf borderId="17" fillId="0" fontId="12" numFmtId="0" xfId="0" applyAlignment="1" applyBorder="1" applyFont="1">
      <alignment shrinkToFit="0" wrapText="1"/>
    </xf>
    <xf borderId="14" fillId="0" fontId="11" numFmtId="0" xfId="0" applyAlignment="1" applyBorder="1" applyFont="1">
      <alignment shrinkToFit="0" vertical="center" wrapText="1"/>
    </xf>
    <xf borderId="17" fillId="0" fontId="11" numFmtId="0" xfId="0" applyAlignment="1" applyBorder="1" applyFont="1">
      <alignment shrinkToFit="0" wrapText="1"/>
    </xf>
    <xf borderId="0" fillId="0" fontId="35" numFmtId="0" xfId="0" applyAlignment="1" applyFont="1">
      <alignment horizontal="center" readingOrder="0" shrinkToFit="0" wrapText="1"/>
    </xf>
    <xf borderId="0" fillId="0" fontId="44" numFmtId="0" xfId="0" applyAlignment="1" applyFont="1">
      <alignment readingOrder="0" shrinkToFit="0" wrapText="1"/>
    </xf>
    <xf borderId="0" fillId="0" fontId="32" numFmtId="0" xfId="0" applyAlignment="1" applyFont="1">
      <alignment horizontal="center" readingOrder="0" shrinkToFit="0" wrapText="1"/>
    </xf>
    <xf borderId="0" fillId="0" fontId="29" numFmtId="0" xfId="0" applyAlignment="1" applyFont="1">
      <alignment shrinkToFit="0" wrapText="1"/>
    </xf>
    <xf borderId="0" fillId="0" fontId="44" numFmtId="0" xfId="0" applyAlignment="1" applyFont="1">
      <alignment horizontal="center" readingOrder="0" shrinkToFit="0" wrapText="0"/>
    </xf>
    <xf borderId="0" fillId="24" fontId="31" numFmtId="0" xfId="0" applyAlignment="1" applyFont="1">
      <alignment horizontal="center" readingOrder="0" shrinkToFit="0" wrapText="0"/>
    </xf>
    <xf borderId="0" fillId="4" fontId="31" numFmtId="0" xfId="0" applyAlignment="1" applyFont="1">
      <alignment horizontal="center" readingOrder="0" shrinkToFit="0" wrapText="0"/>
    </xf>
    <xf borderId="0" fillId="0" fontId="32" numFmtId="0" xfId="0" applyAlignment="1" applyFont="1">
      <alignment readingOrder="0" shrinkToFit="0" wrapText="0"/>
    </xf>
    <xf borderId="0" fillId="29" fontId="31" numFmtId="0" xfId="0" applyAlignment="1" applyFill="1" applyFont="1">
      <alignment readingOrder="0" shrinkToFit="0" wrapText="1"/>
    </xf>
    <xf borderId="0" fillId="0" fontId="29" numFmtId="0" xfId="0" applyAlignment="1" applyFont="1">
      <alignment readingOrder="0" shrinkToFit="0" wrapText="0"/>
    </xf>
    <xf borderId="0" fillId="13" fontId="3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1"/>
    </xf>
    <xf borderId="0" fillId="0" fontId="12" numFmtId="49" xfId="0" applyAlignment="1" applyFont="1" applyNumberFormat="1">
      <alignment shrinkToFit="0" wrapText="1"/>
    </xf>
    <xf borderId="0" fillId="11" fontId="45" numFmtId="49" xfId="0" applyAlignment="1" applyFont="1" applyNumberFormat="1">
      <alignment horizontal="left" readingOrder="0" shrinkToFit="0" wrapText="1"/>
    </xf>
    <xf borderId="0" fillId="30" fontId="12" numFmtId="49" xfId="0" applyAlignment="1" applyFill="1" applyFont="1" applyNumberFormat="1">
      <alignment readingOrder="0" shrinkToFit="0" wrapText="1"/>
    </xf>
    <xf borderId="0" fillId="30" fontId="12" numFmtId="0" xfId="0" applyAlignment="1" applyFont="1">
      <alignment readingOrder="0" shrinkToFit="0" wrapText="1"/>
    </xf>
    <xf borderId="0" fillId="10" fontId="45" numFmtId="49" xfId="0" applyAlignment="1" applyFont="1" applyNumberFormat="1">
      <alignment horizontal="center" readingOrder="0" shrinkToFit="0" wrapText="1"/>
    </xf>
    <xf borderId="0" fillId="0" fontId="12" numFmtId="49" xfId="0" applyAlignment="1" applyFont="1" applyNumberForma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31" fontId="45" numFmtId="49" xfId="0" applyAlignment="1" applyFill="1" applyFont="1" applyNumberFormat="1">
      <alignment horizontal="center" readingOrder="0" shrinkToFit="0" wrapText="1"/>
    </xf>
    <xf borderId="0" fillId="13" fontId="45" numFmtId="49" xfId="0" applyAlignment="1" applyFont="1" applyNumberFormat="1">
      <alignment horizontal="center" readingOrder="0" shrinkToFit="0" wrapText="1"/>
    </xf>
    <xf borderId="0" fillId="32" fontId="45" numFmtId="49" xfId="0" applyAlignment="1" applyFill="1" applyFont="1" applyNumberFormat="1">
      <alignment horizontal="center" readingOrder="0" shrinkToFit="0" wrapText="1"/>
    </xf>
    <xf borderId="0" fillId="31" fontId="45" numFmtId="49" xfId="0" applyAlignment="1" applyFont="1" applyNumberFormat="1">
      <alignment readingOrder="0" shrinkToFit="0" wrapText="1"/>
    </xf>
    <xf borderId="0" fillId="0" fontId="46" numFmtId="0" xfId="0" applyAlignment="1" applyFont="1">
      <alignment shrinkToFit="0" vertical="bottom" wrapText="1"/>
    </xf>
    <xf borderId="7" fillId="24" fontId="11" numFmtId="0" xfId="0" applyAlignment="1" applyBorder="1" applyFont="1">
      <alignment horizontal="center" readingOrder="0" shrinkToFit="0" vertical="center" wrapText="1"/>
    </xf>
    <xf borderId="7" fillId="9" fontId="11" numFmtId="0" xfId="0" applyAlignment="1" applyBorder="1" applyFont="1">
      <alignment horizontal="left" readingOrder="0" shrinkToFit="0" vertical="center" wrapText="1"/>
    </xf>
    <xf borderId="7" fillId="13" fontId="16" numFmtId="0" xfId="0" applyAlignment="1" applyBorder="1" applyFont="1">
      <alignment horizontal="center" readingOrder="0" shrinkToFit="0" vertical="top" wrapText="1"/>
    </xf>
    <xf borderId="11" fillId="0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left" shrinkToFit="0" wrapText="1"/>
    </xf>
    <xf borderId="20" fillId="0" fontId="11" numFmtId="0" xfId="0" applyAlignment="1" applyBorder="1" applyFont="1">
      <alignment shrinkToFit="0" vertical="center" wrapText="0"/>
    </xf>
    <xf borderId="7" fillId="5" fontId="11" numFmtId="0" xfId="0" applyAlignment="1" applyBorder="1" applyFont="1">
      <alignment horizontal="center" readingOrder="0" shrinkToFit="0" vertical="top" wrapText="1"/>
    </xf>
    <xf borderId="11" fillId="23" fontId="11" numFmtId="0" xfId="0" applyAlignment="1" applyBorder="1" applyFont="1">
      <alignment horizontal="center" readingOrder="0" shrinkToFit="0" vertical="center" wrapText="1"/>
    </xf>
    <xf borderId="20" fillId="0" fontId="7" numFmtId="0" xfId="0" applyAlignment="1" applyBorder="1" applyFont="1">
      <alignment shrinkToFit="0" wrapText="1"/>
    </xf>
    <xf borderId="7" fillId="4" fontId="16" numFmtId="0" xfId="0" applyAlignment="1" applyBorder="1" applyFont="1">
      <alignment horizontal="left" readingOrder="0" shrinkToFit="0" vertical="center" wrapText="1"/>
    </xf>
    <xf borderId="7" fillId="4" fontId="16" numFmtId="0" xfId="0" applyAlignment="1" applyBorder="1" applyFont="1">
      <alignment horizontal="center" readingOrder="0" shrinkToFit="0" vertical="top" wrapText="1"/>
    </xf>
    <xf borderId="7" fillId="0" fontId="11" numFmtId="0" xfId="0" applyAlignment="1" applyBorder="1" applyFont="1">
      <alignment shrinkToFit="0" wrapText="1"/>
    </xf>
    <xf borderId="13" fillId="0" fontId="11" numFmtId="0" xfId="0" applyAlignment="1" applyBorder="1" applyFont="1">
      <alignment shrinkToFit="0" wrapText="1"/>
    </xf>
    <xf borderId="11" fillId="0" fontId="11" numFmtId="0" xfId="0" applyAlignment="1" applyBorder="1" applyFont="1">
      <alignment shrinkToFit="0" wrapText="1"/>
    </xf>
    <xf borderId="16" fillId="0" fontId="11" numFmtId="0" xfId="0" applyAlignment="1" applyBorder="1" applyFont="1">
      <alignment shrinkToFit="0" wrapText="1"/>
    </xf>
    <xf borderId="7" fillId="12" fontId="2" numFmtId="0" xfId="0" applyAlignment="1" applyBorder="1" applyFont="1">
      <alignment horizontal="center" shrinkToFit="0" vertical="center" wrapText="0"/>
    </xf>
    <xf borderId="11" fillId="0" fontId="12" numFmtId="0" xfId="0" applyAlignment="1" applyBorder="1" applyFont="1">
      <alignment shrinkToFit="0" wrapText="1"/>
    </xf>
    <xf borderId="7" fillId="23" fontId="11" numFmtId="0" xfId="0" applyAlignment="1" applyBorder="1" applyFont="1">
      <alignment horizontal="center" readingOrder="0" shrinkToFit="0" vertical="top" wrapText="1"/>
    </xf>
    <xf borderId="11" fillId="0" fontId="7" numFmtId="0" xfId="0" applyAlignment="1" applyBorder="1" applyFont="1">
      <alignment shrinkToFit="0" wrapText="1"/>
    </xf>
    <xf borderId="23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wrapText="0"/>
    </xf>
    <xf borderId="23" fillId="0" fontId="2" numFmtId="0" xfId="0" applyAlignment="1" applyBorder="1" applyFont="1">
      <alignment horizontal="left" shrinkToFit="0" wrapText="0"/>
    </xf>
    <xf borderId="13" fillId="0" fontId="2" numFmtId="0" xfId="0" applyAlignment="1" applyBorder="1" applyFont="1">
      <alignment horizontal="left" shrinkToFit="0" wrapText="0"/>
    </xf>
    <xf borderId="0" fillId="0" fontId="26" numFmtId="0" xfId="0" applyAlignment="1" applyFont="1">
      <alignment horizontal="center" readingOrder="0" shrinkToFit="0" vertical="center" wrapText="1"/>
    </xf>
    <xf borderId="13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0" fillId="0" fontId="47" numFmtId="0" xfId="0" applyAlignment="1" applyFont="1">
      <alignment horizontal="left" readingOrder="0" shrinkToFit="0" vertical="center" wrapText="1"/>
    </xf>
    <xf borderId="0" fillId="0" fontId="47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4" fontId="11" numFmtId="0" xfId="0" applyAlignment="1" applyFont="1">
      <alignment horizontal="center" shrinkToFit="0" wrapText="0"/>
    </xf>
    <xf borderId="0" fillId="4" fontId="5" numFmtId="0" xfId="0" applyAlignment="1" applyFont="1">
      <alignment horizontal="center" readingOrder="0" shrinkToFit="0" wrapText="1"/>
    </xf>
    <xf borderId="0" fillId="4" fontId="11" numFmtId="0" xfId="0" applyAlignment="1" applyFont="1">
      <alignment readingOrder="0" shrinkToFit="0" wrapText="1"/>
    </xf>
    <xf borderId="0" fillId="4" fontId="11" numFmtId="0" xfId="0" applyAlignment="1" applyFont="1">
      <alignment shrinkToFit="0" wrapText="1"/>
    </xf>
    <xf borderId="0" fillId="0" fontId="21" numFmtId="0" xfId="0" applyAlignment="1" applyFont="1">
      <alignment horizontal="left" readingOrder="0" shrinkToFit="0" wrapText="0"/>
    </xf>
    <xf borderId="0" fillId="9" fontId="11" numFmtId="0" xfId="0" applyAlignment="1" applyFont="1">
      <alignment horizontal="center" shrinkToFit="0" wrapText="0"/>
    </xf>
    <xf borderId="0" fillId="9" fontId="5" numFmtId="0" xfId="0" applyAlignment="1" applyFont="1">
      <alignment horizontal="center" readingOrder="0" shrinkToFit="0" wrapText="1"/>
    </xf>
    <xf borderId="0" fillId="9" fontId="11" numFmtId="0" xfId="0" applyAlignment="1" applyFont="1">
      <alignment readingOrder="0" shrinkToFit="0" wrapText="1"/>
    </xf>
    <xf borderId="0" fillId="9" fontId="11" numFmtId="0" xfId="0" applyAlignment="1" applyFont="1">
      <alignment shrinkToFit="0" wrapText="1"/>
    </xf>
    <xf borderId="0" fillId="0" fontId="48" numFmtId="0" xfId="0" applyAlignment="1" applyFont="1">
      <alignment horizontal="left" readingOrder="0" shrinkToFit="0" wrapText="0"/>
    </xf>
    <xf borderId="0" fillId="0" fontId="21" numFmtId="0" xfId="0" applyAlignment="1" applyFont="1">
      <alignment horizontal="left" readingOrder="0" shrinkToFit="0" wrapText="1"/>
    </xf>
    <xf borderId="0" fillId="23" fontId="11" numFmtId="0" xfId="0" applyAlignment="1" applyFont="1">
      <alignment horizontal="center" shrinkToFit="0" wrapText="0"/>
    </xf>
    <xf borderId="0" fillId="23" fontId="5" numFmtId="0" xfId="0" applyAlignment="1" applyFont="1">
      <alignment horizontal="center" readingOrder="0" shrinkToFit="0" wrapText="1"/>
    </xf>
    <xf borderId="0" fillId="23" fontId="11" numFmtId="0" xfId="0" applyAlignment="1" applyFont="1">
      <alignment readingOrder="0" shrinkToFit="0" wrapText="1"/>
    </xf>
    <xf borderId="0" fillId="23" fontId="11" numFmtId="0" xfId="0" applyAlignment="1" applyFont="1">
      <alignment shrinkToFit="0" wrapText="1"/>
    </xf>
    <xf borderId="0" fillId="0" fontId="49" numFmtId="0" xfId="0" applyAlignment="1" applyFont="1">
      <alignment readingOrder="0" shrinkToFit="0" wrapText="1"/>
    </xf>
    <xf borderId="0" fillId="16" fontId="2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0"/>
    </xf>
    <xf borderId="0" fillId="5" fontId="16" numFmtId="0" xfId="0" applyAlignment="1" applyFont="1">
      <alignment readingOrder="0" shrinkToFit="0" wrapText="1"/>
    </xf>
    <xf borderId="0" fillId="5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0"/>
    </xf>
    <xf borderId="0" fillId="13" fontId="16" numFmtId="0" xfId="0" applyAlignment="1" applyFont="1">
      <alignment readingOrder="0" shrinkToFit="0" wrapText="1"/>
    </xf>
    <xf borderId="0" fillId="13" fontId="1" numFmtId="0" xfId="0" applyAlignment="1" applyFont="1">
      <alignment horizontal="center" readingOrder="0" shrinkToFit="0" wrapText="1"/>
    </xf>
    <xf borderId="0" fillId="24" fontId="16" numFmtId="0" xfId="0" applyAlignment="1" applyFont="1">
      <alignment readingOrder="0" shrinkToFit="0" wrapText="1"/>
    </xf>
    <xf borderId="0" fillId="24" fontId="50" numFmtId="49" xfId="0" applyAlignment="1" applyFont="1" applyNumberFormat="1">
      <alignment horizontal="center" readingOrder="0" shrinkToFit="0" vertical="bottom" wrapText="0"/>
    </xf>
    <xf borderId="0" fillId="24" fontId="51" numFmtId="49" xfId="0" applyAlignment="1" applyFont="1" applyNumberFormat="1">
      <alignment readingOrder="0" shrinkToFit="0" vertical="bottom" wrapText="1"/>
    </xf>
    <xf borderId="0" fillId="6" fontId="16" numFmtId="0" xfId="0" applyAlignment="1" applyFont="1">
      <alignment readingOrder="0" shrinkToFit="0" wrapText="1"/>
    </xf>
    <xf borderId="0" fillId="6" fontId="1" numFmtId="0" xfId="0" applyAlignment="1" applyFont="1">
      <alignment horizontal="center" readingOrder="0" shrinkToFit="0" wrapText="1"/>
    </xf>
    <xf borderId="0" fillId="6" fontId="5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7.57"/>
    <col customWidth="1" min="3" max="3" width="11.71"/>
    <col customWidth="1" min="4" max="10" width="7.57"/>
    <col customWidth="1" min="11" max="11" width="9.0"/>
    <col customWidth="1" min="12" max="12" width="11.57"/>
    <col customWidth="1" min="13" max="13" width="22.57"/>
    <col customWidth="1" min="14" max="23" width="7.57"/>
    <col customWidth="1" min="24" max="24" width="7.71"/>
    <col customWidth="1" min="25" max="25" width="8.57"/>
    <col customWidth="1" min="26" max="26" width="8.43"/>
    <col customWidth="1" min="27" max="27" width="9.29"/>
    <col customWidth="1" min="28" max="30" width="5.71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0</v>
      </c>
      <c r="X1" s="2"/>
      <c r="Y1" s="3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9.5" customHeight="1">
      <c r="A2" s="5" t="s">
        <v>1</v>
      </c>
      <c r="X2" s="2"/>
      <c r="Y2" s="2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7"/>
      <c r="AN2" s="6"/>
      <c r="AO2" s="6"/>
      <c r="AP2" s="6"/>
    </row>
    <row r="3" ht="19.5" customHeight="1">
      <c r="A3" s="8"/>
      <c r="B3" s="8"/>
      <c r="C3" s="8"/>
      <c r="D3" s="8"/>
      <c r="E3" s="8"/>
      <c r="F3" s="8"/>
      <c r="G3" s="8"/>
      <c r="H3" s="8"/>
      <c r="I3" s="9" t="s">
        <v>2</v>
      </c>
      <c r="J3" s="10"/>
      <c r="K3" s="10"/>
      <c r="L3" s="10"/>
      <c r="M3" s="10"/>
      <c r="N3" s="9"/>
      <c r="O3" s="8"/>
      <c r="P3" s="8"/>
      <c r="Q3" s="8"/>
      <c r="R3" s="8"/>
      <c r="S3" s="8"/>
      <c r="T3" s="8"/>
      <c r="U3" s="8"/>
      <c r="V3" s="8"/>
      <c r="W3" s="8"/>
      <c r="X3" s="2"/>
      <c r="Y3" s="2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/>
      <c r="AM3" s="7"/>
      <c r="AN3" s="6"/>
      <c r="AO3" s="6"/>
      <c r="AP3" s="6"/>
    </row>
    <row r="4" ht="19.5" customHeight="1">
      <c r="A4" s="11"/>
      <c r="B4" s="12" t="s">
        <v>3</v>
      </c>
      <c r="C4" s="13"/>
      <c r="D4" s="14" t="s">
        <v>4</v>
      </c>
      <c r="E4" s="15"/>
      <c r="F4" s="16" t="s">
        <v>5</v>
      </c>
      <c r="G4" s="17"/>
      <c r="H4" s="16" t="s">
        <v>6</v>
      </c>
      <c r="I4" s="17"/>
      <c r="J4" s="12" t="s">
        <v>7</v>
      </c>
      <c r="K4" s="13"/>
      <c r="L4" s="14" t="s">
        <v>8</v>
      </c>
      <c r="M4" s="15"/>
      <c r="N4" s="14" t="s">
        <v>9</v>
      </c>
      <c r="O4" s="15"/>
      <c r="P4" s="14" t="s">
        <v>10</v>
      </c>
      <c r="Q4" s="18"/>
      <c r="R4" s="12" t="s">
        <v>11</v>
      </c>
      <c r="S4" s="19"/>
      <c r="T4" s="12" t="s">
        <v>12</v>
      </c>
      <c r="U4" s="13"/>
      <c r="V4" s="12" t="s">
        <v>13</v>
      </c>
      <c r="W4" s="13"/>
      <c r="X4" s="20"/>
      <c r="Z4" s="21"/>
      <c r="AB4" s="21"/>
      <c r="AD4" s="22"/>
      <c r="AE4" s="22"/>
      <c r="AF4" s="6"/>
      <c r="AG4" s="6"/>
      <c r="AH4" s="6"/>
      <c r="AI4" s="6"/>
      <c r="AJ4" s="6"/>
      <c r="AK4" s="6"/>
      <c r="AL4" s="7"/>
      <c r="AM4" s="7"/>
      <c r="AN4" s="6"/>
      <c r="AO4" s="6"/>
      <c r="AP4" s="6"/>
    </row>
    <row r="5" ht="78.75" customHeight="1">
      <c r="A5" s="23" t="s">
        <v>14</v>
      </c>
      <c r="B5" s="24"/>
      <c r="C5" s="25"/>
      <c r="D5" s="25"/>
      <c r="E5" s="26" t="s">
        <v>15</v>
      </c>
      <c r="F5" s="27"/>
      <c r="G5" s="27"/>
      <c r="H5" s="28" t="s">
        <v>16</v>
      </c>
      <c r="I5" s="27"/>
      <c r="J5" s="29"/>
      <c r="K5" s="30"/>
      <c r="L5" s="31" t="s">
        <v>17</v>
      </c>
      <c r="M5" s="29"/>
      <c r="N5" s="31" t="s">
        <v>18</v>
      </c>
      <c r="O5" s="27"/>
      <c r="P5" s="27"/>
      <c r="Q5" s="29"/>
      <c r="V5" s="32"/>
      <c r="W5" s="33"/>
      <c r="X5" s="34"/>
      <c r="Y5" s="2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6"/>
      <c r="AO5" s="6"/>
      <c r="AP5" s="6"/>
    </row>
    <row r="6" ht="74.25" customHeight="1">
      <c r="A6" s="35"/>
      <c r="B6" s="36"/>
      <c r="C6" s="36"/>
      <c r="D6" s="36"/>
      <c r="E6" s="37"/>
      <c r="F6" s="10"/>
      <c r="G6" s="10"/>
      <c r="H6" s="37"/>
      <c r="I6" s="10"/>
      <c r="J6" s="38"/>
      <c r="K6" s="39"/>
      <c r="L6" s="37"/>
      <c r="M6" s="38"/>
      <c r="N6" s="37"/>
      <c r="O6" s="10"/>
      <c r="P6" s="10"/>
      <c r="Q6" s="38"/>
      <c r="V6" s="40"/>
      <c r="W6" s="41"/>
      <c r="X6" s="34"/>
      <c r="Y6" s="2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7"/>
      <c r="AM6" s="7"/>
      <c r="AN6" s="6"/>
      <c r="AO6" s="6"/>
      <c r="AP6" s="6"/>
    </row>
    <row r="7" ht="28.5" customHeight="1">
      <c r="A7" s="42" t="s">
        <v>19</v>
      </c>
      <c r="B7" s="43"/>
      <c r="C7" s="43"/>
      <c r="D7" s="43"/>
      <c r="E7" s="44" t="s">
        <v>20</v>
      </c>
      <c r="F7" s="27"/>
      <c r="G7" s="17"/>
      <c r="H7" s="45" t="s">
        <v>21</v>
      </c>
      <c r="I7" s="27"/>
      <c r="J7" s="29"/>
      <c r="K7" s="32"/>
      <c r="R7" s="46"/>
      <c r="S7" s="46"/>
      <c r="T7" s="46"/>
      <c r="U7" s="30"/>
      <c r="V7" s="30"/>
      <c r="W7" s="47"/>
      <c r="X7" s="2"/>
      <c r="Y7" s="2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7"/>
      <c r="AM7" s="7"/>
      <c r="AN7" s="6"/>
      <c r="AO7" s="6"/>
      <c r="AP7" s="6"/>
    </row>
    <row r="8" ht="28.5" customHeight="1">
      <c r="A8" s="48"/>
      <c r="B8" s="49"/>
      <c r="C8" s="49"/>
      <c r="D8" s="49"/>
      <c r="E8" s="37"/>
      <c r="F8" s="10"/>
      <c r="G8" s="50"/>
      <c r="H8" s="37"/>
      <c r="I8" s="10"/>
      <c r="J8" s="38"/>
      <c r="K8" s="51"/>
      <c r="L8" s="52"/>
      <c r="M8" s="52"/>
      <c r="N8" s="52"/>
      <c r="O8" s="52"/>
      <c r="P8" s="52"/>
      <c r="Q8" s="52"/>
      <c r="R8" s="51"/>
      <c r="S8" s="51"/>
      <c r="T8" s="51"/>
      <c r="U8" s="51"/>
      <c r="V8" s="51"/>
      <c r="W8" s="53"/>
      <c r="X8" s="2"/>
      <c r="Y8" s="2"/>
      <c r="Z8" s="6"/>
      <c r="AA8" s="6"/>
      <c r="AB8" s="6"/>
      <c r="AC8" s="6"/>
      <c r="AD8" s="54" t="s">
        <v>22</v>
      </c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6"/>
    </row>
    <row r="9" ht="28.5" customHeight="1">
      <c r="A9" s="48"/>
      <c r="B9" s="43"/>
      <c r="C9" s="43"/>
      <c r="D9" s="43"/>
      <c r="E9" s="43"/>
      <c r="F9" s="43"/>
      <c r="G9" s="43"/>
      <c r="H9" s="43"/>
      <c r="I9" s="43"/>
      <c r="J9" s="55"/>
      <c r="K9" s="55"/>
      <c r="L9" s="55"/>
      <c r="M9" s="55"/>
      <c r="N9" s="55"/>
      <c r="O9" s="55"/>
      <c r="P9" s="55"/>
      <c r="Q9" s="55"/>
      <c r="R9" s="56"/>
      <c r="S9" s="55"/>
      <c r="T9" s="55"/>
      <c r="U9" s="55"/>
      <c r="V9" s="55"/>
      <c r="W9" s="57"/>
      <c r="X9" s="2"/>
      <c r="Y9" s="58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6"/>
    </row>
    <row r="10" ht="28.5" customHeight="1">
      <c r="A10" s="35"/>
      <c r="B10" s="43"/>
      <c r="C10" s="43"/>
      <c r="D10" s="43"/>
      <c r="E10" s="43"/>
      <c r="F10" s="43"/>
      <c r="G10" s="43"/>
      <c r="H10" s="43"/>
      <c r="I10" s="43"/>
      <c r="J10" s="43"/>
      <c r="K10" s="40"/>
      <c r="L10" s="36"/>
      <c r="M10" s="36"/>
      <c r="N10" s="36"/>
      <c r="O10" s="59"/>
      <c r="P10" s="59"/>
      <c r="Q10" s="59"/>
      <c r="R10" s="60"/>
      <c r="S10" s="60"/>
      <c r="T10" s="60"/>
      <c r="U10" s="39"/>
      <c r="V10" s="39"/>
      <c r="W10" s="53"/>
      <c r="X10" s="2"/>
      <c r="Y10" s="2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7"/>
      <c r="AN10" s="6"/>
      <c r="AO10" s="6"/>
      <c r="AP10" s="6"/>
    </row>
    <row r="11" ht="28.5" customHeight="1">
      <c r="A11" s="61" t="s">
        <v>23</v>
      </c>
      <c r="B11" s="62"/>
      <c r="C11" s="6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3"/>
      <c r="X11" s="2"/>
      <c r="Y11" s="2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6"/>
    </row>
    <row r="12" ht="28.5" customHeight="1">
      <c r="A12" s="35"/>
      <c r="B12" s="64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1"/>
      <c r="X12" s="2"/>
      <c r="Y12" s="2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6"/>
    </row>
    <row r="13" ht="28.5" customHeight="1">
      <c r="A13" s="65" t="s">
        <v>24</v>
      </c>
      <c r="B13" s="43"/>
      <c r="C13" s="43"/>
      <c r="D13" s="43"/>
      <c r="E13" s="26" t="s">
        <v>25</v>
      </c>
      <c r="F13" s="27"/>
      <c r="G13" s="29"/>
      <c r="H13" s="28" t="s">
        <v>26</v>
      </c>
      <c r="I13" s="27"/>
      <c r="J13" s="29"/>
      <c r="K13" s="32"/>
      <c r="L13" s="25"/>
      <c r="M13" s="25"/>
      <c r="N13" s="25"/>
      <c r="O13" s="25"/>
      <c r="P13" s="25"/>
      <c r="Q13" s="25"/>
      <c r="R13" s="32"/>
      <c r="S13" s="32"/>
      <c r="T13" s="32"/>
      <c r="U13" s="66"/>
      <c r="V13" s="66"/>
      <c r="W13" s="67"/>
      <c r="X13" s="2"/>
      <c r="Y13" s="2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6"/>
    </row>
    <row r="14" ht="28.5" customHeight="1">
      <c r="A14" s="35"/>
      <c r="B14" s="43"/>
      <c r="C14" s="43"/>
      <c r="D14" s="43"/>
      <c r="E14" s="37"/>
      <c r="F14" s="10"/>
      <c r="G14" s="38"/>
      <c r="H14" s="37"/>
      <c r="I14" s="10"/>
      <c r="J14" s="38"/>
      <c r="K14" s="40"/>
      <c r="L14" s="36"/>
      <c r="M14" s="36"/>
      <c r="N14" s="36"/>
      <c r="O14" s="36"/>
      <c r="P14" s="36"/>
      <c r="Q14" s="36"/>
      <c r="R14" s="40"/>
      <c r="S14" s="40"/>
      <c r="T14" s="40"/>
      <c r="U14" s="51"/>
      <c r="V14" s="51"/>
      <c r="W14" s="68"/>
      <c r="X14" s="2"/>
      <c r="Y14" s="2"/>
      <c r="Z14" s="6"/>
      <c r="AA14" s="6"/>
      <c r="AB14" s="6"/>
      <c r="AC14" s="6"/>
      <c r="AD14" s="54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6"/>
    </row>
    <row r="15" ht="36.0" customHeight="1">
      <c r="A15" s="69" t="s">
        <v>27</v>
      </c>
      <c r="B15" s="70"/>
      <c r="C15" s="46"/>
      <c r="D15" s="46"/>
      <c r="E15" s="44" t="s">
        <v>28</v>
      </c>
      <c r="F15" s="27"/>
      <c r="G15" s="29"/>
      <c r="H15" s="45" t="s">
        <v>29</v>
      </c>
      <c r="I15" s="27"/>
      <c r="J15" s="29"/>
      <c r="K15" s="32"/>
      <c r="L15" s="71" t="s">
        <v>30</v>
      </c>
      <c r="M15" s="29"/>
      <c r="N15" s="72" t="s">
        <v>31</v>
      </c>
      <c r="O15" s="27"/>
      <c r="P15" s="27"/>
      <c r="Q15" s="27"/>
      <c r="R15" s="27"/>
      <c r="S15" s="27"/>
      <c r="T15" s="27"/>
      <c r="U15" s="29"/>
      <c r="V15" s="66"/>
      <c r="W15" s="67"/>
      <c r="X15" s="73"/>
      <c r="Y15" s="2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6"/>
    </row>
    <row r="16" ht="37.5" customHeight="1">
      <c r="A16" s="74"/>
      <c r="B16" s="75"/>
      <c r="C16" s="60"/>
      <c r="D16" s="60"/>
      <c r="E16" s="37"/>
      <c r="F16" s="10"/>
      <c r="G16" s="38"/>
      <c r="H16" s="37"/>
      <c r="I16" s="10"/>
      <c r="J16" s="38"/>
      <c r="K16" s="40"/>
      <c r="L16" s="37"/>
      <c r="M16" s="38"/>
      <c r="N16" s="37"/>
      <c r="O16" s="10"/>
      <c r="P16" s="10"/>
      <c r="Q16" s="10"/>
      <c r="R16" s="10"/>
      <c r="S16" s="10"/>
      <c r="T16" s="10"/>
      <c r="U16" s="38"/>
      <c r="V16" s="51"/>
      <c r="W16" s="68"/>
      <c r="X16" s="73"/>
      <c r="Y16" s="2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7"/>
      <c r="AM16" s="7"/>
      <c r="AN16" s="6"/>
      <c r="AO16" s="6"/>
      <c r="AP16" s="6"/>
    </row>
    <row r="17" ht="19.5" customHeight="1">
      <c r="A17" s="76" t="s">
        <v>32</v>
      </c>
      <c r="B17" s="77"/>
      <c r="C17" s="78"/>
      <c r="D17" s="78"/>
      <c r="E17" s="78"/>
      <c r="F17" s="78"/>
      <c r="G17" s="78"/>
      <c r="H17" s="78"/>
      <c r="I17" s="78"/>
      <c r="J17" s="7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8"/>
      <c r="W17" s="79"/>
      <c r="X17" s="2"/>
      <c r="Y17" s="2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7"/>
      <c r="AM17" s="7"/>
      <c r="AN17" s="6"/>
      <c r="AO17" s="6"/>
      <c r="AP17" s="6"/>
    </row>
    <row r="18" ht="19.5" customHeight="1">
      <c r="A18" s="76" t="s">
        <v>33</v>
      </c>
      <c r="B18" s="77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9"/>
      <c r="X18" s="2"/>
      <c r="Y18" s="2"/>
      <c r="Z18" s="6"/>
      <c r="AA18" s="54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7"/>
      <c r="AN18" s="6"/>
      <c r="AO18" s="6"/>
      <c r="AP18" s="6"/>
    </row>
    <row r="19" ht="14.25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2"/>
      <c r="V19" s="2"/>
      <c r="W19" s="2"/>
      <c r="X19" s="2"/>
      <c r="Y19" s="2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7"/>
      <c r="AN19" s="6"/>
      <c r="AO19" s="6"/>
      <c r="AP19" s="6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7"/>
      <c r="AM20" s="7"/>
      <c r="AN20" s="6"/>
      <c r="AO20" s="6"/>
      <c r="AP20" s="6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81" t="s">
        <v>34</v>
      </c>
      <c r="R21" s="82"/>
      <c r="S21" s="19"/>
      <c r="T21" s="83" t="s">
        <v>35</v>
      </c>
      <c r="U21" s="19"/>
      <c r="V21" s="81" t="s">
        <v>36</v>
      </c>
      <c r="W21" s="19"/>
      <c r="X21" s="84" t="s">
        <v>37</v>
      </c>
      <c r="Y21" s="84" t="s">
        <v>38</v>
      </c>
      <c r="Z21" s="84" t="s">
        <v>39</v>
      </c>
      <c r="AA21" s="84" t="s">
        <v>40</v>
      </c>
      <c r="AB21" s="85"/>
      <c r="AC21" s="6"/>
      <c r="AD21" s="6"/>
      <c r="AE21" s="6"/>
      <c r="AF21" s="6"/>
      <c r="AG21" s="6"/>
      <c r="AH21" s="6"/>
      <c r="AI21" s="6"/>
      <c r="AJ21" s="6"/>
      <c r="AK21" s="6"/>
      <c r="AL21" s="7"/>
      <c r="AM21" s="7"/>
      <c r="AN21" s="6"/>
      <c r="AO21" s="6"/>
      <c r="AP21" s="6"/>
    </row>
    <row r="22" ht="28.5" customHeight="1">
      <c r="A22" s="86" t="s">
        <v>41</v>
      </c>
      <c r="B22" s="87" t="s">
        <v>42</v>
      </c>
      <c r="C22" s="5" t="s">
        <v>43</v>
      </c>
      <c r="D22" s="88" t="s">
        <v>44</v>
      </c>
      <c r="K22" s="88" t="s">
        <v>45</v>
      </c>
      <c r="L22" s="89" t="s">
        <v>46</v>
      </c>
      <c r="M22" s="89" t="s">
        <v>47</v>
      </c>
      <c r="N22" s="88" t="s">
        <v>48</v>
      </c>
      <c r="P22" s="90"/>
      <c r="Q22" s="91" t="s">
        <v>49</v>
      </c>
      <c r="R22" s="91" t="s">
        <v>50</v>
      </c>
      <c r="S22" s="92" t="s">
        <v>51</v>
      </c>
      <c r="T22" s="93" t="s">
        <v>52</v>
      </c>
      <c r="U22" s="93" t="s">
        <v>53</v>
      </c>
      <c r="V22" s="92" t="s">
        <v>54</v>
      </c>
      <c r="W22" s="94" t="s">
        <v>55</v>
      </c>
      <c r="X22" s="35"/>
      <c r="Y22" s="35"/>
      <c r="Z22" s="35"/>
      <c r="AA22" s="35"/>
      <c r="AB22" s="95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</row>
    <row r="23" ht="19.5" customHeight="1">
      <c r="A23" s="96" t="s">
        <v>56</v>
      </c>
      <c r="B23" s="97">
        <v>1.0</v>
      </c>
      <c r="C23" s="98" t="s">
        <v>57</v>
      </c>
      <c r="D23" s="99" t="str">
        <f>vlookup($C23,DG2562V1.2Courses!$B$4:$F$98,3,FALSE)</f>
        <v>Programming and Logical Thinking</v>
      </c>
      <c r="K23" s="100">
        <f>vlookup($C23,DG2562V1.2Courses!$B$4:$F$98,4,FALSE)</f>
        <v>2</v>
      </c>
      <c r="L23" s="101" t="s">
        <v>58</v>
      </c>
      <c r="M23" s="102" t="s">
        <v>59</v>
      </c>
      <c r="N23" s="103"/>
      <c r="O23" s="103"/>
      <c r="P23" s="103"/>
      <c r="Q23" s="104"/>
      <c r="R23" s="104"/>
      <c r="S23" s="104"/>
      <c r="T23" s="104"/>
      <c r="U23" s="104"/>
      <c r="V23" s="105">
        <v>4.0</v>
      </c>
      <c r="W23" s="106"/>
      <c r="X23" s="106"/>
      <c r="Y23" s="107"/>
      <c r="Z23" s="107"/>
      <c r="AA23" s="108"/>
      <c r="AB23" s="95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ht="21.0" customHeight="1">
      <c r="A24" s="96" t="s">
        <v>56</v>
      </c>
      <c r="B24" s="109">
        <v>2.0</v>
      </c>
      <c r="C24" s="110" t="s">
        <v>60</v>
      </c>
      <c r="D24" s="111" t="str">
        <f>vlookup($C24,DG2562V1.2Courses!$B$4:$F$98,3,FALSE)</f>
        <v>Computer and Programming for Game 1</v>
      </c>
      <c r="K24" s="112">
        <f>vlookup($C24,DG2562V1.2Courses!$B$4:$F$98,4,FALSE)</f>
        <v>3</v>
      </c>
      <c r="L24" s="101" t="s">
        <v>61</v>
      </c>
      <c r="M24" s="113" t="s">
        <v>62</v>
      </c>
      <c r="N24" s="114"/>
      <c r="P24" s="103"/>
      <c r="Q24" s="115"/>
      <c r="R24" s="115"/>
      <c r="S24" s="115"/>
      <c r="T24" s="115"/>
      <c r="U24" s="115"/>
      <c r="V24" s="116">
        <v>4.0</v>
      </c>
      <c r="W24" s="117"/>
      <c r="X24" s="117"/>
      <c r="Y24" s="117"/>
      <c r="Z24" s="117"/>
      <c r="AA24" s="118"/>
      <c r="AB24" s="95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</row>
    <row r="25" ht="18.75" customHeight="1">
      <c r="A25" s="96" t="s">
        <v>56</v>
      </c>
      <c r="B25" s="97">
        <v>3.0</v>
      </c>
      <c r="C25" s="119" t="s">
        <v>63</v>
      </c>
      <c r="D25" s="120" t="str">
        <f>vlookup($C25,DG2562V1.2Courses!$B$4:$F$98,3,FALSE)</f>
        <v>Psychology and Daily Life</v>
      </c>
      <c r="K25" s="121">
        <f>vlookup($C25,DG2562V1.2Courses!$B$4:$F$98,4,FALSE)</f>
        <v>3</v>
      </c>
      <c r="M25" s="122"/>
      <c r="N25" s="103"/>
      <c r="O25" s="103"/>
      <c r="P25" s="103"/>
      <c r="Q25" s="103"/>
      <c r="R25" s="103"/>
      <c r="S25" s="103"/>
      <c r="T25" s="103"/>
      <c r="U25" s="103"/>
      <c r="V25" s="103"/>
      <c r="W25" s="90"/>
      <c r="X25" s="90"/>
      <c r="Y25" s="90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</row>
    <row r="26" ht="18.75" customHeight="1">
      <c r="A26" s="96" t="s">
        <v>56</v>
      </c>
      <c r="B26" s="109">
        <v>4.0</v>
      </c>
      <c r="C26" s="123" t="s">
        <v>64</v>
      </c>
      <c r="D26" s="124" t="str">
        <f>vlookup($C26,DG2562V1.2Courses!$B$4:$F$98,3,FALSE)</f>
        <v>Citizenship</v>
      </c>
      <c r="K26" s="125">
        <f>vlookup($C26,DG2562V1.2Courses!$B$4:$F$98,4,FALSE)</f>
        <v>3</v>
      </c>
      <c r="L26" s="126"/>
      <c r="M26" s="127"/>
      <c r="N26" s="103"/>
      <c r="O26" s="103"/>
      <c r="P26" s="103"/>
      <c r="Q26" s="103"/>
      <c r="R26" s="103"/>
      <c r="S26" s="103"/>
      <c r="T26" s="103"/>
      <c r="U26" s="103"/>
      <c r="V26" s="103"/>
      <c r="W26" s="90"/>
      <c r="X26" s="90"/>
      <c r="Y26" s="90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</row>
    <row r="27" ht="18.75" customHeight="1">
      <c r="A27" s="96" t="s">
        <v>56</v>
      </c>
      <c r="B27" s="97">
        <v>5.0</v>
      </c>
      <c r="C27" s="128" t="s">
        <v>65</v>
      </c>
      <c r="D27" s="129" t="str">
        <f>vlookup($C27,DG2562V1.2Courses!$B$4:$F$98,3,FALSE)</f>
        <v>Architecture in Everyday Life</v>
      </c>
      <c r="K27" s="130">
        <f>vlookup($C27,DG2562V1.2Courses!$B$4:$F$98,4,FALSE)</f>
        <v>3</v>
      </c>
      <c r="L27" s="126"/>
      <c r="M27" s="127"/>
      <c r="N27" s="103"/>
      <c r="O27" s="103"/>
      <c r="P27" s="103"/>
      <c r="Q27" s="103"/>
      <c r="R27" s="103"/>
      <c r="S27" s="103"/>
      <c r="T27" s="103"/>
      <c r="U27" s="103"/>
      <c r="V27" s="103"/>
      <c r="W27" s="90"/>
      <c r="X27" s="90"/>
      <c r="Y27" s="90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</row>
    <row r="28" ht="18.75" customHeight="1">
      <c r="A28" s="96" t="s">
        <v>56</v>
      </c>
      <c r="B28" s="109">
        <v>6.0</v>
      </c>
      <c r="C28" s="131" t="s">
        <v>66</v>
      </c>
      <c r="D28" s="132" t="str">
        <f>vlookup($C28,DG2562V1.2Courses!$B$4:$F$98,3,FALSE)</f>
        <v>Fundamental English 1</v>
      </c>
      <c r="K28" s="133">
        <f>vlookup($C28,DG2562V1.2Courses!$B$4:$F$98,4,FALSE)</f>
        <v>3</v>
      </c>
      <c r="L28" s="134"/>
      <c r="M28" s="134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</row>
    <row r="29" ht="18.75" customHeight="1">
      <c r="A29" s="134"/>
      <c r="L29" s="134"/>
      <c r="M29" s="134"/>
      <c r="N29" s="135" t="s">
        <v>67</v>
      </c>
      <c r="O29" s="27"/>
      <c r="P29" s="17"/>
      <c r="Q29" s="134"/>
      <c r="R29" s="135">
        <v>140104.0</v>
      </c>
      <c r="S29" s="27"/>
      <c r="T29" s="17"/>
      <c r="U29" s="134"/>
      <c r="V29" s="135">
        <v>13110.0</v>
      </c>
      <c r="W29" s="27"/>
      <c r="X29" s="17"/>
      <c r="Y29" s="90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</row>
    <row r="30" ht="18.75" customHeight="1">
      <c r="A30" s="134"/>
      <c r="B30" s="134"/>
      <c r="C30" s="136" t="s">
        <v>68</v>
      </c>
      <c r="H30" s="137"/>
      <c r="I30" s="136"/>
      <c r="J30" s="88"/>
      <c r="K30" s="138">
        <f>SUM(K23:K28)</f>
        <v>17</v>
      </c>
      <c r="L30" s="134"/>
      <c r="M30" s="134"/>
      <c r="N30" s="37"/>
      <c r="O30" s="10"/>
      <c r="P30" s="50"/>
      <c r="Q30" s="134"/>
      <c r="R30" s="37"/>
      <c r="S30" s="10"/>
      <c r="T30" s="50"/>
      <c r="U30" s="134"/>
      <c r="V30" s="37"/>
      <c r="W30" s="10"/>
      <c r="X30" s="50"/>
      <c r="Y30" s="90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</row>
    <row r="31" ht="18.75" customHeight="1">
      <c r="A31" s="55"/>
      <c r="B31" s="55"/>
      <c r="C31" s="55"/>
      <c r="D31" s="55"/>
      <c r="E31" s="55"/>
      <c r="F31" s="55"/>
      <c r="G31" s="55"/>
      <c r="H31" s="55"/>
      <c r="I31" s="55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90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</row>
    <row r="32" ht="18.75" customHeight="1">
      <c r="A32" s="90"/>
      <c r="B32" s="2"/>
      <c r="C32" s="2"/>
      <c r="D32" s="2"/>
      <c r="E32" s="2"/>
      <c r="F32" s="2"/>
      <c r="G32" s="2"/>
      <c r="H32" s="2"/>
      <c r="I32" s="2"/>
      <c r="J32" s="90"/>
      <c r="K32" s="90"/>
      <c r="L32" s="90"/>
      <c r="M32" s="134"/>
      <c r="N32" s="135" t="s">
        <v>67</v>
      </c>
      <c r="O32" s="27"/>
      <c r="P32" s="17"/>
      <c r="Q32" s="134"/>
      <c r="R32" s="135">
        <v>140104.0</v>
      </c>
      <c r="S32" s="27"/>
      <c r="T32" s="17"/>
      <c r="U32" s="134"/>
      <c r="V32" s="135">
        <v>13110.0</v>
      </c>
      <c r="W32" s="27"/>
      <c r="X32" s="17"/>
      <c r="Y32" s="90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</row>
    <row r="33" ht="14.25" customHeight="1">
      <c r="A33" s="139"/>
      <c r="B33" s="139"/>
      <c r="C33" s="139"/>
      <c r="D33" s="139"/>
      <c r="E33" s="139"/>
      <c r="F33" s="139"/>
      <c r="G33" s="139"/>
      <c r="H33" s="139"/>
      <c r="I33" s="139"/>
      <c r="J33" s="90"/>
      <c r="K33" s="90"/>
      <c r="L33" s="90"/>
      <c r="M33" s="134"/>
      <c r="N33" s="37"/>
      <c r="O33" s="10"/>
      <c r="P33" s="50"/>
      <c r="Q33" s="134"/>
      <c r="R33" s="37"/>
      <c r="S33" s="10"/>
      <c r="T33" s="50"/>
      <c r="U33" s="134"/>
      <c r="V33" s="37"/>
      <c r="W33" s="10"/>
      <c r="X33" s="50"/>
      <c r="Y33" s="90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</row>
    <row r="34" ht="14.25" customHeight="1">
      <c r="A34" s="139"/>
      <c r="B34" s="139"/>
      <c r="C34" s="139"/>
      <c r="D34" s="139"/>
      <c r="E34" s="139"/>
      <c r="F34" s="139"/>
      <c r="G34" s="139"/>
      <c r="H34" s="139"/>
      <c r="I34" s="139"/>
      <c r="J34" s="90"/>
      <c r="K34" s="90"/>
      <c r="L34" s="90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90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</row>
    <row r="35" ht="14.25" customHeight="1">
      <c r="A35" s="139"/>
      <c r="B35" s="139"/>
      <c r="C35" s="139"/>
      <c r="D35" s="139"/>
      <c r="E35" s="139"/>
      <c r="F35" s="139"/>
      <c r="G35" s="139"/>
      <c r="H35" s="139"/>
      <c r="I35" s="139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</row>
    <row r="67" ht="15.75" customHeight="1">
      <c r="A67" s="140"/>
      <c r="B67" s="140"/>
      <c r="C67" s="140"/>
      <c r="D67" s="140"/>
      <c r="E67" s="140"/>
      <c r="F67" s="140"/>
      <c r="G67" s="140"/>
      <c r="H67" s="140"/>
      <c r="I67" s="140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</row>
    <row r="68" ht="15.75" customHeight="1">
      <c r="A68" s="140"/>
      <c r="B68" s="140"/>
      <c r="C68" s="140"/>
      <c r="D68" s="140"/>
      <c r="E68" s="140"/>
      <c r="F68" s="140"/>
      <c r="G68" s="140"/>
      <c r="H68" s="140"/>
      <c r="I68" s="140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</row>
    <row r="69" ht="15.75" customHeight="1">
      <c r="A69" s="140"/>
      <c r="B69" s="140"/>
      <c r="C69" s="140"/>
      <c r="D69" s="140"/>
      <c r="E69" s="140"/>
      <c r="F69" s="140"/>
      <c r="G69" s="140"/>
      <c r="H69" s="140"/>
      <c r="I69" s="140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</row>
    <row r="70" ht="15.75" customHeight="1">
      <c r="A70" s="140"/>
      <c r="B70" s="140"/>
      <c r="C70" s="140"/>
      <c r="D70" s="140"/>
      <c r="E70" s="140"/>
      <c r="F70" s="140"/>
      <c r="G70" s="140"/>
      <c r="H70" s="140"/>
      <c r="I70" s="140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</row>
    <row r="71" ht="15.75" customHeight="1">
      <c r="A71" s="140"/>
      <c r="B71" s="140"/>
      <c r="C71" s="140"/>
      <c r="D71" s="140"/>
      <c r="E71" s="140"/>
      <c r="F71" s="140"/>
      <c r="G71" s="140"/>
      <c r="H71" s="140"/>
      <c r="I71" s="140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</row>
    <row r="72" ht="15.75" customHeight="1">
      <c r="A72" s="140"/>
      <c r="B72" s="140"/>
      <c r="C72" s="140"/>
      <c r="D72" s="140"/>
      <c r="E72" s="140"/>
      <c r="F72" s="140"/>
      <c r="G72" s="140"/>
      <c r="H72" s="140"/>
      <c r="I72" s="140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</row>
    <row r="73" ht="15.75" customHeight="1">
      <c r="A73" s="140"/>
      <c r="B73" s="140"/>
      <c r="C73" s="140"/>
      <c r="D73" s="140"/>
      <c r="E73" s="140"/>
      <c r="F73" s="140"/>
      <c r="G73" s="140"/>
      <c r="H73" s="140"/>
      <c r="I73" s="140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</row>
    <row r="74" ht="15.75" customHeight="1">
      <c r="A74" s="140"/>
      <c r="B74" s="140"/>
      <c r="C74" s="140"/>
      <c r="D74" s="140"/>
      <c r="E74" s="140"/>
      <c r="F74" s="140"/>
      <c r="G74" s="140"/>
      <c r="H74" s="140"/>
      <c r="I74" s="140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</row>
    <row r="75" ht="15.75" customHeight="1">
      <c r="A75" s="140"/>
      <c r="B75" s="140"/>
      <c r="C75" s="140"/>
      <c r="D75" s="140"/>
      <c r="E75" s="140"/>
      <c r="F75" s="140"/>
      <c r="G75" s="140"/>
      <c r="H75" s="140"/>
      <c r="I75" s="140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</row>
    <row r="76" ht="15.75" customHeight="1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</row>
    <row r="77" ht="15.75" customHeight="1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</row>
    <row r="78" ht="15.75" customHeight="1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</row>
    <row r="79" ht="15.75" customHeight="1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</row>
    <row r="80" ht="15.75" customHeight="1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</row>
    <row r="81" ht="15.75" customHeight="1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</row>
    <row r="82" ht="15.75" customHeight="1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</row>
    <row r="83" ht="15.75" customHeight="1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</row>
    <row r="84" ht="15.75" customHeight="1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</row>
    <row r="85" ht="15.75" customHeight="1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</row>
    <row r="86" ht="15.75" customHeight="1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</row>
    <row r="87" ht="15.75" customHeight="1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</row>
    <row r="88" ht="15.75" customHeight="1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</row>
    <row r="89" ht="15.75" customHeight="1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</row>
    <row r="90" ht="15.75" customHeight="1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</row>
    <row r="91" ht="15.75" customHeight="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</row>
    <row r="92" ht="15.75" customHeight="1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</row>
    <row r="93" ht="15.75" customHeight="1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</row>
    <row r="94" ht="15.75" customHeight="1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</row>
    <row r="95" ht="15.75" customHeight="1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</row>
    <row r="96" ht="15.75" customHeight="1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</row>
    <row r="97" ht="15.75" customHeight="1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</row>
    <row r="98" ht="15.75" customHeight="1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</row>
    <row r="99" ht="15.75" customHeight="1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</row>
    <row r="100" ht="15.75" customHeight="1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</row>
    <row r="101" ht="15.75" customHeight="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</row>
    <row r="102" ht="15.7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</row>
    <row r="103" ht="15.75" customHeight="1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</row>
    <row r="104" ht="15.75" customHeight="1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</row>
    <row r="105" ht="15.75" customHeight="1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</row>
    <row r="106" ht="15.75" customHeight="1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</row>
    <row r="107" ht="15.75" customHeight="1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</row>
    <row r="108" ht="15.75" customHeight="1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</row>
    <row r="109" ht="15.75" customHeight="1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</row>
    <row r="110" ht="15.75" customHeight="1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</row>
    <row r="111" ht="15.75" customHeight="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</row>
    <row r="112" ht="15.75" customHeight="1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</row>
    <row r="113" ht="15.75" customHeight="1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</row>
    <row r="114" ht="15.75" customHeight="1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</row>
    <row r="115" ht="15.75" customHeight="1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</row>
    <row r="116" ht="15.75" customHeight="1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</row>
    <row r="117" ht="15.75" customHeight="1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</row>
    <row r="118" ht="15.75" customHeight="1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</row>
    <row r="119" ht="15.75" customHeight="1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</row>
    <row r="120" ht="15.75" customHeight="1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</row>
    <row r="121" ht="15.75" customHeight="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</row>
    <row r="122" ht="15.75" customHeight="1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</row>
    <row r="123" ht="15.75" customHeight="1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</row>
    <row r="124" ht="15.75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</row>
    <row r="125" ht="15.75" customHeight="1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</row>
    <row r="126" ht="15.75" customHeight="1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</row>
    <row r="127" ht="15.75" customHeight="1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</row>
    <row r="128" ht="15.7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</row>
    <row r="129" ht="15.75" customHeight="1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</row>
    <row r="130" ht="15.75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</row>
    <row r="131" ht="15.75" customHeight="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</row>
    <row r="132" ht="15.75" customHeight="1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</row>
    <row r="133" ht="15.75" customHeight="1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</row>
    <row r="134" ht="15.75" customHeight="1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</row>
    <row r="135" ht="15.75" customHeight="1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</row>
    <row r="136" ht="15.75" customHeight="1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</row>
    <row r="137" ht="15.75" customHeight="1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</row>
    <row r="138" ht="15.75" customHeight="1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</row>
    <row r="139" ht="15.75" customHeight="1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</row>
    <row r="140" ht="15.75" customHeight="1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</row>
    <row r="141" ht="15.75" customHeight="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</row>
    <row r="142" ht="15.75" customHeight="1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</row>
    <row r="143" ht="15.75" customHeight="1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</row>
    <row r="144" ht="15.75" customHeight="1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</row>
    <row r="145" ht="15.75" customHeight="1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</row>
    <row r="146" ht="15.75" customHeight="1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</row>
    <row r="147" ht="15.75" customHeight="1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</row>
    <row r="148" ht="15.75" customHeight="1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</row>
    <row r="149" ht="15.75" customHeight="1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</row>
    <row r="150" ht="15.75" customHeight="1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</row>
    <row r="151" ht="15.75" customHeight="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</row>
    <row r="152" ht="15.75" customHeight="1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</row>
    <row r="153" ht="15.75" customHeight="1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</row>
    <row r="154" ht="15.75" customHeight="1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</row>
    <row r="155" ht="15.75" customHeight="1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</row>
    <row r="156" ht="15.75" customHeight="1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</row>
    <row r="157" ht="15.75" customHeight="1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</row>
    <row r="158" ht="15.75" customHeight="1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</row>
    <row r="159" ht="15.75" customHeight="1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</row>
    <row r="160" ht="15.75" customHeight="1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</row>
    <row r="161" ht="15.75" customHeight="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</row>
    <row r="162" ht="15.75" customHeight="1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</row>
    <row r="163" ht="15.75" customHeight="1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</row>
    <row r="164" ht="15.75" customHeight="1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</row>
    <row r="165" ht="15.7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</row>
    <row r="166" ht="15.75" customHeight="1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</row>
    <row r="167" ht="15.75" customHeight="1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</row>
    <row r="168" ht="15.75" customHeight="1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</row>
    <row r="169" ht="15.75" customHeight="1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</row>
    <row r="170" ht="15.75" customHeight="1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</row>
    <row r="171" ht="15.75" customHeight="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</row>
    <row r="172" ht="15.75" customHeight="1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</row>
    <row r="173" ht="15.75" customHeight="1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</row>
    <row r="174" ht="15.75" customHeight="1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</row>
    <row r="175" ht="15.75" customHeight="1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</row>
    <row r="176" ht="15.75" customHeight="1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</row>
    <row r="177" ht="15.75" customHeight="1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</row>
    <row r="178" ht="15.75" customHeight="1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</row>
    <row r="179" ht="15.75" customHeight="1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140"/>
    </row>
    <row r="180" ht="15.75" customHeight="1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140"/>
    </row>
    <row r="181" ht="15.75" customHeight="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140"/>
    </row>
    <row r="182" ht="15.75" customHeight="1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140"/>
    </row>
    <row r="183" ht="15.75" customHeight="1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140"/>
    </row>
    <row r="184" ht="15.75" customHeight="1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140"/>
    </row>
    <row r="185" ht="15.75" customHeight="1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</row>
    <row r="186" ht="15.75" customHeight="1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</row>
    <row r="187" ht="15.75" customHeight="1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140"/>
    </row>
    <row r="188" ht="15.75" customHeight="1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140"/>
    </row>
    <row r="189" ht="15.75" customHeight="1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ht="15.75" customHeight="1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ht="15.75" customHeight="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</row>
    <row r="192" ht="15.75" customHeight="1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</row>
    <row r="193" ht="15.75" customHeight="1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</row>
    <row r="194" ht="15.75" customHeight="1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</row>
    <row r="195" ht="15.75" customHeight="1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</row>
    <row r="196" ht="15.75" customHeight="1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</row>
    <row r="197" ht="15.75" customHeight="1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</row>
    <row r="198" ht="15.75" customHeight="1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</row>
    <row r="199" ht="15.75" customHeight="1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</row>
    <row r="200" ht="15.75" customHeight="1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</row>
    <row r="201" ht="15.75" customHeight="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140"/>
    </row>
    <row r="202" ht="15.75" customHeight="1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140"/>
    </row>
    <row r="203" ht="15.75" customHeight="1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</row>
    <row r="204" ht="15.75" customHeight="1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  <c r="AJ204" s="140"/>
      <c r="AK204" s="140"/>
      <c r="AL204" s="140"/>
      <c r="AM204" s="140"/>
      <c r="AN204" s="140"/>
      <c r="AO204" s="140"/>
      <c r="AP204" s="140"/>
    </row>
    <row r="205" ht="15.75" customHeight="1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  <c r="AJ205" s="140"/>
      <c r="AK205" s="140"/>
      <c r="AL205" s="140"/>
      <c r="AM205" s="140"/>
      <c r="AN205" s="140"/>
      <c r="AO205" s="140"/>
      <c r="AP205" s="140"/>
    </row>
    <row r="206" ht="15.75" customHeight="1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  <c r="AJ206" s="140"/>
      <c r="AK206" s="140"/>
      <c r="AL206" s="140"/>
      <c r="AM206" s="140"/>
      <c r="AN206" s="140"/>
      <c r="AO206" s="140"/>
      <c r="AP206" s="140"/>
    </row>
    <row r="207" ht="15.75" customHeight="1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140"/>
    </row>
    <row r="208" ht="15.75" customHeight="1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140"/>
    </row>
    <row r="209" ht="15.75" customHeight="1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  <c r="AJ209" s="140"/>
      <c r="AK209" s="140"/>
      <c r="AL209" s="140"/>
      <c r="AM209" s="140"/>
      <c r="AN209" s="140"/>
      <c r="AO209" s="140"/>
      <c r="AP209" s="140"/>
    </row>
    <row r="210" ht="15.75" customHeight="1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140"/>
    </row>
    <row r="211" ht="15.75" customHeight="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  <c r="AJ211" s="140"/>
      <c r="AK211" s="140"/>
      <c r="AL211" s="140"/>
      <c r="AM211" s="140"/>
      <c r="AN211" s="140"/>
      <c r="AO211" s="140"/>
      <c r="AP211" s="140"/>
    </row>
    <row r="212" ht="15.75" customHeight="1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  <c r="AJ212" s="140"/>
      <c r="AK212" s="140"/>
      <c r="AL212" s="140"/>
      <c r="AM212" s="140"/>
      <c r="AN212" s="140"/>
      <c r="AO212" s="140"/>
      <c r="AP212" s="140"/>
    </row>
    <row r="213" ht="15.75" customHeight="1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140"/>
    </row>
    <row r="214" ht="15.75" customHeight="1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  <c r="AJ214" s="140"/>
      <c r="AK214" s="140"/>
      <c r="AL214" s="140"/>
      <c r="AM214" s="140"/>
      <c r="AN214" s="140"/>
      <c r="AO214" s="140"/>
      <c r="AP214" s="140"/>
    </row>
    <row r="215" ht="15.75" customHeight="1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140"/>
    </row>
    <row r="216" ht="15.75" customHeight="1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140"/>
    </row>
    <row r="217" ht="15.7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140"/>
    </row>
    <row r="218" ht="15.75" customHeight="1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140"/>
    </row>
    <row r="219" ht="15.7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40"/>
      <c r="AP219" s="140"/>
    </row>
    <row r="220" ht="15.75" customHeight="1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  <c r="AJ220" s="140"/>
      <c r="AK220" s="140"/>
      <c r="AL220" s="140"/>
      <c r="AM220" s="140"/>
      <c r="AN220" s="140"/>
      <c r="AO220" s="140"/>
      <c r="AP220" s="140"/>
    </row>
    <row r="221" ht="15.75" customHeight="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140"/>
    </row>
    <row r="222" ht="15.75" customHeight="1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40"/>
      <c r="AP222" s="140"/>
    </row>
    <row r="223" ht="15.75" customHeight="1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  <c r="AJ223" s="140"/>
      <c r="AK223" s="140"/>
      <c r="AL223" s="140"/>
      <c r="AM223" s="140"/>
      <c r="AN223" s="140"/>
      <c r="AO223" s="140"/>
      <c r="AP223" s="140"/>
    </row>
    <row r="224" ht="15.7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140"/>
    </row>
    <row r="225" ht="15.75" customHeight="1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140"/>
    </row>
    <row r="226" ht="15.75" customHeight="1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140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7">
    <mergeCell ref="L15:M16"/>
    <mergeCell ref="N15:U16"/>
    <mergeCell ref="Q21:S21"/>
    <mergeCell ref="T21:U21"/>
    <mergeCell ref="V21:W21"/>
    <mergeCell ref="X21:X22"/>
    <mergeCell ref="Y21:Y22"/>
    <mergeCell ref="Z21:Z22"/>
    <mergeCell ref="AA21:AA22"/>
    <mergeCell ref="D22:J22"/>
    <mergeCell ref="N22:O22"/>
    <mergeCell ref="D23:J23"/>
    <mergeCell ref="D24:J24"/>
    <mergeCell ref="N24:O24"/>
    <mergeCell ref="N4:O4"/>
    <mergeCell ref="P4:Q4"/>
    <mergeCell ref="N5:Q6"/>
    <mergeCell ref="R4:S4"/>
    <mergeCell ref="T4:U4"/>
    <mergeCell ref="X4:Y4"/>
    <mergeCell ref="Z4:AA4"/>
    <mergeCell ref="AB4:AC4"/>
    <mergeCell ref="A1:W1"/>
    <mergeCell ref="A2:W2"/>
    <mergeCell ref="I3:M3"/>
    <mergeCell ref="B4:C4"/>
    <mergeCell ref="D4:E4"/>
    <mergeCell ref="F4:G4"/>
    <mergeCell ref="H4:I4"/>
    <mergeCell ref="V4:W4"/>
    <mergeCell ref="E7:G8"/>
    <mergeCell ref="H7:J8"/>
    <mergeCell ref="J4:K4"/>
    <mergeCell ref="L4:M4"/>
    <mergeCell ref="A5:A6"/>
    <mergeCell ref="E5:G6"/>
    <mergeCell ref="H5:J6"/>
    <mergeCell ref="L5:M6"/>
    <mergeCell ref="A7:A10"/>
    <mergeCell ref="A11:A12"/>
    <mergeCell ref="A13:A14"/>
    <mergeCell ref="E13:G14"/>
    <mergeCell ref="H13:J14"/>
    <mergeCell ref="A15:A16"/>
    <mergeCell ref="E15:G16"/>
    <mergeCell ref="H15:J16"/>
    <mergeCell ref="N29:P30"/>
    <mergeCell ref="N32:P33"/>
    <mergeCell ref="R32:T33"/>
    <mergeCell ref="V32:X33"/>
    <mergeCell ref="D25:J25"/>
    <mergeCell ref="D26:J26"/>
    <mergeCell ref="D27:J27"/>
    <mergeCell ref="D28:J28"/>
    <mergeCell ref="R29:T30"/>
    <mergeCell ref="V29:X30"/>
    <mergeCell ref="C30:G30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7.57"/>
    <col customWidth="1" min="3" max="3" width="10.14"/>
    <col customWidth="1" min="4" max="10" width="7.57"/>
    <col customWidth="1" min="11" max="11" width="12.0"/>
    <col customWidth="1" min="12" max="12" width="15.29"/>
    <col customWidth="1" min="13" max="13" width="16.0"/>
    <col customWidth="1" min="14" max="14" width="13.71"/>
    <col customWidth="1" min="15" max="23" width="7.57"/>
    <col customWidth="1" min="24" max="25" width="5.71"/>
    <col customWidth="1" min="26" max="26" width="9.0"/>
    <col customWidth="1" min="27" max="27" width="8.86"/>
    <col customWidth="1" min="28" max="28" width="8.43"/>
    <col customWidth="1" min="29" max="29" width="8.14"/>
    <col customWidth="1" min="30" max="30" width="10.86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69</v>
      </c>
      <c r="X1" s="141"/>
      <c r="Y1" s="142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9.5" customHeight="1">
      <c r="A2" s="5" t="s">
        <v>70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7"/>
      <c r="AN2" s="6"/>
      <c r="AO2" s="6"/>
      <c r="AP2" s="6"/>
    </row>
    <row r="3" ht="19.5" customHeight="1">
      <c r="A3" s="8"/>
      <c r="B3" s="8"/>
      <c r="C3" s="8"/>
      <c r="D3" s="8"/>
      <c r="E3" s="8"/>
      <c r="F3" s="8"/>
      <c r="G3" s="8"/>
      <c r="H3" s="8"/>
      <c r="I3" s="9" t="s">
        <v>71</v>
      </c>
      <c r="J3" s="10"/>
      <c r="K3" s="10"/>
      <c r="L3" s="10"/>
      <c r="M3" s="10"/>
      <c r="N3" s="9"/>
      <c r="O3" s="8"/>
      <c r="P3" s="8"/>
      <c r="Q3" s="8"/>
      <c r="R3" s="8"/>
      <c r="S3" s="8"/>
      <c r="T3" s="8"/>
      <c r="U3" s="8"/>
      <c r="V3" s="8"/>
      <c r="W3" s="8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/>
      <c r="AM3" s="7"/>
      <c r="AN3" s="6"/>
      <c r="AO3" s="6"/>
      <c r="AP3" s="6"/>
    </row>
    <row r="4" ht="19.5" customHeight="1">
      <c r="A4" s="11"/>
      <c r="B4" s="12" t="s">
        <v>3</v>
      </c>
      <c r="C4" s="13"/>
      <c r="D4" s="16" t="s">
        <v>4</v>
      </c>
      <c r="E4" s="17"/>
      <c r="F4" s="16" t="s">
        <v>5</v>
      </c>
      <c r="G4" s="17"/>
      <c r="H4" s="12" t="s">
        <v>6</v>
      </c>
      <c r="I4" s="13"/>
      <c r="J4" s="12" t="s">
        <v>7</v>
      </c>
      <c r="K4" s="13"/>
      <c r="L4" s="12" t="s">
        <v>8</v>
      </c>
      <c r="M4" s="13"/>
      <c r="N4" s="12" t="s">
        <v>9</v>
      </c>
      <c r="O4" s="13"/>
      <c r="P4" s="16" t="s">
        <v>10</v>
      </c>
      <c r="Q4" s="29"/>
      <c r="R4" s="14" t="s">
        <v>11</v>
      </c>
      <c r="S4" s="18"/>
      <c r="T4" s="14" t="s">
        <v>12</v>
      </c>
      <c r="U4" s="15"/>
      <c r="V4" s="12" t="s">
        <v>13</v>
      </c>
      <c r="W4" s="13"/>
      <c r="X4" s="143"/>
      <c r="Z4" s="21"/>
      <c r="AB4" s="21"/>
      <c r="AD4" s="22"/>
      <c r="AE4" s="22"/>
      <c r="AF4" s="6"/>
      <c r="AG4" s="6"/>
      <c r="AH4" s="6"/>
      <c r="AI4" s="6"/>
      <c r="AJ4" s="6"/>
      <c r="AK4" s="6"/>
      <c r="AL4" s="7"/>
      <c r="AM4" s="7"/>
      <c r="AN4" s="6"/>
      <c r="AO4" s="6"/>
      <c r="AP4" s="6"/>
    </row>
    <row r="5" ht="41.25" customHeight="1">
      <c r="A5" s="23" t="s">
        <v>14</v>
      </c>
      <c r="B5" s="144"/>
      <c r="C5" s="144"/>
      <c r="D5" s="144"/>
      <c r="E5" s="145" t="s">
        <v>72</v>
      </c>
      <c r="F5" s="27"/>
      <c r="G5" s="29"/>
      <c r="H5" s="146" t="s">
        <v>73</v>
      </c>
      <c r="I5" s="27"/>
      <c r="J5" s="29"/>
      <c r="K5" s="30"/>
      <c r="L5" s="25"/>
      <c r="M5" s="147"/>
      <c r="N5" s="148"/>
      <c r="O5" s="149" t="s">
        <v>74</v>
      </c>
      <c r="P5" s="27"/>
      <c r="Q5" s="29"/>
      <c r="R5" s="25"/>
      <c r="S5" s="25"/>
      <c r="T5" s="25"/>
      <c r="U5" s="25"/>
      <c r="V5" s="32"/>
      <c r="W5" s="33"/>
      <c r="X5" s="150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6"/>
      <c r="AO5" s="6"/>
      <c r="AP5" s="6"/>
    </row>
    <row r="6" ht="43.5" customHeight="1">
      <c r="A6" s="35"/>
      <c r="B6" s="144"/>
      <c r="C6" s="144"/>
      <c r="D6" s="144"/>
      <c r="E6" s="37"/>
      <c r="F6" s="10"/>
      <c r="G6" s="38"/>
      <c r="H6" s="10"/>
      <c r="I6" s="10"/>
      <c r="J6" s="38"/>
      <c r="K6" s="39"/>
      <c r="L6" s="36"/>
      <c r="M6" s="36"/>
      <c r="N6" s="151"/>
      <c r="O6" s="37"/>
      <c r="P6" s="10"/>
      <c r="Q6" s="38"/>
      <c r="R6" s="36"/>
      <c r="S6" s="36"/>
      <c r="T6" s="36"/>
      <c r="U6" s="36"/>
      <c r="V6" s="40"/>
      <c r="W6" s="41"/>
      <c r="X6" s="150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7"/>
      <c r="AM6" s="7"/>
      <c r="AN6" s="6"/>
      <c r="AO6" s="6"/>
      <c r="AP6" s="6"/>
    </row>
    <row r="7" ht="43.5" customHeight="1">
      <c r="A7" s="42" t="s">
        <v>19</v>
      </c>
      <c r="B7" s="144"/>
      <c r="C7" s="144"/>
      <c r="D7" s="144"/>
      <c r="E7" s="144"/>
      <c r="F7" s="144"/>
      <c r="G7" s="144"/>
      <c r="H7" s="152" t="s">
        <v>75</v>
      </c>
      <c r="I7" s="27"/>
      <c r="J7" s="29"/>
      <c r="K7" s="32"/>
      <c r="L7" s="153" t="s">
        <v>76</v>
      </c>
      <c r="M7" s="27"/>
      <c r="N7" s="27"/>
      <c r="O7" s="27"/>
      <c r="P7" s="27"/>
      <c r="Q7" s="17"/>
      <c r="W7" s="47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7"/>
      <c r="AM7" s="7"/>
      <c r="AN7" s="6"/>
      <c r="AO7" s="6"/>
      <c r="AP7" s="6"/>
    </row>
    <row r="8" ht="39.75" customHeight="1">
      <c r="A8" s="35"/>
      <c r="B8" s="144"/>
      <c r="C8" s="144"/>
      <c r="D8" s="144"/>
      <c r="E8" s="144"/>
      <c r="F8" s="144"/>
      <c r="G8" s="144"/>
      <c r="H8" s="37"/>
      <c r="I8" s="10"/>
      <c r="J8" s="38"/>
      <c r="K8" s="40"/>
      <c r="L8" s="37"/>
      <c r="M8" s="10"/>
      <c r="N8" s="10"/>
      <c r="O8" s="10"/>
      <c r="P8" s="10"/>
      <c r="Q8" s="50"/>
      <c r="R8" s="52"/>
      <c r="S8" s="52"/>
      <c r="T8" s="52"/>
      <c r="U8" s="52"/>
      <c r="V8" s="52"/>
      <c r="W8" s="53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6"/>
    </row>
    <row r="9" ht="47.25" customHeight="1">
      <c r="A9" s="61" t="s">
        <v>23</v>
      </c>
      <c r="B9" s="62"/>
      <c r="C9" s="32"/>
      <c r="D9" s="32"/>
      <c r="E9" s="32"/>
      <c r="F9" s="32"/>
      <c r="G9" s="32"/>
      <c r="H9" s="32"/>
      <c r="I9" s="32"/>
      <c r="J9" s="32"/>
      <c r="K9" s="32"/>
      <c r="L9" s="26" t="s">
        <v>77</v>
      </c>
      <c r="M9" s="29"/>
      <c r="N9" s="26" t="s">
        <v>78</v>
      </c>
      <c r="O9" s="27"/>
      <c r="P9" s="27"/>
      <c r="Q9" s="27"/>
      <c r="R9" s="27"/>
      <c r="S9" s="27"/>
      <c r="T9" s="27"/>
      <c r="U9" s="29"/>
      <c r="V9" s="32"/>
      <c r="W9" s="33"/>
      <c r="X9" s="6"/>
      <c r="Y9" s="6"/>
      <c r="Z9" s="6"/>
      <c r="AA9" s="6"/>
      <c r="AB9" s="54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6"/>
    </row>
    <row r="10" ht="42.75" customHeight="1">
      <c r="A10" s="35"/>
      <c r="B10" s="64"/>
      <c r="C10" s="40"/>
      <c r="D10" s="40"/>
      <c r="E10" s="40"/>
      <c r="F10" s="40"/>
      <c r="G10" s="40"/>
      <c r="H10" s="40"/>
      <c r="I10" s="40"/>
      <c r="J10" s="40"/>
      <c r="K10" s="40"/>
      <c r="L10" s="37"/>
      <c r="M10" s="38"/>
      <c r="N10" s="37"/>
      <c r="O10" s="10"/>
      <c r="P10" s="10"/>
      <c r="Q10" s="10"/>
      <c r="R10" s="10"/>
      <c r="S10" s="10"/>
      <c r="T10" s="10"/>
      <c r="U10" s="38"/>
      <c r="V10" s="40"/>
      <c r="W10" s="41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7"/>
      <c r="AN10" s="6"/>
      <c r="AO10" s="6"/>
      <c r="AP10" s="6"/>
    </row>
    <row r="11" ht="36.0" customHeight="1">
      <c r="A11" s="65" t="s">
        <v>24</v>
      </c>
      <c r="B11" s="43"/>
      <c r="C11" s="43"/>
      <c r="D11" s="43"/>
      <c r="E11" s="145" t="s">
        <v>79</v>
      </c>
      <c r="F11" s="27"/>
      <c r="G11" s="29"/>
      <c r="H11" s="45" t="s">
        <v>80</v>
      </c>
      <c r="I11" s="27"/>
      <c r="J11" s="29"/>
      <c r="K11" s="32"/>
      <c r="L11" s="72" t="s">
        <v>81</v>
      </c>
      <c r="M11" s="29"/>
      <c r="N11" s="71" t="s">
        <v>82</v>
      </c>
      <c r="O11" s="27"/>
      <c r="P11" s="27"/>
      <c r="Q11" s="27"/>
      <c r="R11" s="27"/>
      <c r="S11" s="27"/>
      <c r="T11" s="27"/>
      <c r="U11" s="29"/>
      <c r="V11" s="66"/>
      <c r="W11" s="67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6"/>
    </row>
    <row r="12" ht="48.0" customHeight="1">
      <c r="A12" s="35"/>
      <c r="B12" s="43"/>
      <c r="C12" s="43"/>
      <c r="D12" s="43"/>
      <c r="E12" s="37"/>
      <c r="F12" s="10"/>
      <c r="G12" s="38"/>
      <c r="H12" s="37"/>
      <c r="I12" s="10"/>
      <c r="J12" s="38"/>
      <c r="K12" s="40"/>
      <c r="L12" s="37"/>
      <c r="M12" s="38"/>
      <c r="N12" s="37"/>
      <c r="O12" s="10"/>
      <c r="P12" s="10"/>
      <c r="Q12" s="10"/>
      <c r="R12" s="10"/>
      <c r="S12" s="10"/>
      <c r="T12" s="10"/>
      <c r="U12" s="38"/>
      <c r="V12" s="51"/>
      <c r="W12" s="68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6"/>
    </row>
    <row r="13" ht="37.5" customHeight="1">
      <c r="A13" s="154" t="s">
        <v>27</v>
      </c>
      <c r="B13" s="155"/>
      <c r="C13" s="155"/>
      <c r="D13" s="155"/>
      <c r="E13" s="155"/>
      <c r="F13" s="155"/>
      <c r="G13" s="155"/>
      <c r="H13" s="152" t="s">
        <v>83</v>
      </c>
      <c r="I13" s="27"/>
      <c r="J13" s="29"/>
      <c r="K13" s="24"/>
      <c r="L13" s="156"/>
      <c r="M13" s="156"/>
      <c r="N13" s="156"/>
      <c r="O13" s="157"/>
      <c r="P13" s="157"/>
      <c r="Q13" s="157"/>
      <c r="R13" s="157"/>
      <c r="S13" s="157"/>
      <c r="T13" s="157"/>
      <c r="U13" s="158"/>
      <c r="V13" s="66"/>
      <c r="W13" s="67"/>
      <c r="X13" s="159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6"/>
    </row>
    <row r="14" ht="36.75" customHeight="1">
      <c r="A14" s="35"/>
      <c r="B14" s="160"/>
      <c r="C14" s="160"/>
      <c r="D14" s="160"/>
      <c r="E14" s="160"/>
      <c r="F14" s="160"/>
      <c r="G14" s="160"/>
      <c r="H14" s="37"/>
      <c r="I14" s="10"/>
      <c r="J14" s="38"/>
      <c r="K14" s="36"/>
      <c r="L14" s="52"/>
      <c r="M14" s="52"/>
      <c r="N14" s="52"/>
      <c r="O14" s="161"/>
      <c r="P14" s="161"/>
      <c r="Q14" s="161"/>
      <c r="R14" s="161"/>
      <c r="S14" s="161"/>
      <c r="T14" s="161"/>
      <c r="U14" s="162"/>
      <c r="V14" s="51"/>
      <c r="W14" s="68"/>
      <c r="X14" s="159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6"/>
    </row>
    <row r="15" ht="28.5" customHeight="1">
      <c r="A15" s="163"/>
      <c r="B15" s="160"/>
      <c r="C15" s="160"/>
      <c r="D15" s="160"/>
      <c r="E15" s="160"/>
      <c r="F15" s="160"/>
      <c r="G15" s="160"/>
      <c r="H15" s="160"/>
      <c r="I15" s="160"/>
      <c r="J15" s="160"/>
      <c r="K15" s="36"/>
      <c r="L15" s="36"/>
      <c r="M15" s="36"/>
      <c r="N15" s="59"/>
      <c r="O15" s="59"/>
      <c r="P15" s="59"/>
      <c r="Q15" s="60"/>
      <c r="R15" s="60"/>
      <c r="S15" s="60"/>
      <c r="T15" s="39"/>
      <c r="U15" s="51"/>
      <c r="V15" s="51"/>
      <c r="W15" s="68"/>
      <c r="X15" s="159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6"/>
    </row>
    <row r="16" ht="28.5" customHeight="1">
      <c r="A16" s="163"/>
      <c r="B16" s="144"/>
      <c r="C16" s="144"/>
      <c r="D16" s="144"/>
      <c r="E16" s="144"/>
      <c r="F16" s="144"/>
      <c r="G16" s="144"/>
      <c r="H16" s="40"/>
      <c r="I16" s="40"/>
      <c r="J16" s="40"/>
      <c r="K16" s="36"/>
      <c r="L16" s="36"/>
      <c r="M16" s="36"/>
      <c r="N16" s="59"/>
      <c r="O16" s="59"/>
      <c r="P16" s="59"/>
      <c r="Q16" s="60"/>
      <c r="R16" s="60"/>
      <c r="S16" s="60"/>
      <c r="T16" s="39"/>
      <c r="U16" s="51"/>
      <c r="V16" s="51"/>
      <c r="W16" s="68"/>
      <c r="X16" s="159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7"/>
      <c r="AM16" s="7"/>
      <c r="AN16" s="6"/>
      <c r="AO16" s="6"/>
      <c r="AP16" s="6"/>
    </row>
    <row r="17" ht="19.5" customHeight="1">
      <c r="A17" s="76" t="s">
        <v>32</v>
      </c>
      <c r="B17" s="77"/>
      <c r="C17" s="78"/>
      <c r="D17" s="78"/>
      <c r="E17" s="78"/>
      <c r="F17" s="78"/>
      <c r="G17" s="78"/>
      <c r="H17" s="78"/>
      <c r="I17" s="78"/>
      <c r="J17" s="7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8"/>
      <c r="W17" s="79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7"/>
      <c r="AM17" s="7"/>
      <c r="AN17" s="6"/>
      <c r="AO17" s="6"/>
      <c r="AP17" s="6"/>
    </row>
    <row r="18" ht="19.5" customHeight="1">
      <c r="A18" s="76" t="s">
        <v>33</v>
      </c>
      <c r="B18" s="77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9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7"/>
      <c r="AN18" s="6"/>
      <c r="AO18" s="6"/>
      <c r="AP18" s="6"/>
    </row>
    <row r="19" ht="14.25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103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7"/>
      <c r="AN19" s="6"/>
      <c r="AO19" s="6"/>
      <c r="AP19" s="6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03"/>
      <c r="T20" s="103"/>
      <c r="U20" s="103"/>
      <c r="V20" s="103"/>
      <c r="W20" s="103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7"/>
      <c r="AM20" s="7"/>
      <c r="AN20" s="6"/>
      <c r="AO20" s="6"/>
      <c r="AP20" s="6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03"/>
      <c r="T21" s="103"/>
      <c r="U21" s="103"/>
      <c r="V21" s="103"/>
      <c r="W21" s="103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7"/>
      <c r="AM21" s="7"/>
      <c r="AN21" s="6"/>
      <c r="AO21" s="6"/>
      <c r="AP21" s="6"/>
    </row>
    <row r="22" ht="18.75" customHeight="1">
      <c r="A22" s="86" t="s">
        <v>41</v>
      </c>
      <c r="B22" s="164" t="s">
        <v>44</v>
      </c>
      <c r="K22" s="164" t="s">
        <v>45</v>
      </c>
      <c r="L22" s="165" t="s">
        <v>84</v>
      </c>
      <c r="M22" s="165" t="s">
        <v>85</v>
      </c>
      <c r="N22" s="166" t="s">
        <v>48</v>
      </c>
      <c r="O22" s="166"/>
      <c r="P22" s="167"/>
      <c r="Q22" s="167"/>
      <c r="R22" s="167"/>
      <c r="S22" s="168"/>
      <c r="T22" s="168"/>
      <c r="U22" s="169" t="s">
        <v>34</v>
      </c>
      <c r="V22" s="82"/>
      <c r="W22" s="19"/>
      <c r="X22" s="170" t="s">
        <v>35</v>
      </c>
      <c r="Y22" s="19"/>
      <c r="Z22" s="169" t="s">
        <v>36</v>
      </c>
      <c r="AA22" s="19"/>
      <c r="AB22" s="84" t="s">
        <v>37</v>
      </c>
      <c r="AC22" s="84" t="s">
        <v>38</v>
      </c>
      <c r="AD22" s="84" t="s">
        <v>39</v>
      </c>
      <c r="AE22" s="84" t="s">
        <v>40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</row>
    <row r="23" ht="19.5" customHeight="1">
      <c r="A23" s="96" t="s">
        <v>56</v>
      </c>
      <c r="B23" s="171">
        <v>1.0</v>
      </c>
      <c r="C23" s="172" t="s">
        <v>86</v>
      </c>
      <c r="D23" s="173" t="str">
        <f>vlookup($C23,DG2562V1.2Courses!$B$4:$F$98,3,FALSE)</f>
        <v>Critical Reading and Effective Writing</v>
      </c>
      <c r="E23" s="174"/>
      <c r="F23" s="174"/>
      <c r="G23" s="174"/>
      <c r="H23" s="174"/>
      <c r="I23" s="174"/>
      <c r="J23" s="174"/>
      <c r="K23" s="175">
        <f>vlookup($C23,DG2562V1.2Courses!$B$4:$F$98,4,FALSE)</f>
        <v>3</v>
      </c>
      <c r="L23" s="127"/>
      <c r="M23" s="127"/>
      <c r="N23" s="167"/>
      <c r="O23" s="167"/>
      <c r="P23" s="167"/>
      <c r="Q23" s="167"/>
      <c r="R23" s="167"/>
      <c r="S23" s="167"/>
      <c r="T23" s="167"/>
      <c r="U23" s="91" t="s">
        <v>49</v>
      </c>
      <c r="V23" s="91" t="s">
        <v>50</v>
      </c>
      <c r="W23" s="92" t="s">
        <v>51</v>
      </c>
      <c r="X23" s="93" t="s">
        <v>52</v>
      </c>
      <c r="Y23" s="93" t="s">
        <v>53</v>
      </c>
      <c r="Z23" s="92" t="s">
        <v>54</v>
      </c>
      <c r="AA23" s="94" t="s">
        <v>55</v>
      </c>
      <c r="AB23" s="35"/>
      <c r="AC23" s="35"/>
      <c r="AD23" s="35"/>
      <c r="AE23" s="35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ht="18.75" customHeight="1">
      <c r="A24" s="96" t="s">
        <v>56</v>
      </c>
      <c r="B24" s="176">
        <v>2.0</v>
      </c>
      <c r="C24" s="177" t="s">
        <v>87</v>
      </c>
      <c r="D24" s="178" t="str">
        <f>vlookup($C24,DG2562V1.2Courses!$B$4:$F$98,3,FALSE)</f>
        <v>Introduction to Digital Business</v>
      </c>
      <c r="E24" s="82"/>
      <c r="F24" s="82"/>
      <c r="G24" s="82"/>
      <c r="H24" s="82"/>
      <c r="I24" s="82"/>
      <c r="J24" s="19"/>
      <c r="K24" s="179">
        <f>vlookup($C24,DG2562V1.2Courses!$B$4:$F$98,4,FALSE)</f>
        <v>2</v>
      </c>
      <c r="L24" s="127"/>
      <c r="M24" s="127"/>
      <c r="N24" s="180"/>
      <c r="Q24" s="167"/>
      <c r="R24" s="167"/>
      <c r="S24" s="167"/>
      <c r="T24" s="181"/>
      <c r="U24" s="182"/>
      <c r="V24" s="183"/>
      <c r="W24" s="183"/>
      <c r="X24" s="183"/>
      <c r="Y24" s="183"/>
      <c r="Z24" s="184"/>
      <c r="AA24" s="185"/>
      <c r="AB24" s="185"/>
      <c r="AC24" s="186"/>
      <c r="AD24" s="183"/>
      <c r="AE24" s="187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</row>
    <row r="25" ht="18.75" customHeight="1">
      <c r="A25" s="96" t="s">
        <v>56</v>
      </c>
      <c r="B25" s="188">
        <v>3.0</v>
      </c>
      <c r="C25" s="189" t="s">
        <v>88</v>
      </c>
      <c r="D25" s="190" t="str">
        <f>vlookup($C25,DG2562V1.2Courses!$B$4:$F$98,3,FALSE)</f>
        <v>Mathematics for Computer Graphics and Game</v>
      </c>
      <c r="E25" s="82"/>
      <c r="F25" s="82"/>
      <c r="G25" s="82"/>
      <c r="H25" s="82"/>
      <c r="I25" s="82"/>
      <c r="J25" s="19"/>
      <c r="K25" s="179">
        <f>vlookup($C25,DG2562V1.2Courses!$B$4:$F$98,4,FALSE)</f>
        <v>3</v>
      </c>
      <c r="L25" s="101" t="s">
        <v>61</v>
      </c>
      <c r="M25" s="86" t="s">
        <v>89</v>
      </c>
      <c r="N25" s="191"/>
      <c r="O25" s="192"/>
      <c r="P25" s="192"/>
      <c r="Q25" s="167"/>
      <c r="R25" s="167"/>
      <c r="S25" s="167"/>
      <c r="T25" s="181"/>
      <c r="U25" s="183"/>
      <c r="V25" s="183"/>
      <c r="W25" s="183"/>
      <c r="X25" s="183"/>
      <c r="Y25" s="183"/>
      <c r="Z25" s="183"/>
      <c r="AA25" s="193"/>
      <c r="AB25" s="193"/>
      <c r="AC25" s="193"/>
      <c r="AD25" s="193"/>
      <c r="AE25" s="194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</row>
    <row r="26" ht="18.75" customHeight="1">
      <c r="A26" s="96" t="s">
        <v>56</v>
      </c>
      <c r="B26" s="195">
        <v>4.0</v>
      </c>
      <c r="C26" s="196" t="s">
        <v>90</v>
      </c>
      <c r="D26" s="197" t="str">
        <f>vlookup($C26,DG2562V1.2Courses!$B$4:$F$98,3,FALSE)</f>
        <v>Game Development 1</v>
      </c>
      <c r="E26" s="82"/>
      <c r="F26" s="82"/>
      <c r="G26" s="82"/>
      <c r="H26" s="82"/>
      <c r="I26" s="82"/>
      <c r="J26" s="19"/>
      <c r="K26" s="179">
        <f>vlookup($C26,DG2562V1.2Courses!$B$4:$F$98,4,FALSE)</f>
        <v>3</v>
      </c>
      <c r="L26" s="198" t="s">
        <v>91</v>
      </c>
      <c r="M26" s="86" t="s">
        <v>92</v>
      </c>
      <c r="N26" s="191"/>
      <c r="O26" s="192"/>
      <c r="P26" s="192"/>
      <c r="Q26" s="167"/>
      <c r="R26" s="167"/>
      <c r="S26" s="167"/>
      <c r="T26" s="181"/>
      <c r="U26" s="199"/>
      <c r="V26" s="199"/>
      <c r="W26" s="199"/>
      <c r="X26" s="200"/>
      <c r="Y26" s="200"/>
      <c r="Z26" s="200"/>
      <c r="AA26" s="201" t="s">
        <v>93</v>
      </c>
      <c r="AB26" s="200"/>
      <c r="AC26" s="200"/>
      <c r="AD26" s="200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</row>
    <row r="27" ht="33.75" customHeight="1">
      <c r="A27" s="96" t="s">
        <v>56</v>
      </c>
      <c r="B27" s="202">
        <v>5.0</v>
      </c>
      <c r="C27" s="203" t="s">
        <v>94</v>
      </c>
      <c r="D27" s="204" t="str">
        <f>vlookup($C27,DG2562V1.2Courses!$B$4:$F$98,3,FALSE)</f>
        <v>Digital Game Production</v>
      </c>
      <c r="E27" s="82"/>
      <c r="F27" s="82"/>
      <c r="G27" s="82"/>
      <c r="H27" s="82"/>
      <c r="I27" s="82"/>
      <c r="J27" s="19"/>
      <c r="K27" s="179">
        <f>vlookup($C27,DG2562V1.2Courses!$B$4:$F$98,4,FALSE)</f>
        <v>3</v>
      </c>
      <c r="L27" s="86" t="s">
        <v>95</v>
      </c>
      <c r="M27" s="205" t="s">
        <v>96</v>
      </c>
      <c r="N27" s="206"/>
      <c r="R27" s="167"/>
      <c r="S27" s="167"/>
      <c r="T27" s="181"/>
      <c r="U27" s="207"/>
      <c r="V27" s="207"/>
      <c r="W27" s="207"/>
      <c r="X27" s="208"/>
      <c r="Y27" s="208"/>
      <c r="Z27" s="208"/>
      <c r="AA27" s="208"/>
      <c r="AB27" s="208"/>
      <c r="AC27" s="208"/>
      <c r="AD27" s="208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</row>
    <row r="28" ht="18.75" customHeight="1">
      <c r="A28" s="96" t="s">
        <v>56</v>
      </c>
      <c r="B28" s="209">
        <v>6.0</v>
      </c>
      <c r="C28" s="210" t="s">
        <v>97</v>
      </c>
      <c r="D28" s="211" t="str">
        <f>vlookup($C28,DG2562V1.2Courses!$B$4:$F$98,3,FALSE)</f>
        <v>Graphics Design for Two Dimensional Games</v>
      </c>
      <c r="E28" s="82"/>
      <c r="F28" s="82"/>
      <c r="G28" s="82"/>
      <c r="H28" s="82"/>
      <c r="I28" s="82"/>
      <c r="J28" s="19"/>
      <c r="K28" s="179">
        <f>vlookup($C28,DG2562V1.2Courses!$B$4:$F$98,4,FALSE)</f>
        <v>3</v>
      </c>
      <c r="L28" s="86" t="s">
        <v>98</v>
      </c>
      <c r="M28" s="127"/>
      <c r="N28" s="212"/>
      <c r="O28" s="212"/>
      <c r="P28" s="212"/>
      <c r="Q28" s="212"/>
      <c r="R28" s="212"/>
      <c r="S28" s="212"/>
      <c r="T28" s="212"/>
      <c r="U28" s="213"/>
      <c r="V28" s="213"/>
      <c r="W28" s="213"/>
      <c r="X28" s="214">
        <v>1.0</v>
      </c>
      <c r="Y28" s="214">
        <v>1.0</v>
      </c>
      <c r="Z28" s="215"/>
      <c r="AA28" s="215"/>
      <c r="AB28" s="215"/>
      <c r="AC28" s="215"/>
      <c r="AD28" s="215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</row>
    <row r="29" ht="18.75" customHeight="1">
      <c r="B29" s="216"/>
      <c r="C29" s="217" t="s">
        <v>99</v>
      </c>
      <c r="D29" s="19"/>
      <c r="E29" s="218"/>
      <c r="F29" s="218"/>
      <c r="G29" s="218"/>
      <c r="H29" s="218"/>
      <c r="I29" s="218"/>
      <c r="J29" s="218"/>
      <c r="K29" s="219">
        <v>3.0</v>
      </c>
      <c r="L29" s="127"/>
      <c r="M29" s="127"/>
      <c r="N29" s="220" t="s">
        <v>100</v>
      </c>
      <c r="O29" s="192"/>
      <c r="P29" s="192"/>
      <c r="Q29" s="167"/>
      <c r="R29" s="167"/>
      <c r="S29" s="167"/>
      <c r="T29" s="181"/>
      <c r="U29" s="207"/>
      <c r="V29" s="207"/>
      <c r="W29" s="207"/>
      <c r="X29" s="208"/>
      <c r="Y29" s="208"/>
      <c r="Z29" s="208"/>
      <c r="AA29" s="208"/>
      <c r="AB29" s="208"/>
      <c r="AC29" s="208"/>
      <c r="AD29" s="208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</row>
    <row r="30">
      <c r="A30" s="96" t="s">
        <v>56</v>
      </c>
      <c r="B30" s="221">
        <v>7.0</v>
      </c>
      <c r="C30" s="222" t="s">
        <v>101</v>
      </c>
      <c r="D30" s="223" t="str">
        <f>vlookup($C30,DG2562V1.2Courses!$B$4:$F$98,3,FALSE)</f>
        <v>Gamification</v>
      </c>
      <c r="K30" s="224">
        <v>3.0</v>
      </c>
      <c r="L30" s="225" t="s">
        <v>102</v>
      </c>
      <c r="M30" s="86" t="s">
        <v>89</v>
      </c>
      <c r="O30" s="180"/>
      <c r="P30" s="180"/>
      <c r="Q30" s="180"/>
      <c r="R30" s="180"/>
      <c r="S30" s="180"/>
      <c r="T30" s="180"/>
      <c r="U30" s="207"/>
      <c r="V30" s="207"/>
      <c r="W30" s="207"/>
      <c r="X30" s="208"/>
      <c r="Y30" s="208"/>
      <c r="Z30" s="208"/>
      <c r="AA30" s="208"/>
      <c r="AB30" s="208"/>
      <c r="AC30" s="208"/>
      <c r="AD30" s="208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</row>
    <row r="31" ht="18.75" customHeight="1">
      <c r="A31" s="96" t="s">
        <v>56</v>
      </c>
      <c r="B31" s="226"/>
      <c r="C31" s="227"/>
      <c r="D31" s="228"/>
      <c r="K31" s="229">
        <v>3.0</v>
      </c>
      <c r="L31" s="86" t="s">
        <v>103</v>
      </c>
      <c r="M31" s="96" t="s">
        <v>104</v>
      </c>
      <c r="N31" s="230"/>
      <c r="O31" s="230"/>
      <c r="P31" s="231"/>
      <c r="R31" s="167"/>
      <c r="S31" s="167"/>
      <c r="T31" s="181"/>
      <c r="U31" s="232"/>
      <c r="V31" s="233" t="s">
        <v>105</v>
      </c>
      <c r="W31" s="232"/>
      <c r="X31" s="234"/>
      <c r="Y31" s="235"/>
      <c r="Z31" s="235"/>
      <c r="AA31" s="235"/>
      <c r="AB31" s="235"/>
      <c r="AC31" s="235"/>
      <c r="AD31" s="235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</row>
    <row r="32" ht="18.75" customHeight="1">
      <c r="A32" s="134"/>
      <c r="B32" s="134"/>
      <c r="C32" s="136" t="s">
        <v>68</v>
      </c>
      <c r="D32" s="236"/>
      <c r="K32" s="237">
        <f>SUM(K23:K29)</f>
        <v>20</v>
      </c>
      <c r="L32" s="238"/>
      <c r="M32" s="103"/>
      <c r="N32" s="103"/>
      <c r="O32" s="103"/>
      <c r="P32" s="103"/>
      <c r="Q32" s="103"/>
      <c r="R32" s="103"/>
      <c r="S32" s="103"/>
      <c r="T32" s="90"/>
      <c r="U32" s="90"/>
      <c r="V32" s="90"/>
      <c r="W32" s="90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</row>
    <row r="33" ht="15.75" customHeight="1">
      <c r="A33" s="134"/>
      <c r="B33" s="134"/>
      <c r="C33" s="239" t="s">
        <v>106</v>
      </c>
      <c r="H33" s="220"/>
      <c r="I33" s="220"/>
      <c r="J33" s="134"/>
      <c r="K33" s="134"/>
      <c r="L33" s="90"/>
      <c r="M33" s="90"/>
      <c r="N33" s="90"/>
      <c r="O33" s="90"/>
      <c r="P33" s="90"/>
      <c r="Q33" s="103"/>
      <c r="R33" s="103"/>
      <c r="S33" s="103"/>
      <c r="T33" s="90"/>
      <c r="U33" s="90"/>
      <c r="V33" s="90"/>
      <c r="W33" s="90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</row>
    <row r="34" ht="18.75" customHeight="1">
      <c r="A34" s="134"/>
      <c r="B34" s="134"/>
      <c r="C34" s="147"/>
      <c r="D34" s="147"/>
      <c r="E34" s="147"/>
      <c r="F34" s="147"/>
      <c r="G34" s="147"/>
      <c r="H34" s="147"/>
      <c r="I34" s="220"/>
      <c r="J34" s="134"/>
      <c r="K34" s="134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</row>
    <row r="35" ht="18.75" customHeight="1">
      <c r="A35" s="22"/>
      <c r="B35" s="22"/>
      <c r="C35" s="240"/>
      <c r="D35" s="240"/>
      <c r="E35" s="240"/>
      <c r="F35" s="240"/>
      <c r="G35" s="240"/>
      <c r="H35" s="240"/>
      <c r="I35" s="240"/>
      <c r="J35" s="22"/>
      <c r="K35" s="22"/>
      <c r="L35" s="225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</row>
    <row r="36" ht="18.75" customHeight="1">
      <c r="A36" s="6"/>
      <c r="B36" s="6"/>
      <c r="C36" s="140"/>
      <c r="D36" s="140"/>
      <c r="E36" s="140"/>
      <c r="F36" s="140"/>
      <c r="G36" s="140"/>
      <c r="H36" s="140"/>
      <c r="I36" s="6"/>
      <c r="J36" s="22"/>
      <c r="K36" s="22"/>
      <c r="L36" s="198"/>
      <c r="N36" s="180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</row>
    <row r="37" ht="18.75" customHeight="1">
      <c r="A37" s="22"/>
      <c r="B37" s="6"/>
      <c r="C37" s="6"/>
      <c r="D37" s="6"/>
      <c r="E37" s="6"/>
      <c r="F37" s="6"/>
      <c r="G37" s="6"/>
      <c r="H37" s="6"/>
      <c r="I37" s="6"/>
      <c r="J37" s="22"/>
      <c r="K37" s="22"/>
      <c r="L37" s="198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</row>
    <row r="38" ht="14.25" customHeight="1">
      <c r="A38" s="241"/>
      <c r="B38" s="241"/>
      <c r="C38" s="241"/>
      <c r="D38" s="241"/>
      <c r="E38" s="241"/>
      <c r="F38" s="241"/>
      <c r="G38" s="241"/>
      <c r="H38" s="241"/>
      <c r="I38" s="241"/>
      <c r="J38" s="22"/>
      <c r="K38" s="22"/>
      <c r="L38" s="225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ht="14.25" customHeight="1">
      <c r="A39" s="241"/>
      <c r="B39" s="241"/>
      <c r="C39" s="241"/>
      <c r="D39" s="241"/>
      <c r="E39" s="241"/>
      <c r="F39" s="241"/>
      <c r="G39" s="241"/>
      <c r="H39" s="241"/>
      <c r="I39" s="241"/>
      <c r="J39" s="22"/>
      <c r="K39" s="22"/>
      <c r="L39" s="225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</row>
    <row r="40" ht="14.25" customHeight="1">
      <c r="A40" s="241"/>
      <c r="B40" s="241"/>
      <c r="C40" s="241"/>
      <c r="D40" s="241"/>
      <c r="E40" s="241"/>
      <c r="F40" s="241"/>
      <c r="G40" s="241"/>
      <c r="H40" s="241"/>
      <c r="I40" s="241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</row>
    <row r="72" ht="15.75" customHeight="1">
      <c r="A72" s="140"/>
      <c r="B72" s="140"/>
      <c r="C72" s="140"/>
      <c r="D72" s="140"/>
      <c r="E72" s="140"/>
      <c r="F72" s="140"/>
      <c r="G72" s="140"/>
      <c r="H72" s="140"/>
      <c r="I72" s="140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</row>
    <row r="73" ht="15.75" customHeight="1">
      <c r="A73" s="140"/>
      <c r="B73" s="140"/>
      <c r="C73" s="140"/>
      <c r="D73" s="140"/>
      <c r="E73" s="140"/>
      <c r="F73" s="140"/>
      <c r="G73" s="140"/>
      <c r="H73" s="140"/>
      <c r="I73" s="140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</row>
    <row r="74" ht="15.75" customHeight="1">
      <c r="A74" s="140"/>
      <c r="B74" s="140"/>
      <c r="C74" s="140"/>
      <c r="D74" s="140"/>
      <c r="E74" s="140"/>
      <c r="F74" s="140"/>
      <c r="G74" s="140"/>
      <c r="H74" s="140"/>
      <c r="I74" s="140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</row>
    <row r="75" ht="15.75" customHeight="1">
      <c r="A75" s="140"/>
      <c r="B75" s="140"/>
      <c r="C75" s="140"/>
      <c r="D75" s="140"/>
      <c r="E75" s="140"/>
      <c r="F75" s="140"/>
      <c r="G75" s="140"/>
      <c r="H75" s="140"/>
      <c r="I75" s="140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</row>
    <row r="76" ht="15.75" customHeight="1">
      <c r="A76" s="140"/>
      <c r="B76" s="140"/>
      <c r="C76" s="140"/>
      <c r="D76" s="140"/>
      <c r="E76" s="140"/>
      <c r="F76" s="140"/>
      <c r="G76" s="140"/>
      <c r="H76" s="140"/>
      <c r="I76" s="140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</row>
    <row r="77" ht="15.75" customHeight="1">
      <c r="A77" s="140"/>
      <c r="B77" s="140"/>
      <c r="C77" s="140"/>
      <c r="D77" s="140"/>
      <c r="E77" s="140"/>
      <c r="F77" s="140"/>
      <c r="G77" s="140"/>
      <c r="H77" s="140"/>
      <c r="I77" s="140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</row>
    <row r="78" ht="15.75" customHeight="1">
      <c r="A78" s="140"/>
      <c r="B78" s="140"/>
      <c r="C78" s="140"/>
      <c r="D78" s="140"/>
      <c r="E78" s="140"/>
      <c r="F78" s="140"/>
      <c r="G78" s="140"/>
      <c r="H78" s="140"/>
      <c r="I78" s="140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</row>
    <row r="79" ht="15.75" customHeight="1">
      <c r="A79" s="140"/>
      <c r="B79" s="140"/>
      <c r="C79" s="140"/>
      <c r="D79" s="140"/>
      <c r="E79" s="140"/>
      <c r="F79" s="140"/>
      <c r="G79" s="140"/>
      <c r="H79" s="140"/>
      <c r="I79" s="140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</row>
    <row r="80" ht="15.75" customHeight="1">
      <c r="A80" s="140"/>
      <c r="B80" s="140"/>
      <c r="C80" s="140"/>
      <c r="D80" s="140"/>
      <c r="E80" s="140"/>
      <c r="F80" s="140"/>
      <c r="G80" s="140"/>
      <c r="H80" s="140"/>
      <c r="I80" s="140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</row>
    <row r="81" ht="15.75" customHeight="1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</row>
    <row r="82" ht="15.75" customHeight="1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</row>
    <row r="83" ht="15.75" customHeight="1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</row>
    <row r="84" ht="15.75" customHeight="1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</row>
    <row r="85" ht="15.75" customHeight="1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</row>
    <row r="86" ht="15.75" customHeight="1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</row>
    <row r="87" ht="15.75" customHeight="1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</row>
    <row r="88" ht="15.75" customHeight="1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</row>
    <row r="89" ht="15.75" customHeight="1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</row>
    <row r="90" ht="15.75" customHeight="1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</row>
    <row r="91" ht="15.75" customHeight="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</row>
    <row r="92" ht="15.75" customHeight="1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</row>
    <row r="93" ht="15.75" customHeight="1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</row>
    <row r="94" ht="15.75" customHeight="1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</row>
    <row r="95" ht="15.75" customHeight="1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</row>
    <row r="96" ht="15.75" customHeight="1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</row>
    <row r="97" ht="15.75" customHeight="1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</row>
    <row r="98" ht="15.75" customHeight="1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</row>
    <row r="99" ht="15.75" customHeight="1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</row>
    <row r="100" ht="15.75" customHeight="1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</row>
    <row r="101" ht="15.75" customHeight="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</row>
    <row r="102" ht="15.7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</row>
    <row r="103" ht="15.75" customHeight="1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</row>
    <row r="104" ht="15.75" customHeight="1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</row>
    <row r="105" ht="15.75" customHeight="1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</row>
    <row r="106" ht="15.75" customHeight="1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</row>
    <row r="107" ht="15.75" customHeight="1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</row>
    <row r="108" ht="15.75" customHeight="1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</row>
    <row r="109" ht="15.75" customHeight="1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</row>
    <row r="110" ht="15.75" customHeight="1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</row>
    <row r="111" ht="15.75" customHeight="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</row>
    <row r="112" ht="15.75" customHeight="1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</row>
    <row r="113" ht="15.75" customHeight="1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</row>
    <row r="114" ht="15.75" customHeight="1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</row>
    <row r="115" ht="15.75" customHeight="1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</row>
    <row r="116" ht="15.75" customHeight="1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</row>
    <row r="117" ht="15.75" customHeight="1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</row>
    <row r="118" ht="15.75" customHeight="1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</row>
    <row r="119" ht="15.75" customHeight="1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</row>
    <row r="120" ht="15.75" customHeight="1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</row>
    <row r="121" ht="15.75" customHeight="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</row>
    <row r="122" ht="15.75" customHeight="1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</row>
    <row r="123" ht="15.75" customHeight="1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</row>
    <row r="124" ht="15.75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</row>
    <row r="125" ht="15.75" customHeight="1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</row>
    <row r="126" ht="15.75" customHeight="1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</row>
    <row r="127" ht="15.75" customHeight="1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</row>
    <row r="128" ht="15.7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</row>
    <row r="129" ht="15.75" customHeight="1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</row>
    <row r="130" ht="15.75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</row>
    <row r="131" ht="15.75" customHeight="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</row>
    <row r="132" ht="15.75" customHeight="1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</row>
    <row r="133" ht="15.75" customHeight="1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</row>
    <row r="134" ht="15.75" customHeight="1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</row>
    <row r="135" ht="15.75" customHeight="1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</row>
    <row r="136" ht="15.75" customHeight="1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</row>
    <row r="137" ht="15.75" customHeight="1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</row>
    <row r="138" ht="15.75" customHeight="1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</row>
    <row r="139" ht="15.75" customHeight="1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</row>
    <row r="140" ht="15.75" customHeight="1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</row>
    <row r="141" ht="15.75" customHeight="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</row>
    <row r="142" ht="15.75" customHeight="1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</row>
    <row r="143" ht="15.75" customHeight="1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</row>
    <row r="144" ht="15.75" customHeight="1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</row>
    <row r="145" ht="15.75" customHeight="1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</row>
    <row r="146" ht="15.75" customHeight="1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</row>
    <row r="147" ht="15.75" customHeight="1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</row>
    <row r="148" ht="15.75" customHeight="1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</row>
    <row r="149" ht="15.75" customHeight="1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</row>
    <row r="150" ht="15.75" customHeight="1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</row>
    <row r="151" ht="15.75" customHeight="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</row>
    <row r="152" ht="15.75" customHeight="1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</row>
    <row r="153" ht="15.75" customHeight="1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</row>
    <row r="154" ht="15.75" customHeight="1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</row>
    <row r="155" ht="15.75" customHeight="1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</row>
    <row r="156" ht="15.75" customHeight="1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</row>
    <row r="157" ht="15.75" customHeight="1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</row>
    <row r="158" ht="15.75" customHeight="1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</row>
    <row r="159" ht="15.75" customHeight="1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</row>
    <row r="160" ht="15.75" customHeight="1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</row>
    <row r="161" ht="15.75" customHeight="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</row>
    <row r="162" ht="15.75" customHeight="1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</row>
    <row r="163" ht="15.75" customHeight="1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</row>
    <row r="164" ht="15.75" customHeight="1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</row>
    <row r="165" ht="15.7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</row>
    <row r="166" ht="15.75" customHeight="1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</row>
    <row r="167" ht="15.75" customHeight="1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</row>
    <row r="168" ht="15.75" customHeight="1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</row>
    <row r="169" ht="15.75" customHeight="1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</row>
    <row r="170" ht="15.75" customHeight="1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</row>
    <row r="171" ht="15.75" customHeight="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</row>
    <row r="172" ht="15.75" customHeight="1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</row>
    <row r="173" ht="15.75" customHeight="1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</row>
    <row r="174" ht="15.75" customHeight="1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</row>
    <row r="175" ht="15.75" customHeight="1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</row>
    <row r="176" ht="15.75" customHeight="1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</row>
    <row r="177" ht="15.75" customHeight="1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</row>
    <row r="178" ht="15.75" customHeight="1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</row>
    <row r="179" ht="15.75" customHeight="1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140"/>
    </row>
    <row r="180" ht="15.75" customHeight="1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140"/>
    </row>
    <row r="181" ht="15.75" customHeight="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140"/>
    </row>
    <row r="182" ht="15.75" customHeight="1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140"/>
    </row>
    <row r="183" ht="15.75" customHeight="1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140"/>
    </row>
    <row r="184" ht="15.75" customHeight="1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140"/>
    </row>
    <row r="185" ht="15.75" customHeight="1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</row>
    <row r="186" ht="15.75" customHeight="1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</row>
    <row r="187" ht="15.75" customHeight="1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140"/>
    </row>
    <row r="188" ht="15.75" customHeight="1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140"/>
    </row>
    <row r="189" ht="15.75" customHeight="1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ht="15.75" customHeight="1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ht="15.75" customHeight="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</row>
    <row r="192" ht="15.75" customHeight="1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</row>
    <row r="193" ht="15.75" customHeight="1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</row>
    <row r="194" ht="15.75" customHeight="1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</row>
    <row r="195" ht="15.75" customHeight="1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</row>
    <row r="196" ht="15.75" customHeight="1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</row>
    <row r="197" ht="15.75" customHeight="1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</row>
    <row r="198" ht="15.75" customHeight="1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</row>
    <row r="199" ht="15.75" customHeight="1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</row>
    <row r="200" ht="15.75" customHeight="1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</row>
    <row r="201" ht="15.75" customHeight="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140"/>
    </row>
    <row r="202" ht="15.75" customHeight="1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140"/>
    </row>
    <row r="203" ht="15.75" customHeight="1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</row>
    <row r="204" ht="15.75" customHeight="1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  <c r="AJ204" s="140"/>
      <c r="AK204" s="140"/>
      <c r="AL204" s="140"/>
      <c r="AM204" s="140"/>
      <c r="AN204" s="140"/>
      <c r="AO204" s="140"/>
      <c r="AP204" s="140"/>
    </row>
    <row r="205" ht="15.75" customHeight="1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  <c r="AJ205" s="140"/>
      <c r="AK205" s="140"/>
      <c r="AL205" s="140"/>
      <c r="AM205" s="140"/>
      <c r="AN205" s="140"/>
      <c r="AO205" s="140"/>
      <c r="AP205" s="140"/>
    </row>
    <row r="206" ht="15.75" customHeight="1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  <c r="AJ206" s="140"/>
      <c r="AK206" s="140"/>
      <c r="AL206" s="140"/>
      <c r="AM206" s="140"/>
      <c r="AN206" s="140"/>
      <c r="AO206" s="140"/>
      <c r="AP206" s="140"/>
    </row>
    <row r="207" ht="15.75" customHeight="1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140"/>
    </row>
    <row r="208" ht="15.75" customHeight="1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140"/>
    </row>
    <row r="209" ht="15.75" customHeight="1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  <c r="AJ209" s="140"/>
      <c r="AK209" s="140"/>
      <c r="AL209" s="140"/>
      <c r="AM209" s="140"/>
      <c r="AN209" s="140"/>
      <c r="AO209" s="140"/>
      <c r="AP209" s="140"/>
    </row>
    <row r="210" ht="15.75" customHeight="1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140"/>
    </row>
    <row r="211" ht="15.75" customHeight="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  <c r="AJ211" s="140"/>
      <c r="AK211" s="140"/>
      <c r="AL211" s="140"/>
      <c r="AM211" s="140"/>
      <c r="AN211" s="140"/>
      <c r="AO211" s="140"/>
      <c r="AP211" s="140"/>
    </row>
    <row r="212" ht="15.75" customHeight="1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  <c r="AJ212" s="140"/>
      <c r="AK212" s="140"/>
      <c r="AL212" s="140"/>
      <c r="AM212" s="140"/>
      <c r="AN212" s="140"/>
      <c r="AO212" s="140"/>
      <c r="AP212" s="140"/>
    </row>
    <row r="213" ht="15.75" customHeight="1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140"/>
    </row>
    <row r="214" ht="15.75" customHeight="1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  <c r="AJ214" s="140"/>
      <c r="AK214" s="140"/>
      <c r="AL214" s="140"/>
      <c r="AM214" s="140"/>
      <c r="AN214" s="140"/>
      <c r="AO214" s="140"/>
      <c r="AP214" s="140"/>
    </row>
    <row r="215" ht="15.75" customHeight="1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140"/>
    </row>
    <row r="216" ht="15.75" customHeight="1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140"/>
    </row>
    <row r="217" ht="15.7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140"/>
    </row>
    <row r="218" ht="15.75" customHeight="1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140"/>
    </row>
    <row r="219" ht="15.7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40"/>
      <c r="AP219" s="140"/>
    </row>
    <row r="220" ht="15.75" customHeight="1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  <c r="AJ220" s="140"/>
      <c r="AK220" s="140"/>
      <c r="AL220" s="140"/>
      <c r="AM220" s="140"/>
      <c r="AN220" s="140"/>
      <c r="AO220" s="140"/>
      <c r="AP220" s="140"/>
    </row>
    <row r="221" ht="15.75" customHeight="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140"/>
    </row>
    <row r="222" ht="15.75" customHeight="1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40"/>
      <c r="AP222" s="140"/>
    </row>
    <row r="223" ht="15.75" customHeight="1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  <c r="AJ223" s="140"/>
      <c r="AK223" s="140"/>
      <c r="AL223" s="140"/>
      <c r="AM223" s="140"/>
      <c r="AN223" s="140"/>
      <c r="AO223" s="140"/>
      <c r="AP223" s="140"/>
    </row>
    <row r="224" ht="15.7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140"/>
    </row>
    <row r="225" ht="15.75" customHeight="1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140"/>
    </row>
    <row r="226" ht="15.75" customHeight="1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140"/>
    </row>
    <row r="227" ht="15.75" customHeight="1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140"/>
    </row>
    <row r="228" ht="15.75" customHeight="1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40"/>
      <c r="AH228" s="140"/>
      <c r="AI228" s="140"/>
      <c r="AJ228" s="140"/>
      <c r="AK228" s="140"/>
      <c r="AL228" s="140"/>
      <c r="AM228" s="140"/>
      <c r="AN228" s="140"/>
      <c r="AO228" s="140"/>
      <c r="AP228" s="140"/>
    </row>
    <row r="229" ht="15.75" customHeight="1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</row>
    <row r="230" ht="15.75" customHeight="1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  <c r="AJ230" s="140"/>
      <c r="AK230" s="140"/>
      <c r="AL230" s="140"/>
      <c r="AM230" s="140"/>
      <c r="AN230" s="140"/>
      <c r="AO230" s="140"/>
      <c r="AP230" s="140"/>
    </row>
    <row r="231" ht="15.75" customHeight="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40"/>
      <c r="AH231" s="140"/>
      <c r="AI231" s="140"/>
      <c r="AJ231" s="140"/>
      <c r="AK231" s="140"/>
      <c r="AL231" s="140"/>
      <c r="AM231" s="140"/>
      <c r="AN231" s="140"/>
      <c r="AO231" s="140"/>
      <c r="AP231" s="140"/>
    </row>
    <row r="232" ht="15.75" customHeight="1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0"/>
      <c r="AD232" s="140"/>
      <c r="AE232" s="140"/>
      <c r="AF232" s="140"/>
      <c r="AG232" s="140"/>
      <c r="AH232" s="140"/>
      <c r="AI232" s="140"/>
      <c r="AJ232" s="140"/>
      <c r="AK232" s="140"/>
      <c r="AL232" s="140"/>
      <c r="AM232" s="140"/>
      <c r="AN232" s="140"/>
      <c r="AO232" s="140"/>
      <c r="AP232" s="140"/>
    </row>
    <row r="233" ht="15.75" customHeight="1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14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5">
    <mergeCell ref="D31:J31"/>
    <mergeCell ref="D32:J32"/>
    <mergeCell ref="C33:G33"/>
    <mergeCell ref="D25:J25"/>
    <mergeCell ref="D26:J26"/>
    <mergeCell ref="D27:J27"/>
    <mergeCell ref="N27:Q27"/>
    <mergeCell ref="D28:J28"/>
    <mergeCell ref="C29:D29"/>
    <mergeCell ref="D30:J30"/>
    <mergeCell ref="R4:S4"/>
    <mergeCell ref="T4:U4"/>
    <mergeCell ref="X4:Y4"/>
    <mergeCell ref="Z4:AA4"/>
    <mergeCell ref="AB4:AC4"/>
    <mergeCell ref="A1:W1"/>
    <mergeCell ref="A2:W2"/>
    <mergeCell ref="I3:M3"/>
    <mergeCell ref="B4:C4"/>
    <mergeCell ref="D4:E4"/>
    <mergeCell ref="F4:G4"/>
    <mergeCell ref="H4:I4"/>
    <mergeCell ref="V4:W4"/>
    <mergeCell ref="L4:M4"/>
    <mergeCell ref="L9:M10"/>
    <mergeCell ref="L11:M12"/>
    <mergeCell ref="J4:K4"/>
    <mergeCell ref="A5:A6"/>
    <mergeCell ref="E5:G6"/>
    <mergeCell ref="H5:J6"/>
    <mergeCell ref="A7:A8"/>
    <mergeCell ref="H7:J8"/>
    <mergeCell ref="A9:A10"/>
    <mergeCell ref="U22:W22"/>
    <mergeCell ref="X22:Y22"/>
    <mergeCell ref="Z22:AA22"/>
    <mergeCell ref="AB22:AB23"/>
    <mergeCell ref="AC22:AC23"/>
    <mergeCell ref="AD22:AD23"/>
    <mergeCell ref="AE22:AE23"/>
    <mergeCell ref="N24:P24"/>
    <mergeCell ref="N4:O4"/>
    <mergeCell ref="P4:Q4"/>
    <mergeCell ref="O5:Q6"/>
    <mergeCell ref="L7:Q8"/>
    <mergeCell ref="N9:U10"/>
    <mergeCell ref="N11:U12"/>
    <mergeCell ref="S19:W19"/>
    <mergeCell ref="A11:A12"/>
    <mergeCell ref="E11:G12"/>
    <mergeCell ref="H11:J12"/>
    <mergeCell ref="A13:A14"/>
    <mergeCell ref="H13:J14"/>
    <mergeCell ref="B22:J22"/>
    <mergeCell ref="D24:J24"/>
  </mergeCells>
  <printOptions/>
  <pageMargins bottom="0.75" footer="0.0" header="0.0" left="0.25" right="0.25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29"/>
    <col customWidth="1" min="3" max="3" width="12.29"/>
    <col customWidth="1" min="4" max="4" width="15.86"/>
    <col customWidth="1" min="5" max="5" width="11.57"/>
    <col customWidth="1" min="6" max="9" width="10.29"/>
    <col customWidth="1" min="10" max="10" width="15.57"/>
    <col customWidth="1" min="11" max="11" width="18.86"/>
    <col customWidth="1" min="12" max="12" width="14.71"/>
    <col customWidth="1" min="13" max="13" width="15.71"/>
    <col customWidth="1" min="14" max="14" width="10.86"/>
    <col customWidth="1" min="15" max="15" width="21.0"/>
    <col customWidth="1" min="16" max="18" width="7.57"/>
    <col customWidth="1" min="19" max="29" width="9.43"/>
    <col customWidth="1" min="30" max="30" width="5.71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107</v>
      </c>
      <c r="X1" s="141"/>
      <c r="Y1" s="142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9.5" customHeight="1">
      <c r="A2" s="5" t="s">
        <v>70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7"/>
      <c r="AN2" s="6"/>
      <c r="AO2" s="6"/>
      <c r="AP2" s="6"/>
    </row>
    <row r="3" ht="19.5" customHeight="1">
      <c r="A3" s="242" t="s">
        <v>108</v>
      </c>
      <c r="B3" s="242"/>
      <c r="C3" s="242"/>
      <c r="D3" s="242"/>
      <c r="E3" s="242"/>
      <c r="F3" s="242"/>
      <c r="G3" s="9" t="s">
        <v>109</v>
      </c>
      <c r="H3" s="10"/>
      <c r="I3" s="10"/>
      <c r="J3" s="10"/>
      <c r="K3" s="10"/>
      <c r="L3" s="10"/>
      <c r="M3" s="10"/>
      <c r="N3" s="10"/>
      <c r="O3" s="8"/>
      <c r="P3" s="8"/>
      <c r="Q3" s="8"/>
      <c r="R3" s="8"/>
      <c r="S3" s="8"/>
      <c r="T3" s="8"/>
      <c r="U3" s="8"/>
      <c r="V3" s="8"/>
      <c r="W3" s="8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/>
      <c r="AM3" s="7"/>
      <c r="AN3" s="6"/>
      <c r="AO3" s="6"/>
      <c r="AP3" s="6"/>
    </row>
    <row r="4" ht="19.5" customHeight="1">
      <c r="A4" s="11"/>
      <c r="B4" s="12" t="s">
        <v>3</v>
      </c>
      <c r="C4" s="13"/>
      <c r="D4" s="12" t="s">
        <v>4</v>
      </c>
      <c r="E4" s="13"/>
      <c r="F4" s="12" t="s">
        <v>5</v>
      </c>
      <c r="G4" s="13"/>
      <c r="H4" s="12" t="s">
        <v>6</v>
      </c>
      <c r="I4" s="13"/>
      <c r="J4" s="12" t="s">
        <v>7</v>
      </c>
      <c r="K4" s="13"/>
      <c r="L4" s="12" t="s">
        <v>8</v>
      </c>
      <c r="M4" s="13"/>
      <c r="N4" s="12" t="s">
        <v>9</v>
      </c>
      <c r="O4" s="13"/>
      <c r="P4" s="12" t="s">
        <v>10</v>
      </c>
      <c r="Q4" s="19"/>
      <c r="R4" s="14" t="s">
        <v>11</v>
      </c>
      <c r="S4" s="18"/>
      <c r="T4" s="14" t="s">
        <v>12</v>
      </c>
      <c r="U4" s="15"/>
      <c r="V4" s="12" t="s">
        <v>13</v>
      </c>
      <c r="W4" s="13"/>
      <c r="X4" s="143"/>
      <c r="Z4" s="21"/>
      <c r="AB4" s="21"/>
      <c r="AD4" s="22"/>
      <c r="AE4" s="22"/>
      <c r="AF4" s="6"/>
      <c r="AG4" s="6"/>
      <c r="AH4" s="6"/>
      <c r="AI4" s="6"/>
      <c r="AJ4" s="6"/>
      <c r="AK4" s="6"/>
      <c r="AL4" s="7"/>
      <c r="AM4" s="7"/>
      <c r="AN4" s="6"/>
      <c r="AO4" s="6"/>
      <c r="AP4" s="6"/>
    </row>
    <row r="5" ht="28.5" customHeight="1">
      <c r="A5" s="23" t="s">
        <v>14</v>
      </c>
      <c r="E5" s="243" t="s">
        <v>110</v>
      </c>
      <c r="F5" s="27"/>
      <c r="G5" s="27"/>
      <c r="H5" s="27"/>
      <c r="I5" s="27"/>
      <c r="J5" s="17"/>
      <c r="K5" s="30"/>
      <c r="L5" s="244" t="str">
        <f>C26 &amp; "/001
" &amp; D26 &amp; "
" &amp; L26 &amp; "
" &amp; M26 &amp; "
" &amp; N26 &amp; " คน
" &amp;O26 
</f>
        <v>958325/001
Artificial Intelligence for Game Development
อ.ดร.ปฏิสนธิ์
C308,C309
60 คน
เด็กตกแผนเพิ่มมา 13 คน (รวมใน 60 คนแล้ว)</v>
      </c>
      <c r="M5" s="27"/>
      <c r="N5" s="27"/>
      <c r="O5" s="27"/>
      <c r="P5" s="27"/>
      <c r="Q5" s="29"/>
      <c r="R5" s="25"/>
      <c r="S5" s="25"/>
      <c r="T5" s="25"/>
      <c r="U5" s="25"/>
      <c r="V5" s="32"/>
      <c r="W5" s="33"/>
      <c r="X5" s="150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6"/>
      <c r="AO5" s="6"/>
      <c r="AP5" s="6"/>
    </row>
    <row r="6" ht="45.75" customHeight="1">
      <c r="A6" s="35"/>
      <c r="D6" s="52"/>
      <c r="E6" s="37"/>
      <c r="F6" s="10"/>
      <c r="G6" s="10"/>
      <c r="H6" s="10"/>
      <c r="I6" s="10"/>
      <c r="J6" s="50"/>
      <c r="K6" s="39"/>
      <c r="L6" s="37"/>
      <c r="M6" s="10"/>
      <c r="N6" s="10"/>
      <c r="O6" s="10"/>
      <c r="P6" s="10"/>
      <c r="Q6" s="38"/>
      <c r="R6" s="36"/>
      <c r="S6" s="36"/>
      <c r="T6" s="36"/>
      <c r="U6" s="36"/>
      <c r="V6" s="40"/>
      <c r="W6" s="41"/>
      <c r="X6" s="150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7"/>
      <c r="AM6" s="7"/>
      <c r="AN6" s="6"/>
      <c r="AO6" s="6"/>
      <c r="AP6" s="6"/>
    </row>
    <row r="7" ht="28.5" customHeight="1">
      <c r="A7" s="42" t="s">
        <v>19</v>
      </c>
      <c r="B7" s="70"/>
      <c r="C7" s="46"/>
      <c r="E7" s="245" t="s">
        <v>111</v>
      </c>
      <c r="F7" s="27"/>
      <c r="G7" s="27"/>
      <c r="H7" s="27"/>
      <c r="I7" s="27"/>
      <c r="J7" s="17"/>
      <c r="K7" s="32"/>
      <c r="L7" s="246" t="s">
        <v>112</v>
      </c>
      <c r="M7" s="29"/>
      <c r="N7" s="246" t="s">
        <v>113</v>
      </c>
      <c r="O7" s="27"/>
      <c r="P7" s="27"/>
      <c r="Q7" s="27"/>
      <c r="R7" s="27"/>
      <c r="S7" s="27"/>
      <c r="T7" s="27"/>
      <c r="U7" s="29"/>
      <c r="V7" s="30"/>
      <c r="W7" s="47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7"/>
      <c r="AM7" s="7"/>
      <c r="AN7" s="6"/>
      <c r="AO7" s="6"/>
      <c r="AP7" s="6"/>
    </row>
    <row r="8" ht="43.5" customHeight="1">
      <c r="A8" s="48"/>
      <c r="B8" s="75"/>
      <c r="C8" s="60"/>
      <c r="D8" s="52"/>
      <c r="E8" s="37"/>
      <c r="F8" s="10"/>
      <c r="G8" s="10"/>
      <c r="H8" s="10"/>
      <c r="I8" s="10"/>
      <c r="J8" s="50"/>
      <c r="K8" s="40"/>
      <c r="L8" s="37"/>
      <c r="M8" s="38"/>
      <c r="N8" s="37"/>
      <c r="O8" s="10"/>
      <c r="P8" s="10"/>
      <c r="Q8" s="10"/>
      <c r="R8" s="10"/>
      <c r="S8" s="10"/>
      <c r="T8" s="10"/>
      <c r="U8" s="38"/>
      <c r="V8" s="39"/>
      <c r="W8" s="53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6"/>
    </row>
    <row r="9" ht="28.5" customHeight="1">
      <c r="A9" s="48"/>
      <c r="B9" s="247"/>
      <c r="C9" s="247"/>
      <c r="E9" s="245" t="s">
        <v>114</v>
      </c>
      <c r="F9" s="27"/>
      <c r="G9" s="27"/>
      <c r="H9" s="27"/>
      <c r="I9" s="27"/>
      <c r="J9" s="17"/>
      <c r="K9" s="248"/>
      <c r="L9" s="249"/>
      <c r="M9" s="27"/>
      <c r="N9" s="27"/>
      <c r="O9" s="27"/>
      <c r="P9" s="27"/>
      <c r="Q9" s="17"/>
      <c r="R9" s="250"/>
      <c r="S9" s="250"/>
      <c r="T9" s="250"/>
      <c r="U9" s="250"/>
      <c r="V9" s="134"/>
      <c r="W9" s="57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6"/>
    </row>
    <row r="10" ht="28.5" customHeight="1">
      <c r="A10" s="35"/>
      <c r="B10" s="247"/>
      <c r="C10" s="247"/>
      <c r="E10" s="37"/>
      <c r="F10" s="10"/>
      <c r="G10" s="10"/>
      <c r="H10" s="10"/>
      <c r="I10" s="10"/>
      <c r="J10" s="50"/>
      <c r="K10" s="250"/>
      <c r="L10" s="37"/>
      <c r="M10" s="10"/>
      <c r="N10" s="10"/>
      <c r="O10" s="10"/>
      <c r="P10" s="10"/>
      <c r="Q10" s="50"/>
      <c r="R10" s="251"/>
      <c r="S10" s="251"/>
      <c r="T10" s="251"/>
      <c r="U10" s="251"/>
      <c r="V10" s="134"/>
      <c r="W10" s="57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7"/>
      <c r="AN10" s="6"/>
      <c r="AO10" s="6"/>
      <c r="AP10" s="6"/>
    </row>
    <row r="11" ht="28.5" customHeight="1">
      <c r="A11" s="61" t="s">
        <v>23</v>
      </c>
      <c r="B11" s="252"/>
      <c r="C11" s="156"/>
      <c r="D11" s="156"/>
      <c r="E11" s="156"/>
      <c r="F11" s="156"/>
      <c r="G11" s="156"/>
      <c r="H11" s="156"/>
      <c r="I11" s="156"/>
      <c r="J11" s="32"/>
      <c r="K11" s="33"/>
      <c r="L11" s="253" t="s">
        <v>115</v>
      </c>
      <c r="V11" s="32"/>
      <c r="W11" s="33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6"/>
    </row>
    <row r="12" ht="28.5" customHeight="1">
      <c r="A12" s="35"/>
      <c r="B12" s="254"/>
      <c r="C12" s="52"/>
      <c r="D12" s="52"/>
      <c r="E12" s="52"/>
      <c r="F12" s="52"/>
      <c r="G12" s="52"/>
      <c r="H12" s="52"/>
      <c r="I12" s="52"/>
      <c r="J12" s="40"/>
      <c r="K12" s="41"/>
      <c r="L12" s="37"/>
      <c r="M12" s="10"/>
      <c r="N12" s="10"/>
      <c r="O12" s="10"/>
      <c r="P12" s="10"/>
      <c r="Q12" s="10"/>
      <c r="R12" s="52"/>
      <c r="S12" s="52"/>
      <c r="T12" s="52"/>
      <c r="U12" s="52"/>
      <c r="V12" s="40"/>
      <c r="W12" s="41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6"/>
    </row>
    <row r="13" ht="45.75" customHeight="1">
      <c r="A13" s="65" t="s">
        <v>24</v>
      </c>
      <c r="B13" s="70"/>
      <c r="C13" s="46"/>
      <c r="E13" s="28" t="s">
        <v>116</v>
      </c>
      <c r="F13" s="27"/>
      <c r="G13" s="27"/>
      <c r="H13" s="27"/>
      <c r="I13" s="27"/>
      <c r="J13" s="27"/>
      <c r="K13" s="255"/>
      <c r="L13" s="71" t="str">
        <f>C25 &amp; "/sec.001 
" &amp; D25 &amp; " 
" &amp;L25 &amp; "
" &amp; N25 &amp; " คน
" &amp; M25 &amp; "
" &amp; O25</f>
        <v>958321/sec.001 
Game Development 3 
อ.ดร.เกียรติกร
58 คน
C308,C309,307
เด็กตกแผนเพิ่มมา 13 คน </v>
      </c>
      <c r="M13" s="29"/>
      <c r="N13" s="72" t="s">
        <v>117</v>
      </c>
      <c r="O13" s="27"/>
      <c r="P13" s="27"/>
      <c r="Q13" s="27"/>
      <c r="R13" s="27"/>
      <c r="S13" s="27"/>
      <c r="T13" s="27"/>
      <c r="U13" s="29"/>
      <c r="V13" s="66"/>
      <c r="W13" s="67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6"/>
    </row>
    <row r="14" ht="41.25" customHeight="1">
      <c r="A14" s="48"/>
      <c r="B14" s="75"/>
      <c r="C14" s="60"/>
      <c r="D14" s="52"/>
      <c r="E14" s="37"/>
      <c r="F14" s="10"/>
      <c r="G14" s="10"/>
      <c r="H14" s="10"/>
      <c r="I14" s="10"/>
      <c r="J14" s="10"/>
      <c r="K14" s="256"/>
      <c r="L14" s="37"/>
      <c r="M14" s="38"/>
      <c r="N14" s="37"/>
      <c r="O14" s="10"/>
      <c r="P14" s="10"/>
      <c r="Q14" s="10"/>
      <c r="R14" s="10"/>
      <c r="S14" s="10"/>
      <c r="T14" s="10"/>
      <c r="U14" s="38"/>
      <c r="V14" s="51"/>
      <c r="W14" s="68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6"/>
    </row>
    <row r="15" ht="23.25" customHeight="1">
      <c r="A15" s="48"/>
      <c r="B15" s="257" t="s">
        <v>118</v>
      </c>
      <c r="C15" s="27"/>
      <c r="D15" s="257" t="s">
        <v>119</v>
      </c>
      <c r="E15" s="27"/>
      <c r="F15" s="27"/>
      <c r="G15" s="27"/>
      <c r="H15" s="27"/>
      <c r="I15" s="27"/>
      <c r="J15" s="27"/>
      <c r="K15" s="17"/>
      <c r="P15" s="258"/>
      <c r="Q15" s="27"/>
      <c r="R15" s="29"/>
      <c r="S15" s="247"/>
      <c r="T15" s="134"/>
      <c r="U15" s="55"/>
      <c r="V15" s="55"/>
      <c r="W15" s="259"/>
      <c r="X15" s="159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6"/>
    </row>
    <row r="16" ht="48.75" customHeight="1">
      <c r="A16" s="35"/>
      <c r="B16" s="37"/>
      <c r="C16" s="10"/>
      <c r="D16" s="37"/>
      <c r="E16" s="10"/>
      <c r="F16" s="10"/>
      <c r="G16" s="10"/>
      <c r="H16" s="10"/>
      <c r="I16" s="10"/>
      <c r="J16" s="10"/>
      <c r="K16" s="50"/>
      <c r="L16" s="52"/>
      <c r="M16" s="52"/>
      <c r="N16" s="52"/>
      <c r="O16" s="52"/>
      <c r="P16" s="10"/>
      <c r="Q16" s="10"/>
      <c r="R16" s="38"/>
      <c r="S16" s="247"/>
      <c r="T16" s="134"/>
      <c r="U16" s="55"/>
      <c r="V16" s="55"/>
      <c r="W16" s="259"/>
      <c r="X16" s="159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7"/>
      <c r="AM16" s="7"/>
      <c r="AN16" s="6"/>
      <c r="AO16" s="6"/>
      <c r="AP16" s="6"/>
    </row>
    <row r="17" ht="28.5" customHeight="1">
      <c r="A17" s="260" t="s">
        <v>27</v>
      </c>
      <c r="B17" s="70"/>
      <c r="C17" s="46"/>
      <c r="K17" s="24"/>
      <c r="L17" s="261" t="s">
        <v>120</v>
      </c>
      <c r="M17" s="27"/>
      <c r="N17" s="27"/>
      <c r="O17" s="27"/>
      <c r="P17" s="27"/>
      <c r="Q17" s="17"/>
      <c r="R17" s="46"/>
      <c r="S17" s="46"/>
      <c r="T17" s="30"/>
      <c r="U17" s="66"/>
      <c r="V17" s="66"/>
      <c r="W17" s="67"/>
      <c r="X17" s="159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7"/>
      <c r="AM17" s="7"/>
      <c r="AN17" s="6"/>
      <c r="AO17" s="6"/>
      <c r="AP17" s="6"/>
    </row>
    <row r="18" ht="28.5" customHeight="1">
      <c r="A18" s="74"/>
      <c r="B18" s="75"/>
      <c r="C18" s="60"/>
      <c r="K18" s="36"/>
      <c r="L18" s="37"/>
      <c r="M18" s="10"/>
      <c r="N18" s="10"/>
      <c r="O18" s="10"/>
      <c r="P18" s="10"/>
      <c r="Q18" s="50"/>
      <c r="R18" s="60"/>
      <c r="S18" s="60"/>
      <c r="T18" s="39"/>
      <c r="U18" s="51"/>
      <c r="V18" s="51"/>
      <c r="W18" s="68"/>
      <c r="X18" s="159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7"/>
      <c r="AN18" s="6"/>
      <c r="AO18" s="6"/>
      <c r="AP18" s="6"/>
    </row>
    <row r="19" ht="19.5" customHeight="1">
      <c r="A19" s="76" t="s">
        <v>32</v>
      </c>
      <c r="B19" s="77"/>
      <c r="C19" s="78"/>
      <c r="D19" s="78"/>
      <c r="E19" s="78"/>
      <c r="F19" s="78"/>
      <c r="G19" s="78"/>
      <c r="H19" s="78"/>
      <c r="I19" s="78"/>
      <c r="J19" s="7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78"/>
      <c r="W19" s="79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7"/>
      <c r="AN19" s="6"/>
      <c r="AO19" s="6"/>
      <c r="AP19" s="6"/>
    </row>
    <row r="20" ht="19.5" customHeight="1">
      <c r="A20" s="76" t="s">
        <v>33</v>
      </c>
      <c r="B20" s="77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9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7"/>
      <c r="AM20" s="7"/>
      <c r="AN20" s="6"/>
      <c r="AO20" s="6"/>
      <c r="AP20" s="6"/>
    </row>
    <row r="21" ht="14.2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2"/>
      <c r="V21" s="2"/>
      <c r="W21" s="2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7"/>
      <c r="AM21" s="7"/>
      <c r="AN21" s="6"/>
      <c r="AO21" s="6"/>
      <c r="AP21" s="6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7"/>
      <c r="AM22" s="7"/>
      <c r="AN22" s="6"/>
      <c r="AO22" s="6"/>
      <c r="AP22" s="6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81" t="s">
        <v>34</v>
      </c>
      <c r="T23" s="82"/>
      <c r="U23" s="19"/>
      <c r="V23" s="83" t="s">
        <v>35</v>
      </c>
      <c r="W23" s="19"/>
      <c r="X23" s="81" t="s">
        <v>36</v>
      </c>
      <c r="Y23" s="19"/>
      <c r="Z23" s="84" t="s">
        <v>37</v>
      </c>
      <c r="AA23" s="84" t="s">
        <v>38</v>
      </c>
      <c r="AB23" s="84" t="s">
        <v>39</v>
      </c>
      <c r="AC23" s="84" t="s">
        <v>40</v>
      </c>
      <c r="AD23" s="6"/>
      <c r="AE23" s="6"/>
      <c r="AF23" s="6"/>
      <c r="AG23" s="6"/>
      <c r="AH23" s="6"/>
      <c r="AI23" s="6"/>
      <c r="AJ23" s="6"/>
      <c r="AK23" s="6"/>
      <c r="AL23" s="7"/>
      <c r="AM23" s="7"/>
      <c r="AN23" s="6"/>
      <c r="AO23" s="6"/>
      <c r="AP23" s="6"/>
    </row>
    <row r="24" ht="30.75" customHeight="1">
      <c r="A24" s="86" t="s">
        <v>41</v>
      </c>
      <c r="D24" s="262" t="s">
        <v>121</v>
      </c>
      <c r="E24" s="164" t="s">
        <v>44</v>
      </c>
      <c r="J24" s="164"/>
      <c r="K24" s="164"/>
      <c r="L24" s="165" t="s">
        <v>84</v>
      </c>
      <c r="M24" s="165" t="s">
        <v>85</v>
      </c>
      <c r="N24" s="263" t="s">
        <v>122</v>
      </c>
      <c r="O24" s="166" t="s">
        <v>48</v>
      </c>
      <c r="P24" s="166"/>
      <c r="R24" s="103"/>
      <c r="S24" s="91" t="s">
        <v>49</v>
      </c>
      <c r="T24" s="91" t="s">
        <v>50</v>
      </c>
      <c r="U24" s="92" t="s">
        <v>51</v>
      </c>
      <c r="V24" s="93" t="s">
        <v>52</v>
      </c>
      <c r="W24" s="93" t="s">
        <v>53</v>
      </c>
      <c r="X24" s="92" t="s">
        <v>54</v>
      </c>
      <c r="Y24" s="94" t="s">
        <v>55</v>
      </c>
      <c r="Z24" s="35"/>
      <c r="AA24" s="35"/>
      <c r="AB24" s="35"/>
      <c r="AC24" s="35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</row>
    <row r="25" ht="19.5" customHeight="1">
      <c r="A25" s="96" t="s">
        <v>56</v>
      </c>
      <c r="B25" s="264">
        <v>1.0</v>
      </c>
      <c r="C25" s="265">
        <v>958321.0</v>
      </c>
      <c r="D25" s="266" t="s">
        <v>123</v>
      </c>
      <c r="J25" s="266">
        <v>3.0</v>
      </c>
      <c r="K25" s="267" t="s">
        <v>124</v>
      </c>
      <c r="L25" s="225" t="s">
        <v>125</v>
      </c>
      <c r="M25" s="268" t="s">
        <v>126</v>
      </c>
      <c r="N25" s="180">
        <v>58.0</v>
      </c>
      <c r="O25" s="269" t="s">
        <v>127</v>
      </c>
      <c r="P25" s="270"/>
      <c r="S25" s="183"/>
      <c r="T25" s="183"/>
      <c r="U25" s="183"/>
      <c r="V25" s="183"/>
      <c r="W25" s="183"/>
      <c r="X25" s="184"/>
      <c r="Y25" s="185"/>
      <c r="Z25" s="185"/>
      <c r="AA25" s="186"/>
      <c r="AB25" s="186"/>
      <c r="AC25" s="187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</row>
    <row r="26" ht="18.75" customHeight="1">
      <c r="A26" s="96" t="s">
        <v>56</v>
      </c>
      <c r="B26" s="271">
        <v>2.0</v>
      </c>
      <c r="C26" s="272">
        <v>958325.0</v>
      </c>
      <c r="D26" s="273" t="s">
        <v>128</v>
      </c>
      <c r="J26" s="273">
        <v>3.0</v>
      </c>
      <c r="K26" s="274" t="s">
        <v>124</v>
      </c>
      <c r="L26" s="198" t="s">
        <v>91</v>
      </c>
      <c r="M26" s="268" t="s">
        <v>129</v>
      </c>
      <c r="N26" s="180">
        <f>47+13</f>
        <v>60</v>
      </c>
      <c r="O26" s="269" t="s">
        <v>130</v>
      </c>
      <c r="P26" s="270"/>
      <c r="S26" s="183"/>
      <c r="T26" s="183"/>
      <c r="U26" s="183"/>
      <c r="V26" s="183"/>
      <c r="W26" s="183"/>
      <c r="X26" s="183"/>
      <c r="Y26" s="193"/>
      <c r="Z26" s="193"/>
      <c r="AA26" s="193"/>
      <c r="AB26" s="193"/>
      <c r="AC26" s="194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</row>
    <row r="27">
      <c r="A27" s="96" t="s">
        <v>56</v>
      </c>
      <c r="B27" s="275">
        <v>3.0</v>
      </c>
      <c r="C27" s="276">
        <v>958331.0</v>
      </c>
      <c r="D27" s="277" t="s">
        <v>131</v>
      </c>
      <c r="J27" s="277">
        <v>3.0</v>
      </c>
      <c r="K27" s="278" t="s">
        <v>124</v>
      </c>
      <c r="L27" s="198" t="s">
        <v>132</v>
      </c>
      <c r="M27" s="268" t="s">
        <v>133</v>
      </c>
      <c r="N27" s="180" t="s">
        <v>134</v>
      </c>
      <c r="O27" s="269" t="s">
        <v>130</v>
      </c>
      <c r="P27" s="270"/>
      <c r="S27" s="279"/>
      <c r="T27" s="280" t="s">
        <v>135</v>
      </c>
      <c r="U27" s="279"/>
      <c r="V27" s="279"/>
      <c r="W27" s="279"/>
      <c r="X27" s="279"/>
      <c r="Y27" s="279"/>
      <c r="Z27" s="279"/>
      <c r="AA27" s="279"/>
      <c r="AB27" s="279"/>
      <c r="AC27" s="215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</row>
    <row r="28" ht="18.75" customHeight="1">
      <c r="B28" s="134" t="s">
        <v>100</v>
      </c>
      <c r="D28" s="281" t="s">
        <v>99</v>
      </c>
      <c r="E28" s="282"/>
      <c r="J28" s="282">
        <v>6.0</v>
      </c>
      <c r="K28" s="283"/>
      <c r="L28" s="225"/>
      <c r="M28" s="268"/>
      <c r="N28" s="180"/>
      <c r="O28" s="284"/>
      <c r="P28" s="270"/>
      <c r="R28" s="231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208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</row>
    <row r="29" ht="18.75" customHeight="1">
      <c r="A29" s="96" t="s">
        <v>56</v>
      </c>
      <c r="B29" s="285" t="s">
        <v>22</v>
      </c>
      <c r="C29" s="286">
        <v>958341.0</v>
      </c>
      <c r="D29" s="287" t="s">
        <v>136</v>
      </c>
      <c r="J29" s="287">
        <v>3.0</v>
      </c>
      <c r="K29" s="288" t="s">
        <v>124</v>
      </c>
      <c r="L29" s="225" t="s">
        <v>125</v>
      </c>
      <c r="M29" s="268" t="s">
        <v>137</v>
      </c>
      <c r="N29" s="180">
        <v>30.0</v>
      </c>
      <c r="O29" s="284" t="s">
        <v>138</v>
      </c>
      <c r="P29" s="270"/>
      <c r="R29" s="231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208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</row>
    <row r="30" ht="18.75" customHeight="1">
      <c r="A30" s="96" t="s">
        <v>56</v>
      </c>
      <c r="B30" s="289">
        <v>4.0</v>
      </c>
      <c r="C30" s="290">
        <v>958481.0</v>
      </c>
      <c r="D30" s="291" t="s">
        <v>22</v>
      </c>
      <c r="J30" s="291">
        <v>3.0</v>
      </c>
      <c r="K30" s="292" t="s">
        <v>139</v>
      </c>
      <c r="L30" s="225" t="s">
        <v>125</v>
      </c>
      <c r="M30" s="268" t="s">
        <v>137</v>
      </c>
      <c r="N30" s="180">
        <v>30.0</v>
      </c>
      <c r="O30" s="284" t="s">
        <v>140</v>
      </c>
      <c r="P30" s="270"/>
      <c r="R30" s="231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208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</row>
    <row r="31" ht="18.75" customHeight="1">
      <c r="A31" s="96" t="s">
        <v>56</v>
      </c>
      <c r="B31" s="293">
        <v>5.0</v>
      </c>
      <c r="C31" s="294">
        <v>958441.0</v>
      </c>
      <c r="D31" s="295" t="s">
        <v>141</v>
      </c>
      <c r="J31" s="295">
        <v>3.0</v>
      </c>
      <c r="K31" s="296" t="s">
        <v>124</v>
      </c>
      <c r="L31" s="225" t="s">
        <v>102</v>
      </c>
      <c r="M31" s="268" t="s">
        <v>142</v>
      </c>
      <c r="N31" s="180">
        <v>30.0</v>
      </c>
      <c r="O31" s="284"/>
      <c r="P31" s="270"/>
      <c r="R31" s="231"/>
      <c r="S31" s="297"/>
      <c r="T31" s="298" t="s">
        <v>143</v>
      </c>
      <c r="U31" s="297"/>
      <c r="V31" s="297"/>
      <c r="W31" s="297"/>
      <c r="X31" s="297"/>
      <c r="Y31" s="297"/>
      <c r="Z31" s="297"/>
      <c r="AA31" s="297"/>
      <c r="AB31" s="297"/>
      <c r="AC31" s="299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</row>
    <row r="32" ht="18.75" customHeight="1">
      <c r="A32" s="96" t="s">
        <v>144</v>
      </c>
      <c r="B32" s="300">
        <v>6.0</v>
      </c>
      <c r="C32" s="301">
        <v>958481.0</v>
      </c>
      <c r="D32" s="302" t="s">
        <v>145</v>
      </c>
      <c r="J32" s="302">
        <v>3.0</v>
      </c>
      <c r="K32" s="303" t="s">
        <v>124</v>
      </c>
      <c r="L32" s="225" t="s">
        <v>103</v>
      </c>
      <c r="M32" s="304" t="s">
        <v>146</v>
      </c>
      <c r="N32" s="180">
        <v>25.0</v>
      </c>
      <c r="O32" s="284"/>
      <c r="P32" s="270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208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</row>
    <row r="33" ht="18.75" customHeight="1">
      <c r="A33" s="96" t="s">
        <v>56</v>
      </c>
      <c r="B33" s="305">
        <v>7.0</v>
      </c>
      <c r="C33" s="306">
        <v>958481.0</v>
      </c>
      <c r="D33" s="307" t="s">
        <v>147</v>
      </c>
      <c r="J33" s="308">
        <v>3.0</v>
      </c>
      <c r="K33" s="309" t="s">
        <v>148</v>
      </c>
      <c r="L33" s="310" t="s">
        <v>98</v>
      </c>
      <c r="M33" s="304" t="s">
        <v>149</v>
      </c>
      <c r="N33" s="180">
        <v>59.0</v>
      </c>
      <c r="O33" s="284"/>
      <c r="P33" s="270"/>
      <c r="S33" s="311"/>
      <c r="T33" s="311"/>
      <c r="U33" s="311"/>
      <c r="V33" s="311"/>
      <c r="W33" s="311"/>
      <c r="X33" s="312" t="s">
        <v>150</v>
      </c>
      <c r="Y33" s="311"/>
      <c r="Z33" s="311"/>
      <c r="AA33" s="311"/>
      <c r="AB33" s="311"/>
      <c r="AC33" s="313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</row>
    <row r="34" ht="18.75" customHeight="1">
      <c r="A34" s="96" t="s">
        <v>56</v>
      </c>
      <c r="B34" s="314">
        <v>8.0</v>
      </c>
      <c r="C34" s="315">
        <v>951212.0</v>
      </c>
      <c r="D34" s="316" t="s">
        <v>151</v>
      </c>
      <c r="J34" s="316">
        <v>3.0</v>
      </c>
      <c r="K34" s="317" t="s">
        <v>124</v>
      </c>
      <c r="L34" s="225" t="s">
        <v>152</v>
      </c>
      <c r="M34" s="268" t="s">
        <v>153</v>
      </c>
      <c r="N34" s="180">
        <v>25.0</v>
      </c>
      <c r="O34" s="284"/>
      <c r="P34" s="270"/>
      <c r="S34" s="318"/>
      <c r="T34" s="182"/>
      <c r="U34" s="182"/>
      <c r="V34" s="182"/>
      <c r="W34" s="182"/>
      <c r="X34" s="182"/>
      <c r="Y34" s="182"/>
      <c r="Z34" s="182"/>
      <c r="AA34" s="182"/>
      <c r="AB34" s="182"/>
      <c r="AC34" s="208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</row>
    <row r="35" ht="18.75" customHeight="1">
      <c r="A35" s="134"/>
      <c r="B35" s="134"/>
      <c r="C35" s="136" t="s">
        <v>68</v>
      </c>
      <c r="E35" s="138"/>
      <c r="F35" s="138"/>
      <c r="G35" s="138"/>
      <c r="H35" s="138"/>
      <c r="I35" s="138"/>
      <c r="J35" s="138">
        <f>SUM(J25:J28)</f>
        <v>15</v>
      </c>
      <c r="L35" s="238"/>
      <c r="M35" s="103"/>
      <c r="N35" s="103"/>
      <c r="O35" s="103"/>
      <c r="P35" s="103"/>
      <c r="Q35" s="103"/>
      <c r="R35" s="103"/>
      <c r="S35" s="103"/>
      <c r="T35" s="90"/>
      <c r="U35" s="90"/>
      <c r="V35" s="90"/>
      <c r="W35" s="90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</row>
    <row r="36" ht="15.75" customHeight="1">
      <c r="A36" s="134"/>
      <c r="B36" s="134"/>
      <c r="C36" s="239" t="s">
        <v>106</v>
      </c>
      <c r="H36" s="220"/>
      <c r="I36" s="220"/>
      <c r="J36" s="134"/>
      <c r="K36" s="134"/>
      <c r="L36" s="90"/>
      <c r="M36" s="90"/>
      <c r="N36" s="90"/>
      <c r="O36" s="90"/>
      <c r="P36" s="90"/>
      <c r="Q36" s="103"/>
      <c r="R36" s="103"/>
      <c r="S36" s="103"/>
      <c r="T36" s="90"/>
      <c r="U36" s="90"/>
      <c r="V36" s="90"/>
      <c r="W36" s="90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</row>
    <row r="37" ht="18.75" customHeight="1">
      <c r="A37" s="134"/>
      <c r="B37" s="22"/>
      <c r="C37" s="240"/>
      <c r="D37" s="240"/>
      <c r="E37" s="240"/>
      <c r="F37" s="240"/>
      <c r="G37" s="240"/>
      <c r="H37" s="240"/>
      <c r="I37" s="240"/>
      <c r="J37" s="22"/>
      <c r="K37" s="22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</row>
    <row r="38" ht="18.75" customHeight="1">
      <c r="A38" s="22"/>
      <c r="B38" s="22"/>
      <c r="C38" s="240"/>
      <c r="D38" s="240"/>
      <c r="E38" s="240"/>
      <c r="F38" s="240"/>
      <c r="G38" s="240"/>
      <c r="H38" s="240"/>
      <c r="I38" s="240"/>
      <c r="J38" s="22"/>
      <c r="K38" s="22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ht="18.75" customHeight="1">
      <c r="A39" s="6"/>
      <c r="B39" s="6"/>
      <c r="C39" s="140"/>
      <c r="D39" s="140"/>
      <c r="E39" s="140"/>
      <c r="F39" s="140"/>
      <c r="G39" s="140"/>
      <c r="H39" s="140"/>
      <c r="I39" s="6"/>
      <c r="J39" s="22"/>
      <c r="K39" s="22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</row>
    <row r="40" ht="18.75" customHeight="1">
      <c r="A40" s="22"/>
      <c r="B40" s="6"/>
      <c r="C40" s="6"/>
      <c r="D40" s="6"/>
      <c r="E40" s="6"/>
      <c r="F40" s="6"/>
      <c r="G40" s="6"/>
      <c r="H40" s="6"/>
      <c r="I40" s="6"/>
      <c r="J40" s="22"/>
      <c r="K40" s="22"/>
      <c r="L40" s="22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</row>
    <row r="41" ht="14.25" customHeight="1">
      <c r="A41" s="241"/>
      <c r="B41" s="241"/>
      <c r="C41" s="241"/>
      <c r="D41" s="241"/>
      <c r="E41" s="241"/>
      <c r="F41" s="241"/>
      <c r="G41" s="241"/>
      <c r="H41" s="241"/>
      <c r="I41" s="241"/>
      <c r="J41" s="22"/>
      <c r="K41" s="22"/>
      <c r="L41" s="22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</row>
    <row r="42" ht="14.25" customHeight="1">
      <c r="A42" s="241"/>
      <c r="B42" s="241"/>
      <c r="C42" s="241"/>
      <c r="D42" s="241"/>
      <c r="E42" s="241"/>
      <c r="F42" s="241"/>
      <c r="G42" s="241"/>
      <c r="H42" s="241"/>
      <c r="I42" s="241"/>
      <c r="J42" s="22"/>
      <c r="K42" s="22"/>
      <c r="L42" s="22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</row>
    <row r="43" ht="14.25" customHeight="1">
      <c r="A43" s="241"/>
      <c r="B43" s="241"/>
      <c r="C43" s="319" t="s">
        <v>154</v>
      </c>
      <c r="D43" s="320" t="str">
        <f>C25 &amp; " " &amp; D25</f>
        <v>958321 Game Development 3</v>
      </c>
      <c r="E43" s="241"/>
      <c r="F43" s="241"/>
      <c r="G43" s="241"/>
      <c r="H43" s="241"/>
      <c r="I43" s="241"/>
      <c r="J43" s="22"/>
      <c r="K43" s="22"/>
      <c r="L43" s="22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22"/>
      <c r="K44" s="22"/>
      <c r="L44" s="22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22"/>
      <c r="K45" s="22"/>
      <c r="L45" s="22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22"/>
      <c r="K46" s="22"/>
      <c r="L46" s="22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22"/>
      <c r="K47" s="22"/>
      <c r="L47" s="22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22"/>
      <c r="K48" s="22"/>
      <c r="L48" s="22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22"/>
      <c r="K49" s="22"/>
      <c r="L49" s="22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22"/>
      <c r="K50" s="22"/>
      <c r="L50" s="22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22"/>
      <c r="K51" s="22"/>
      <c r="L51" s="22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22"/>
      <c r="K52" s="22"/>
      <c r="L52" s="22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</row>
    <row r="75" ht="15.75" customHeight="1">
      <c r="A75" s="140"/>
      <c r="B75" s="140"/>
      <c r="C75" s="140"/>
      <c r="D75" s="140"/>
      <c r="E75" s="140"/>
      <c r="F75" s="140"/>
      <c r="G75" s="140"/>
      <c r="H75" s="140"/>
      <c r="I75" s="140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</row>
    <row r="76" ht="15.75" customHeight="1">
      <c r="A76" s="140"/>
      <c r="B76" s="140"/>
      <c r="C76" s="140"/>
      <c r="D76" s="140"/>
      <c r="E76" s="140"/>
      <c r="F76" s="140"/>
      <c r="G76" s="140"/>
      <c r="H76" s="140"/>
      <c r="I76" s="140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</row>
    <row r="77" ht="15.75" customHeight="1">
      <c r="A77" s="140"/>
      <c r="B77" s="140"/>
      <c r="C77" s="140"/>
      <c r="D77" s="140"/>
      <c r="E77" s="140"/>
      <c r="F77" s="140"/>
      <c r="G77" s="140"/>
      <c r="H77" s="140"/>
      <c r="I77" s="140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</row>
    <row r="78" ht="15.75" customHeight="1">
      <c r="A78" s="140"/>
      <c r="B78" s="140"/>
      <c r="C78" s="140"/>
      <c r="D78" s="140"/>
      <c r="E78" s="140"/>
      <c r="F78" s="140"/>
      <c r="G78" s="140"/>
      <c r="H78" s="140"/>
      <c r="I78" s="140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</row>
    <row r="79" ht="15.75" customHeight="1">
      <c r="A79" s="140"/>
      <c r="B79" s="140"/>
      <c r="C79" s="140"/>
      <c r="D79" s="140"/>
      <c r="E79" s="140"/>
      <c r="F79" s="140"/>
      <c r="G79" s="140"/>
      <c r="H79" s="140"/>
      <c r="I79" s="140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</row>
    <row r="80" ht="15.75" customHeight="1">
      <c r="A80" s="140"/>
      <c r="B80" s="140"/>
      <c r="C80" s="140"/>
      <c r="D80" s="140"/>
      <c r="E80" s="140"/>
      <c r="F80" s="140"/>
      <c r="G80" s="140"/>
      <c r="H80" s="140"/>
      <c r="I80" s="140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</row>
    <row r="81" ht="15.75" customHeight="1">
      <c r="A81" s="140"/>
      <c r="B81" s="140"/>
      <c r="C81" s="140"/>
      <c r="D81" s="140"/>
      <c r="E81" s="140"/>
      <c r="F81" s="140"/>
      <c r="G81" s="140"/>
      <c r="H81" s="140"/>
      <c r="I81" s="140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</row>
    <row r="82" ht="15.75" customHeight="1">
      <c r="A82" s="140"/>
      <c r="B82" s="140"/>
      <c r="C82" s="140"/>
      <c r="D82" s="140"/>
      <c r="E82" s="140"/>
      <c r="F82" s="140"/>
      <c r="G82" s="140"/>
      <c r="H82" s="140"/>
      <c r="I82" s="140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</row>
    <row r="83" ht="15.75" customHeight="1">
      <c r="A83" s="140"/>
      <c r="B83" s="140"/>
      <c r="C83" s="140"/>
      <c r="D83" s="140"/>
      <c r="E83" s="140"/>
      <c r="F83" s="140"/>
      <c r="G83" s="140"/>
      <c r="H83" s="140"/>
      <c r="I83" s="140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</row>
    <row r="84" ht="15.75" customHeight="1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</row>
    <row r="85" ht="15.75" customHeight="1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</row>
    <row r="86" ht="15.75" customHeight="1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</row>
    <row r="87" ht="15.75" customHeight="1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</row>
    <row r="88" ht="15.75" customHeight="1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</row>
    <row r="89" ht="15.75" customHeight="1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</row>
    <row r="90" ht="15.75" customHeight="1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</row>
    <row r="91" ht="15.75" customHeight="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</row>
    <row r="92" ht="15.75" customHeight="1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</row>
    <row r="93" ht="15.75" customHeight="1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</row>
    <row r="94" ht="15.75" customHeight="1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</row>
    <row r="95" ht="15.75" customHeight="1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</row>
    <row r="96" ht="15.75" customHeight="1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</row>
    <row r="97" ht="15.75" customHeight="1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</row>
    <row r="98" ht="15.75" customHeight="1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</row>
    <row r="99" ht="15.75" customHeight="1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</row>
    <row r="100" ht="15.75" customHeight="1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</row>
    <row r="101" ht="15.75" customHeight="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</row>
    <row r="102" ht="15.7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</row>
    <row r="103" ht="15.75" customHeight="1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</row>
    <row r="104" ht="15.75" customHeight="1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</row>
    <row r="105" ht="15.75" customHeight="1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</row>
    <row r="106" ht="15.75" customHeight="1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</row>
    <row r="107" ht="15.75" customHeight="1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</row>
    <row r="108" ht="15.75" customHeight="1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</row>
    <row r="109" ht="15.75" customHeight="1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</row>
    <row r="110" ht="15.75" customHeight="1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</row>
    <row r="111" ht="15.75" customHeight="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</row>
    <row r="112" ht="15.75" customHeight="1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</row>
    <row r="113" ht="15.75" customHeight="1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</row>
    <row r="114" ht="15.75" customHeight="1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</row>
    <row r="115" ht="15.75" customHeight="1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</row>
    <row r="116" ht="15.75" customHeight="1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</row>
    <row r="117" ht="15.75" customHeight="1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</row>
    <row r="118" ht="15.75" customHeight="1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</row>
    <row r="119" ht="15.75" customHeight="1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</row>
    <row r="120" ht="15.75" customHeight="1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</row>
    <row r="121" ht="15.75" customHeight="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</row>
    <row r="122" ht="15.75" customHeight="1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</row>
    <row r="123" ht="15.75" customHeight="1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</row>
    <row r="124" ht="15.75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</row>
    <row r="125" ht="15.75" customHeight="1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</row>
    <row r="126" ht="15.75" customHeight="1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</row>
    <row r="127" ht="15.75" customHeight="1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</row>
    <row r="128" ht="15.7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</row>
    <row r="129" ht="15.75" customHeight="1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</row>
    <row r="130" ht="15.75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</row>
    <row r="131" ht="15.75" customHeight="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</row>
    <row r="132" ht="15.75" customHeight="1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</row>
    <row r="133" ht="15.75" customHeight="1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</row>
    <row r="134" ht="15.75" customHeight="1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</row>
    <row r="135" ht="15.75" customHeight="1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</row>
    <row r="136" ht="15.75" customHeight="1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</row>
    <row r="137" ht="15.75" customHeight="1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</row>
    <row r="138" ht="15.75" customHeight="1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</row>
    <row r="139" ht="15.75" customHeight="1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</row>
    <row r="140" ht="15.75" customHeight="1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</row>
    <row r="141" ht="15.75" customHeight="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</row>
    <row r="142" ht="15.75" customHeight="1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</row>
    <row r="143" ht="15.75" customHeight="1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</row>
    <row r="144" ht="15.75" customHeight="1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</row>
    <row r="145" ht="15.75" customHeight="1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</row>
    <row r="146" ht="15.75" customHeight="1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</row>
    <row r="147" ht="15.75" customHeight="1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</row>
    <row r="148" ht="15.75" customHeight="1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</row>
    <row r="149" ht="15.75" customHeight="1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</row>
    <row r="150" ht="15.75" customHeight="1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</row>
    <row r="151" ht="15.75" customHeight="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</row>
    <row r="152" ht="15.75" customHeight="1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</row>
    <row r="153" ht="15.75" customHeight="1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</row>
    <row r="154" ht="15.75" customHeight="1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</row>
    <row r="155" ht="15.75" customHeight="1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</row>
    <row r="156" ht="15.75" customHeight="1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</row>
    <row r="157" ht="15.75" customHeight="1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</row>
    <row r="158" ht="15.75" customHeight="1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</row>
    <row r="159" ht="15.75" customHeight="1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</row>
    <row r="160" ht="15.75" customHeight="1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</row>
    <row r="161" ht="15.75" customHeight="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</row>
    <row r="162" ht="15.75" customHeight="1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</row>
    <row r="163" ht="15.75" customHeight="1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</row>
    <row r="164" ht="15.75" customHeight="1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</row>
    <row r="165" ht="15.7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</row>
    <row r="166" ht="15.75" customHeight="1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</row>
    <row r="167" ht="15.75" customHeight="1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</row>
    <row r="168" ht="15.75" customHeight="1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</row>
    <row r="169" ht="15.75" customHeight="1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</row>
    <row r="170" ht="15.75" customHeight="1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</row>
    <row r="171" ht="15.75" customHeight="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</row>
    <row r="172" ht="15.75" customHeight="1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</row>
    <row r="173" ht="15.75" customHeight="1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</row>
    <row r="174" ht="15.75" customHeight="1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</row>
    <row r="175" ht="15.75" customHeight="1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</row>
    <row r="176" ht="15.75" customHeight="1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</row>
    <row r="177" ht="15.75" customHeight="1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</row>
    <row r="178" ht="15.75" customHeight="1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</row>
    <row r="179" ht="15.75" customHeight="1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140"/>
    </row>
    <row r="180" ht="15.75" customHeight="1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140"/>
    </row>
    <row r="181" ht="15.75" customHeight="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140"/>
    </row>
    <row r="182" ht="15.75" customHeight="1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140"/>
    </row>
    <row r="183" ht="15.75" customHeight="1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140"/>
    </row>
    <row r="184" ht="15.75" customHeight="1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140"/>
    </row>
    <row r="185" ht="15.75" customHeight="1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</row>
    <row r="186" ht="15.75" customHeight="1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</row>
    <row r="187" ht="15.75" customHeight="1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140"/>
    </row>
    <row r="188" ht="15.75" customHeight="1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140"/>
    </row>
    <row r="189" ht="15.75" customHeight="1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ht="15.75" customHeight="1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ht="15.75" customHeight="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</row>
    <row r="192" ht="15.75" customHeight="1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</row>
    <row r="193" ht="15.75" customHeight="1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</row>
    <row r="194" ht="15.75" customHeight="1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</row>
    <row r="195" ht="15.75" customHeight="1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</row>
    <row r="196" ht="15.75" customHeight="1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</row>
    <row r="197" ht="15.75" customHeight="1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</row>
    <row r="198" ht="15.75" customHeight="1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</row>
    <row r="199" ht="15.75" customHeight="1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</row>
    <row r="200" ht="15.75" customHeight="1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</row>
    <row r="201" ht="15.75" customHeight="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140"/>
    </row>
    <row r="202" ht="15.75" customHeight="1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140"/>
    </row>
    <row r="203" ht="15.75" customHeight="1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</row>
    <row r="204" ht="15.75" customHeight="1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  <c r="AJ204" s="140"/>
      <c r="AK204" s="140"/>
      <c r="AL204" s="140"/>
      <c r="AM204" s="140"/>
      <c r="AN204" s="140"/>
      <c r="AO204" s="140"/>
      <c r="AP204" s="140"/>
    </row>
    <row r="205" ht="15.75" customHeight="1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  <c r="AJ205" s="140"/>
      <c r="AK205" s="140"/>
      <c r="AL205" s="140"/>
      <c r="AM205" s="140"/>
      <c r="AN205" s="140"/>
      <c r="AO205" s="140"/>
      <c r="AP205" s="140"/>
    </row>
    <row r="206" ht="15.75" customHeight="1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  <c r="AJ206" s="140"/>
      <c r="AK206" s="140"/>
      <c r="AL206" s="140"/>
      <c r="AM206" s="140"/>
      <c r="AN206" s="140"/>
      <c r="AO206" s="140"/>
      <c r="AP206" s="140"/>
    </row>
    <row r="207" ht="15.75" customHeight="1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140"/>
    </row>
    <row r="208" ht="15.75" customHeight="1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140"/>
    </row>
    <row r="209" ht="15.75" customHeight="1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  <c r="AJ209" s="140"/>
      <c r="AK209" s="140"/>
      <c r="AL209" s="140"/>
      <c r="AM209" s="140"/>
      <c r="AN209" s="140"/>
      <c r="AO209" s="140"/>
      <c r="AP209" s="140"/>
    </row>
    <row r="210" ht="15.75" customHeight="1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140"/>
    </row>
    <row r="211" ht="15.75" customHeight="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  <c r="AJ211" s="140"/>
      <c r="AK211" s="140"/>
      <c r="AL211" s="140"/>
      <c r="AM211" s="140"/>
      <c r="AN211" s="140"/>
      <c r="AO211" s="140"/>
      <c r="AP211" s="140"/>
    </row>
    <row r="212" ht="15.75" customHeight="1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  <c r="AJ212" s="140"/>
      <c r="AK212" s="140"/>
      <c r="AL212" s="140"/>
      <c r="AM212" s="140"/>
      <c r="AN212" s="140"/>
      <c r="AO212" s="140"/>
      <c r="AP212" s="140"/>
    </row>
    <row r="213" ht="15.75" customHeight="1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140"/>
    </row>
    <row r="214" ht="15.75" customHeight="1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  <c r="AJ214" s="140"/>
      <c r="AK214" s="140"/>
      <c r="AL214" s="140"/>
      <c r="AM214" s="140"/>
      <c r="AN214" s="140"/>
      <c r="AO214" s="140"/>
      <c r="AP214" s="140"/>
    </row>
    <row r="215" ht="15.75" customHeight="1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140"/>
    </row>
    <row r="216" ht="15.75" customHeight="1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140"/>
    </row>
    <row r="217" ht="15.7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140"/>
    </row>
    <row r="218" ht="15.75" customHeight="1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140"/>
    </row>
    <row r="219" ht="15.7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40"/>
      <c r="AP219" s="140"/>
    </row>
    <row r="220" ht="15.75" customHeight="1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  <c r="AJ220" s="140"/>
      <c r="AK220" s="140"/>
      <c r="AL220" s="140"/>
      <c r="AM220" s="140"/>
      <c r="AN220" s="140"/>
      <c r="AO220" s="140"/>
      <c r="AP220" s="140"/>
    </row>
    <row r="221" ht="15.75" customHeight="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140"/>
    </row>
    <row r="222" ht="15.75" customHeight="1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40"/>
      <c r="AP222" s="140"/>
    </row>
    <row r="223" ht="15.75" customHeight="1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  <c r="AJ223" s="140"/>
      <c r="AK223" s="140"/>
      <c r="AL223" s="140"/>
      <c r="AM223" s="140"/>
      <c r="AN223" s="140"/>
      <c r="AO223" s="140"/>
      <c r="AP223" s="140"/>
    </row>
    <row r="224" ht="15.7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140"/>
    </row>
    <row r="225" ht="15.75" customHeight="1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140"/>
    </row>
    <row r="226" ht="15.75" customHeight="1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140"/>
    </row>
    <row r="227" ht="15.75" customHeight="1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140"/>
    </row>
    <row r="228" ht="15.75" customHeight="1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40"/>
      <c r="AH228" s="140"/>
      <c r="AI228" s="140"/>
      <c r="AJ228" s="140"/>
      <c r="AK228" s="140"/>
      <c r="AL228" s="140"/>
      <c r="AM228" s="140"/>
      <c r="AN228" s="140"/>
      <c r="AO228" s="140"/>
      <c r="AP228" s="140"/>
    </row>
    <row r="229" ht="15.75" customHeight="1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</row>
    <row r="230" ht="15.75" customHeight="1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  <c r="AJ230" s="140"/>
      <c r="AK230" s="140"/>
      <c r="AL230" s="140"/>
      <c r="AM230" s="140"/>
      <c r="AN230" s="140"/>
      <c r="AO230" s="140"/>
      <c r="AP230" s="140"/>
    </row>
    <row r="231" ht="15.75" customHeight="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40"/>
      <c r="AH231" s="140"/>
      <c r="AI231" s="140"/>
      <c r="AJ231" s="140"/>
      <c r="AK231" s="140"/>
      <c r="AL231" s="140"/>
      <c r="AM231" s="140"/>
      <c r="AN231" s="140"/>
      <c r="AO231" s="140"/>
      <c r="AP231" s="140"/>
    </row>
    <row r="232" ht="15.75" customHeight="1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0"/>
      <c r="AD232" s="140"/>
      <c r="AE232" s="140"/>
      <c r="AF232" s="140"/>
      <c r="AG232" s="140"/>
      <c r="AH232" s="140"/>
      <c r="AI232" s="140"/>
      <c r="AJ232" s="140"/>
      <c r="AK232" s="140"/>
      <c r="AL232" s="140"/>
      <c r="AM232" s="140"/>
      <c r="AN232" s="140"/>
      <c r="AO232" s="140"/>
      <c r="AP232" s="140"/>
    </row>
    <row r="233" ht="15.75" customHeight="1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140"/>
    </row>
    <row r="234" ht="15.75" customHeight="1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  <c r="AA234" s="140"/>
      <c r="AB234" s="140"/>
      <c r="AC234" s="140"/>
      <c r="AD234" s="140"/>
      <c r="AE234" s="140"/>
      <c r="AF234" s="140"/>
      <c r="AG234" s="140"/>
      <c r="AH234" s="140"/>
      <c r="AI234" s="140"/>
      <c r="AJ234" s="140"/>
      <c r="AK234" s="140"/>
      <c r="AL234" s="140"/>
      <c r="AM234" s="140"/>
      <c r="AN234" s="140"/>
      <c r="AO234" s="140"/>
      <c r="AP234" s="140"/>
    </row>
    <row r="235" ht="15.75" customHeight="1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  <c r="AA235" s="140"/>
      <c r="AB235" s="140"/>
      <c r="AC235" s="140"/>
      <c r="AD235" s="140"/>
      <c r="AE235" s="140"/>
      <c r="AF235" s="140"/>
      <c r="AG235" s="140"/>
      <c r="AH235" s="140"/>
      <c r="AI235" s="140"/>
      <c r="AJ235" s="140"/>
      <c r="AK235" s="140"/>
      <c r="AL235" s="140"/>
      <c r="AM235" s="140"/>
      <c r="AN235" s="140"/>
      <c r="AO235" s="140"/>
      <c r="AP235" s="140"/>
    </row>
    <row r="236" ht="15.75" customHeight="1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  <c r="AA236" s="140"/>
      <c r="AB236" s="140"/>
      <c r="AC236" s="140"/>
      <c r="AD236" s="140"/>
      <c r="AE236" s="140"/>
      <c r="AF236" s="140"/>
      <c r="AG236" s="140"/>
      <c r="AH236" s="140"/>
      <c r="AI236" s="140"/>
      <c r="AJ236" s="140"/>
      <c r="AK236" s="140"/>
      <c r="AL236" s="140"/>
      <c r="AM236" s="140"/>
      <c r="AN236" s="140"/>
      <c r="AO236" s="140"/>
      <c r="AP236" s="14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57">
    <mergeCell ref="D15:K16"/>
    <mergeCell ref="P15:R16"/>
    <mergeCell ref="A11:A12"/>
    <mergeCell ref="L11:Q12"/>
    <mergeCell ref="A13:A16"/>
    <mergeCell ref="E13:J14"/>
    <mergeCell ref="L13:M14"/>
    <mergeCell ref="N13:U14"/>
    <mergeCell ref="B15:C16"/>
    <mergeCell ref="AB23:AB24"/>
    <mergeCell ref="AC23:AC24"/>
    <mergeCell ref="A17:A18"/>
    <mergeCell ref="L17:Q18"/>
    <mergeCell ref="S23:U23"/>
    <mergeCell ref="V23:W23"/>
    <mergeCell ref="X23:Y23"/>
    <mergeCell ref="Z23:Z24"/>
    <mergeCell ref="AA23:AA24"/>
    <mergeCell ref="N4:O4"/>
    <mergeCell ref="P4:Q4"/>
    <mergeCell ref="R4:S4"/>
    <mergeCell ref="T4:U4"/>
    <mergeCell ref="X4:Y4"/>
    <mergeCell ref="Z4:AA4"/>
    <mergeCell ref="AB4:AC4"/>
    <mergeCell ref="A1:W1"/>
    <mergeCell ref="A2:W2"/>
    <mergeCell ref="G3:N3"/>
    <mergeCell ref="B4:C4"/>
    <mergeCell ref="D4:E4"/>
    <mergeCell ref="F4:G4"/>
    <mergeCell ref="H4:I4"/>
    <mergeCell ref="V4:W4"/>
    <mergeCell ref="L7:M8"/>
    <mergeCell ref="N7:U8"/>
    <mergeCell ref="E9:J10"/>
    <mergeCell ref="L9:Q10"/>
    <mergeCell ref="J4:K4"/>
    <mergeCell ref="L4:M4"/>
    <mergeCell ref="A5:A6"/>
    <mergeCell ref="E5:J6"/>
    <mergeCell ref="L5:Q6"/>
    <mergeCell ref="A7:A10"/>
    <mergeCell ref="E7:J8"/>
    <mergeCell ref="D30:I30"/>
    <mergeCell ref="D31:I31"/>
    <mergeCell ref="D32:I32"/>
    <mergeCell ref="D33:I33"/>
    <mergeCell ref="D34:I34"/>
    <mergeCell ref="C36:G36"/>
    <mergeCell ref="E24:I24"/>
    <mergeCell ref="D25:I25"/>
    <mergeCell ref="D26:I26"/>
    <mergeCell ref="D27:I27"/>
    <mergeCell ref="B28:C28"/>
    <mergeCell ref="E28:I28"/>
    <mergeCell ref="D29:I29"/>
  </mergeCells>
  <printOptions/>
  <pageMargins bottom="0.75" footer="0.0" header="0.0" left="0.25" right="0.25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29"/>
    <col customWidth="1" min="4" max="4" width="15.86"/>
    <col customWidth="1" min="5" max="5" width="11.57"/>
    <col customWidth="1" min="6" max="11" width="10.29"/>
    <col customWidth="1" min="12" max="12" width="14.71"/>
    <col customWidth="1" min="13" max="14" width="10.29"/>
    <col customWidth="1" min="15" max="15" width="12.0"/>
    <col customWidth="1" min="16" max="23" width="7.57"/>
    <col customWidth="1" min="24" max="24" width="5.71"/>
    <col customWidth="1" min="25" max="25" width="9.57"/>
    <col customWidth="1" min="26" max="26" width="8.86"/>
    <col customWidth="1" min="27" max="27" width="10.0"/>
    <col customWidth="1" min="28" max="28" width="9.86"/>
    <col customWidth="1" min="29" max="30" width="5.71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155</v>
      </c>
      <c r="X1" s="141"/>
      <c r="Y1" s="142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9.5" customHeight="1">
      <c r="A2" s="5" t="s">
        <v>70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7"/>
      <c r="AN2" s="6"/>
      <c r="AO2" s="6"/>
      <c r="AP2" s="6"/>
    </row>
    <row r="3" ht="19.5" customHeight="1">
      <c r="A3" s="321" t="s">
        <v>156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/>
      <c r="AM3" s="7"/>
      <c r="AN3" s="6"/>
      <c r="AO3" s="6"/>
      <c r="AP3" s="6"/>
    </row>
    <row r="4" ht="19.5" customHeight="1">
      <c r="A4" s="11"/>
      <c r="B4" s="12" t="s">
        <v>3</v>
      </c>
      <c r="C4" s="13"/>
      <c r="D4" s="12" t="s">
        <v>4</v>
      </c>
      <c r="E4" s="13"/>
      <c r="F4" s="12" t="s">
        <v>5</v>
      </c>
      <c r="G4" s="13"/>
      <c r="H4" s="12" t="s">
        <v>6</v>
      </c>
      <c r="I4" s="13"/>
      <c r="J4" s="12" t="s">
        <v>7</v>
      </c>
      <c r="K4" s="13"/>
      <c r="L4" s="12" t="s">
        <v>8</v>
      </c>
      <c r="M4" s="13"/>
      <c r="N4" s="12" t="s">
        <v>9</v>
      </c>
      <c r="O4" s="13"/>
      <c r="P4" s="12" t="s">
        <v>10</v>
      </c>
      <c r="Q4" s="19"/>
      <c r="R4" s="16" t="s">
        <v>11</v>
      </c>
      <c r="S4" s="29"/>
      <c r="T4" s="16" t="s">
        <v>12</v>
      </c>
      <c r="U4" s="17"/>
      <c r="V4" s="12" t="s">
        <v>13</v>
      </c>
      <c r="W4" s="13"/>
      <c r="X4" s="143"/>
      <c r="Z4" s="21"/>
      <c r="AB4" s="21"/>
      <c r="AD4" s="22"/>
      <c r="AE4" s="22"/>
      <c r="AF4" s="6"/>
      <c r="AG4" s="6"/>
      <c r="AH4" s="6"/>
      <c r="AI4" s="6"/>
      <c r="AJ4" s="6"/>
      <c r="AK4" s="6"/>
      <c r="AL4" s="7"/>
      <c r="AM4" s="7"/>
      <c r="AN4" s="6"/>
      <c r="AO4" s="6"/>
      <c r="AP4" s="6"/>
    </row>
    <row r="5" ht="28.5" customHeight="1">
      <c r="A5" s="23" t="s">
        <v>14</v>
      </c>
      <c r="L5" s="322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4"/>
      <c r="X5" s="150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6"/>
      <c r="AO5" s="6"/>
      <c r="AP5" s="6"/>
    </row>
    <row r="6" ht="45.75" customHeight="1">
      <c r="A6" s="35"/>
      <c r="B6" s="52"/>
      <c r="C6" s="52"/>
      <c r="D6" s="52"/>
      <c r="E6" s="52"/>
      <c r="F6" s="52"/>
      <c r="G6" s="52"/>
      <c r="H6" s="52"/>
      <c r="I6" s="52"/>
      <c r="J6" s="52"/>
      <c r="K6" s="52"/>
      <c r="L6" s="325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7"/>
      <c r="X6" s="150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7"/>
      <c r="AM6" s="7"/>
      <c r="AN6" s="6"/>
      <c r="AO6" s="6"/>
      <c r="AP6" s="6"/>
    </row>
    <row r="7" ht="28.5" customHeight="1">
      <c r="A7" s="42" t="s">
        <v>19</v>
      </c>
      <c r="B7" s="70"/>
      <c r="C7" s="46"/>
      <c r="D7" s="46"/>
      <c r="E7" s="46"/>
      <c r="F7" s="46"/>
      <c r="G7" s="46"/>
      <c r="H7" s="46"/>
      <c r="I7" s="46"/>
      <c r="J7" s="46"/>
      <c r="K7" s="46"/>
      <c r="L7" s="328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30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7"/>
      <c r="AM7" s="7"/>
      <c r="AN7" s="6"/>
      <c r="AO7" s="6"/>
      <c r="AP7" s="6"/>
    </row>
    <row r="8" ht="28.5" customHeight="1">
      <c r="A8" s="35"/>
      <c r="B8" s="75"/>
      <c r="C8" s="60"/>
      <c r="D8" s="60"/>
      <c r="E8" s="60"/>
      <c r="F8" s="60"/>
      <c r="G8" s="60"/>
      <c r="H8" s="60"/>
      <c r="I8" s="60"/>
      <c r="J8" s="60"/>
      <c r="K8" s="60"/>
      <c r="L8" s="33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332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6"/>
    </row>
    <row r="9" ht="28.5" customHeight="1">
      <c r="A9" s="61" t="s">
        <v>23</v>
      </c>
      <c r="B9" s="62"/>
      <c r="C9" s="32"/>
      <c r="D9" s="32"/>
      <c r="E9" s="32"/>
      <c r="F9" s="32"/>
      <c r="G9" s="32"/>
      <c r="H9" s="32"/>
      <c r="I9" s="32"/>
      <c r="J9" s="32"/>
      <c r="K9" s="33"/>
      <c r="V9" s="32"/>
      <c r="W9" s="33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6"/>
    </row>
    <row r="10" ht="28.5" customHeight="1">
      <c r="A10" s="35"/>
      <c r="B10" s="64"/>
      <c r="C10" s="40"/>
      <c r="D10" s="40"/>
      <c r="E10" s="40"/>
      <c r="F10" s="40"/>
      <c r="G10" s="40"/>
      <c r="H10" s="40"/>
      <c r="I10" s="40"/>
      <c r="J10" s="40"/>
      <c r="K10" s="41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40"/>
      <c r="W10" s="41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7"/>
      <c r="AN10" s="6"/>
      <c r="AO10" s="6"/>
      <c r="AP10" s="6"/>
    </row>
    <row r="11" ht="36.0" customHeight="1">
      <c r="A11" s="65" t="s">
        <v>24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72" t="str">
        <f>C23 &amp; "/001 
" &amp; D23 &amp; " 
" &amp;L23 &amp; "
" &amp; N23 &amp; " คน
"</f>
        <v>958491/001 
Work integrated Lerning for Digital Game 1 
อ. เกียรติกร
45 คน
</v>
      </c>
      <c r="M11" s="29"/>
      <c r="N11" s="72"/>
      <c r="O11" s="27"/>
      <c r="P11" s="27"/>
      <c r="Q11" s="27"/>
      <c r="R11" s="27"/>
      <c r="S11" s="27"/>
      <c r="T11" s="27"/>
      <c r="U11" s="29"/>
      <c r="V11" s="66"/>
      <c r="W11" s="67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6"/>
    </row>
    <row r="12" ht="47.25" customHeight="1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37"/>
      <c r="M12" s="38"/>
      <c r="N12" s="37"/>
      <c r="O12" s="10"/>
      <c r="P12" s="10"/>
      <c r="Q12" s="10"/>
      <c r="R12" s="10"/>
      <c r="S12" s="10"/>
      <c r="T12" s="10"/>
      <c r="U12" s="38"/>
      <c r="V12" s="51"/>
      <c r="W12" s="68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6"/>
    </row>
    <row r="13" ht="24.0" customHeight="1">
      <c r="A13" s="48"/>
      <c r="B13" s="333"/>
      <c r="C13" s="334"/>
      <c r="D13" s="334"/>
      <c r="E13" s="334"/>
      <c r="F13" s="334"/>
      <c r="G13" s="334"/>
      <c r="H13" s="334"/>
      <c r="I13" s="334"/>
      <c r="J13" s="334"/>
      <c r="K13" s="335"/>
      <c r="W13" s="336"/>
      <c r="X13" s="159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6"/>
    </row>
    <row r="14" ht="42.0" customHeight="1">
      <c r="A14" s="35"/>
      <c r="B14" s="337"/>
      <c r="C14" s="338"/>
      <c r="D14" s="338"/>
      <c r="E14" s="338"/>
      <c r="F14" s="338"/>
      <c r="G14" s="338"/>
      <c r="H14" s="338"/>
      <c r="I14" s="338"/>
      <c r="J14" s="338"/>
      <c r="K14" s="339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340"/>
      <c r="X14" s="159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6"/>
    </row>
    <row r="15" ht="28.5" customHeight="1">
      <c r="A15" s="260" t="s">
        <v>27</v>
      </c>
      <c r="B15" s="70"/>
      <c r="C15" s="46"/>
      <c r="K15" s="341"/>
      <c r="R15" s="46"/>
      <c r="S15" s="46"/>
      <c r="T15" s="30"/>
      <c r="U15" s="66"/>
      <c r="V15" s="66"/>
      <c r="W15" s="67"/>
      <c r="X15" s="159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6"/>
    </row>
    <row r="16" ht="28.5" customHeight="1">
      <c r="A16" s="74"/>
      <c r="B16" s="75"/>
      <c r="C16" s="60"/>
      <c r="K16" s="342"/>
      <c r="L16" s="52"/>
      <c r="M16" s="52"/>
      <c r="N16" s="52"/>
      <c r="O16" s="52"/>
      <c r="P16" s="52"/>
      <c r="Q16" s="52"/>
      <c r="R16" s="60"/>
      <c r="S16" s="60"/>
      <c r="T16" s="39"/>
      <c r="U16" s="51"/>
      <c r="V16" s="51"/>
      <c r="W16" s="68"/>
      <c r="X16" s="159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7"/>
      <c r="AM16" s="7"/>
      <c r="AN16" s="6"/>
      <c r="AO16" s="6"/>
      <c r="AP16" s="6"/>
    </row>
    <row r="17" ht="19.5" customHeight="1">
      <c r="A17" s="76" t="s">
        <v>32</v>
      </c>
      <c r="B17" s="77"/>
      <c r="C17" s="78"/>
      <c r="D17" s="78"/>
      <c r="E17" s="78"/>
      <c r="F17" s="78"/>
      <c r="G17" s="78"/>
      <c r="H17" s="78"/>
      <c r="I17" s="78"/>
      <c r="J17" s="7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8"/>
      <c r="W17" s="79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7"/>
      <c r="AM17" s="7"/>
      <c r="AN17" s="6"/>
      <c r="AO17" s="6"/>
      <c r="AP17" s="6"/>
    </row>
    <row r="18" ht="19.5" customHeight="1">
      <c r="A18" s="76" t="s">
        <v>33</v>
      </c>
      <c r="B18" s="77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9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7"/>
      <c r="AN18" s="6"/>
      <c r="AO18" s="6"/>
      <c r="AP18" s="6"/>
    </row>
    <row r="19" ht="14.25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2"/>
      <c r="V19" s="2"/>
      <c r="W19" s="2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7"/>
      <c r="AN19" s="6"/>
      <c r="AO19" s="6"/>
      <c r="AP19" s="6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7"/>
      <c r="AM20" s="7"/>
      <c r="AN20" s="6"/>
      <c r="AO20" s="6"/>
      <c r="AP20" s="6"/>
    </row>
    <row r="21" ht="14.25" customHeight="1">
      <c r="A21" s="2"/>
      <c r="B21" s="58" t="s">
        <v>157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1" t="s">
        <v>34</v>
      </c>
      <c r="S21" s="82"/>
      <c r="T21" s="19"/>
      <c r="U21" s="83" t="s">
        <v>35</v>
      </c>
      <c r="V21" s="19"/>
      <c r="W21" s="81" t="s">
        <v>36</v>
      </c>
      <c r="X21" s="19"/>
      <c r="Y21" s="84" t="s">
        <v>37</v>
      </c>
      <c r="Z21" s="84" t="s">
        <v>38</v>
      </c>
      <c r="AA21" s="84" t="s">
        <v>39</v>
      </c>
      <c r="AB21" s="84" t="s">
        <v>40</v>
      </c>
      <c r="AC21" s="6"/>
      <c r="AD21" s="6"/>
      <c r="AE21" s="6"/>
      <c r="AF21" s="6"/>
      <c r="AG21" s="6"/>
      <c r="AH21" s="6"/>
      <c r="AI21" s="6"/>
      <c r="AJ21" s="6"/>
      <c r="AK21" s="6"/>
      <c r="AL21" s="7"/>
      <c r="AM21" s="7"/>
      <c r="AN21" s="6"/>
      <c r="AO21" s="6"/>
      <c r="AP21" s="6"/>
    </row>
    <row r="22" ht="18.75" customHeight="1">
      <c r="A22" s="103"/>
      <c r="B22" s="164" t="s">
        <v>44</v>
      </c>
      <c r="K22" s="164" t="s">
        <v>45</v>
      </c>
      <c r="L22" s="165" t="s">
        <v>84</v>
      </c>
      <c r="M22" s="165" t="s">
        <v>85</v>
      </c>
      <c r="N22" s="343" t="s">
        <v>158</v>
      </c>
      <c r="O22" s="164" t="s">
        <v>48</v>
      </c>
      <c r="R22" s="91" t="s">
        <v>49</v>
      </c>
      <c r="S22" s="91" t="s">
        <v>50</v>
      </c>
      <c r="T22" s="92" t="s">
        <v>51</v>
      </c>
      <c r="U22" s="93" t="s">
        <v>52</v>
      </c>
      <c r="V22" s="93" t="s">
        <v>53</v>
      </c>
      <c r="W22" s="92" t="s">
        <v>54</v>
      </c>
      <c r="X22" s="94" t="s">
        <v>55</v>
      </c>
      <c r="Y22" s="35"/>
      <c r="Z22" s="35"/>
      <c r="AA22" s="35"/>
      <c r="AB22" s="35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</row>
    <row r="23" ht="19.5" customHeight="1">
      <c r="A23" s="344"/>
      <c r="B23" s="264">
        <v>1.0</v>
      </c>
      <c r="C23" s="265">
        <v>958491.0</v>
      </c>
      <c r="D23" s="266" t="s">
        <v>159</v>
      </c>
      <c r="K23" s="266">
        <v>9.0</v>
      </c>
      <c r="L23" s="225" t="s">
        <v>160</v>
      </c>
      <c r="M23" s="225" t="s">
        <v>22</v>
      </c>
      <c r="N23" s="345">
        <v>45.0</v>
      </c>
      <c r="O23" s="231"/>
      <c r="P23" s="346"/>
      <c r="R23" s="183"/>
      <c r="S23" s="183"/>
      <c r="T23" s="183"/>
      <c r="U23" s="183"/>
      <c r="V23" s="183"/>
      <c r="W23" s="184"/>
      <c r="X23" s="185"/>
      <c r="Y23" s="185"/>
      <c r="Z23" s="186"/>
      <c r="AA23" s="186"/>
      <c r="AB23" s="187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ht="18.75" customHeight="1">
      <c r="A24" s="347"/>
      <c r="B24" s="348">
        <v>2.0</v>
      </c>
      <c r="C24" s="265">
        <v>958491.0</v>
      </c>
      <c r="D24" s="273"/>
      <c r="K24" s="273"/>
      <c r="L24" s="198" t="s">
        <v>161</v>
      </c>
      <c r="M24" s="225"/>
      <c r="N24" s="206"/>
      <c r="O24" s="231"/>
      <c r="P24" s="346"/>
      <c r="R24" s="183"/>
      <c r="S24" s="183"/>
      <c r="T24" s="183"/>
      <c r="U24" s="183"/>
      <c r="V24" s="183"/>
      <c r="W24" s="183"/>
      <c r="X24" s="193"/>
      <c r="Y24" s="193"/>
      <c r="Z24" s="193"/>
      <c r="AA24" s="193"/>
      <c r="AB24" s="19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</row>
    <row r="25" ht="18.75" customHeight="1">
      <c r="A25" s="134"/>
      <c r="B25" s="349">
        <v>3.0</v>
      </c>
      <c r="C25" s="265">
        <v>958491.0</v>
      </c>
      <c r="D25" s="277"/>
      <c r="K25" s="277"/>
      <c r="L25" s="198" t="s">
        <v>162</v>
      </c>
      <c r="M25" s="225"/>
      <c r="N25" s="206"/>
      <c r="O25" s="231"/>
      <c r="P25" s="346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</row>
    <row r="26" ht="18.75" customHeight="1">
      <c r="A26" s="134"/>
      <c r="B26" s="264">
        <v>4.0</v>
      </c>
      <c r="C26" s="265">
        <v>958491.0</v>
      </c>
      <c r="D26" s="291"/>
      <c r="K26" s="291"/>
      <c r="L26" s="225" t="s">
        <v>163</v>
      </c>
      <c r="M26" s="225"/>
      <c r="N26" s="206"/>
      <c r="O26" s="350"/>
      <c r="P26" s="346"/>
      <c r="R26" s="231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</row>
    <row r="27" ht="18.75" customHeight="1">
      <c r="A27" s="134"/>
      <c r="B27" s="348">
        <v>5.0</v>
      </c>
      <c r="C27" s="265">
        <v>958491.0</v>
      </c>
      <c r="D27" s="295"/>
      <c r="K27" s="295"/>
      <c r="L27" s="225" t="s">
        <v>164</v>
      </c>
      <c r="M27" s="225"/>
      <c r="N27" s="206"/>
      <c r="O27" s="350"/>
      <c r="P27" s="346"/>
      <c r="R27" s="231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</row>
    <row r="28" ht="18.75" customHeight="1">
      <c r="A28" s="134"/>
      <c r="B28" s="349">
        <v>6.0</v>
      </c>
      <c r="C28" s="265">
        <v>958491.0</v>
      </c>
      <c r="D28" s="308"/>
      <c r="K28" s="308"/>
      <c r="L28" s="225" t="s">
        <v>165</v>
      </c>
      <c r="M28" s="225"/>
      <c r="N28" s="206"/>
      <c r="O28" s="350"/>
      <c r="P28" s="346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</row>
    <row r="29" ht="18.75" customHeight="1">
      <c r="A29" s="134"/>
      <c r="B29" s="264">
        <v>7.0</v>
      </c>
      <c r="C29" s="265">
        <v>958491.0</v>
      </c>
      <c r="D29" s="351"/>
      <c r="K29" s="351"/>
      <c r="L29" s="225" t="s">
        <v>166</v>
      </c>
      <c r="M29" s="225"/>
      <c r="N29" s="206"/>
      <c r="O29" s="350"/>
      <c r="S29" s="35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</row>
    <row r="30" ht="18.75" customHeight="1">
      <c r="A30" s="134"/>
      <c r="B30" s="353">
        <v>8.0</v>
      </c>
      <c r="C30" s="265">
        <v>958491.0</v>
      </c>
      <c r="L30" s="354" t="s">
        <v>167</v>
      </c>
      <c r="M30" s="103"/>
      <c r="N30" s="103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</row>
    <row r="31" ht="18.75" customHeight="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90"/>
      <c r="M31" s="90"/>
      <c r="N31" s="90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</row>
    <row r="32" ht="18.75" customHeight="1">
      <c r="A32" s="134"/>
      <c r="B32" s="134"/>
      <c r="C32" s="55"/>
      <c r="D32" s="147"/>
      <c r="K32" s="55"/>
      <c r="L32" s="238"/>
      <c r="M32" s="103"/>
      <c r="N32" s="103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</row>
    <row r="33" ht="18.75" customHeight="1">
      <c r="A33" s="134"/>
      <c r="B33" s="134"/>
      <c r="C33" s="136" t="s">
        <v>68</v>
      </c>
      <c r="D33" s="236"/>
      <c r="K33" s="138">
        <f>SUM(K23:K32)</f>
        <v>9</v>
      </c>
      <c r="L33" s="238"/>
      <c r="M33" s="103"/>
      <c r="N33" s="103"/>
      <c r="O33" s="103"/>
      <c r="P33" s="103"/>
      <c r="Q33" s="103"/>
      <c r="R33" s="103"/>
      <c r="S33" s="103"/>
      <c r="T33" s="90"/>
      <c r="U33" s="90"/>
      <c r="V33" s="90"/>
      <c r="W33" s="90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</row>
    <row r="34" ht="15.75" customHeight="1">
      <c r="A34" s="134"/>
      <c r="B34" s="134"/>
      <c r="C34" s="239" t="s">
        <v>106</v>
      </c>
      <c r="H34" s="220"/>
      <c r="I34" s="220"/>
      <c r="J34" s="134"/>
      <c r="K34" s="134"/>
      <c r="L34" s="90"/>
      <c r="M34" s="90"/>
      <c r="N34" s="90"/>
      <c r="O34" s="90"/>
      <c r="P34" s="90"/>
      <c r="Q34" s="103"/>
      <c r="R34" s="103"/>
      <c r="S34" s="103"/>
      <c r="T34" s="90"/>
      <c r="U34" s="90"/>
      <c r="V34" s="90"/>
      <c r="W34" s="90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</row>
    <row r="35" ht="18.75" customHeight="1">
      <c r="A35" s="134"/>
      <c r="B35" s="134"/>
      <c r="C35" s="147"/>
      <c r="D35" s="147"/>
      <c r="E35" s="147"/>
      <c r="F35" s="147"/>
      <c r="G35" s="147"/>
      <c r="H35" s="147"/>
      <c r="I35" s="220"/>
      <c r="J35" s="134"/>
      <c r="K35" s="134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</row>
    <row r="36" ht="18.75" customHeight="1">
      <c r="A36" s="22"/>
      <c r="B36" s="22"/>
      <c r="C36" s="240"/>
      <c r="D36" s="240"/>
      <c r="E36" s="240"/>
      <c r="F36" s="240"/>
      <c r="G36" s="240"/>
      <c r="H36" s="240"/>
      <c r="I36" s="240"/>
      <c r="J36" s="22"/>
      <c r="K36" s="22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</row>
    <row r="37" ht="18.75" customHeight="1">
      <c r="A37" s="6"/>
      <c r="B37" s="6"/>
      <c r="C37" s="140"/>
      <c r="D37" s="140"/>
      <c r="E37" s="140"/>
      <c r="F37" s="140"/>
      <c r="G37" s="140"/>
      <c r="H37" s="140"/>
      <c r="I37" s="6"/>
      <c r="J37" s="22"/>
      <c r="K37" s="22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</row>
    <row r="38" ht="18.75" customHeight="1">
      <c r="A38" s="22"/>
      <c r="B38" s="6"/>
      <c r="C38" s="6"/>
      <c r="D38" s="6"/>
      <c r="E38" s="6"/>
      <c r="F38" s="6"/>
      <c r="G38" s="6"/>
      <c r="H38" s="6"/>
      <c r="I38" s="6"/>
      <c r="J38" s="22"/>
      <c r="K38" s="22"/>
      <c r="L38" s="22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ht="14.25" customHeight="1">
      <c r="A39" s="241"/>
      <c r="B39" s="241"/>
      <c r="C39" s="241"/>
      <c r="D39" s="241"/>
      <c r="E39" s="241"/>
      <c r="F39" s="241"/>
      <c r="G39" s="241"/>
      <c r="H39" s="241"/>
      <c r="I39" s="241"/>
      <c r="J39" s="22"/>
      <c r="K39" s="22"/>
      <c r="L39" s="22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</row>
    <row r="40" ht="14.25" customHeight="1">
      <c r="A40" s="241"/>
      <c r="B40" s="241"/>
      <c r="C40" s="241"/>
      <c r="D40" s="241"/>
      <c r="E40" s="241"/>
      <c r="F40" s="241"/>
      <c r="G40" s="241"/>
      <c r="H40" s="241"/>
      <c r="I40" s="241"/>
      <c r="J40" s="22"/>
      <c r="K40" s="22"/>
      <c r="L40" s="22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</row>
    <row r="41" ht="14.25" customHeight="1">
      <c r="A41" s="241"/>
      <c r="B41" s="241"/>
      <c r="C41" s="241"/>
      <c r="D41" s="241"/>
      <c r="E41" s="241"/>
      <c r="F41" s="241"/>
      <c r="G41" s="241"/>
      <c r="H41" s="241"/>
      <c r="I41" s="241"/>
      <c r="J41" s="22"/>
      <c r="K41" s="22"/>
      <c r="L41" s="22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22"/>
      <c r="K42" s="22"/>
      <c r="L42" s="22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22"/>
      <c r="K43" s="22"/>
      <c r="L43" s="22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22"/>
      <c r="K44" s="22"/>
      <c r="L44" s="22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22"/>
      <c r="K45" s="22"/>
      <c r="L45" s="22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22"/>
      <c r="K46" s="22"/>
      <c r="L46" s="22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22"/>
      <c r="K47" s="22"/>
      <c r="L47" s="22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22"/>
      <c r="K48" s="22"/>
      <c r="L48" s="22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22"/>
      <c r="K49" s="22"/>
      <c r="L49" s="22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22"/>
      <c r="K50" s="22"/>
      <c r="L50" s="22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</row>
    <row r="73" ht="15.75" customHeight="1">
      <c r="A73" s="140"/>
      <c r="B73" s="140"/>
      <c r="C73" s="140"/>
      <c r="D73" s="140"/>
      <c r="E73" s="140"/>
      <c r="F73" s="140"/>
      <c r="G73" s="140"/>
      <c r="H73" s="140"/>
      <c r="I73" s="140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</row>
    <row r="74" ht="15.75" customHeight="1">
      <c r="A74" s="140"/>
      <c r="B74" s="140"/>
      <c r="C74" s="140"/>
      <c r="D74" s="140"/>
      <c r="E74" s="140"/>
      <c r="F74" s="140"/>
      <c r="G74" s="140"/>
      <c r="H74" s="140"/>
      <c r="I74" s="140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</row>
    <row r="75" ht="15.75" customHeight="1">
      <c r="A75" s="140"/>
      <c r="B75" s="140"/>
      <c r="C75" s="140"/>
      <c r="D75" s="140"/>
      <c r="E75" s="140"/>
      <c r="F75" s="140"/>
      <c r="G75" s="140"/>
      <c r="H75" s="140"/>
      <c r="I75" s="140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</row>
    <row r="76" ht="15.75" customHeight="1">
      <c r="A76" s="140"/>
      <c r="B76" s="140"/>
      <c r="C76" s="140"/>
      <c r="D76" s="140"/>
      <c r="E76" s="140"/>
      <c r="F76" s="140"/>
      <c r="G76" s="140"/>
      <c r="H76" s="140"/>
      <c r="I76" s="140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</row>
    <row r="77" ht="15.75" customHeight="1">
      <c r="A77" s="140"/>
      <c r="B77" s="140"/>
      <c r="C77" s="140"/>
      <c r="D77" s="140"/>
      <c r="E77" s="140"/>
      <c r="F77" s="140"/>
      <c r="G77" s="140"/>
      <c r="H77" s="140"/>
      <c r="I77" s="140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</row>
    <row r="78" ht="15.75" customHeight="1">
      <c r="A78" s="140"/>
      <c r="B78" s="140"/>
      <c r="C78" s="140"/>
      <c r="D78" s="140"/>
      <c r="E78" s="140"/>
      <c r="F78" s="140"/>
      <c r="G78" s="140"/>
      <c r="H78" s="140"/>
      <c r="I78" s="140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</row>
    <row r="79" ht="15.75" customHeight="1">
      <c r="A79" s="140"/>
      <c r="B79" s="140"/>
      <c r="C79" s="140"/>
      <c r="D79" s="140"/>
      <c r="E79" s="140"/>
      <c r="F79" s="140"/>
      <c r="G79" s="140"/>
      <c r="H79" s="140"/>
      <c r="I79" s="140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</row>
    <row r="80" ht="15.75" customHeight="1">
      <c r="A80" s="140"/>
      <c r="B80" s="140"/>
      <c r="C80" s="140"/>
      <c r="D80" s="140"/>
      <c r="E80" s="140"/>
      <c r="F80" s="140"/>
      <c r="G80" s="140"/>
      <c r="H80" s="140"/>
      <c r="I80" s="140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</row>
    <row r="81" ht="15.75" customHeight="1">
      <c r="A81" s="140"/>
      <c r="B81" s="140"/>
      <c r="C81" s="140"/>
      <c r="D81" s="140"/>
      <c r="E81" s="140"/>
      <c r="F81" s="140"/>
      <c r="G81" s="140"/>
      <c r="H81" s="140"/>
      <c r="I81" s="140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</row>
    <row r="82" ht="15.75" customHeight="1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</row>
    <row r="83" ht="15.75" customHeight="1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</row>
    <row r="84" ht="15.75" customHeight="1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</row>
    <row r="85" ht="15.75" customHeight="1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</row>
    <row r="86" ht="15.75" customHeight="1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</row>
    <row r="87" ht="15.75" customHeight="1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</row>
    <row r="88" ht="15.75" customHeight="1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</row>
    <row r="89" ht="15.75" customHeight="1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</row>
    <row r="90" ht="15.75" customHeight="1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</row>
    <row r="91" ht="15.75" customHeight="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</row>
    <row r="92" ht="15.75" customHeight="1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</row>
    <row r="93" ht="15.75" customHeight="1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</row>
    <row r="94" ht="15.75" customHeight="1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</row>
    <row r="95" ht="15.75" customHeight="1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</row>
    <row r="96" ht="15.75" customHeight="1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</row>
    <row r="97" ht="15.75" customHeight="1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</row>
    <row r="98" ht="15.75" customHeight="1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</row>
    <row r="99" ht="15.75" customHeight="1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</row>
    <row r="100" ht="15.75" customHeight="1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</row>
    <row r="101" ht="15.75" customHeight="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</row>
    <row r="102" ht="15.7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</row>
    <row r="103" ht="15.75" customHeight="1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</row>
    <row r="104" ht="15.75" customHeight="1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</row>
    <row r="105" ht="15.75" customHeight="1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</row>
    <row r="106" ht="15.75" customHeight="1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</row>
    <row r="107" ht="15.75" customHeight="1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</row>
    <row r="108" ht="15.75" customHeight="1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</row>
    <row r="109" ht="15.75" customHeight="1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</row>
    <row r="110" ht="15.75" customHeight="1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</row>
    <row r="111" ht="15.75" customHeight="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</row>
    <row r="112" ht="15.75" customHeight="1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</row>
    <row r="113" ht="15.75" customHeight="1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</row>
    <row r="114" ht="15.75" customHeight="1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</row>
    <row r="115" ht="15.75" customHeight="1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</row>
    <row r="116" ht="15.75" customHeight="1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</row>
    <row r="117" ht="15.75" customHeight="1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</row>
    <row r="118" ht="15.75" customHeight="1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</row>
    <row r="119" ht="15.75" customHeight="1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</row>
    <row r="120" ht="15.75" customHeight="1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</row>
    <row r="121" ht="15.75" customHeight="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</row>
    <row r="122" ht="15.75" customHeight="1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</row>
    <row r="123" ht="15.75" customHeight="1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</row>
    <row r="124" ht="15.75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</row>
    <row r="125" ht="15.75" customHeight="1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</row>
    <row r="126" ht="15.75" customHeight="1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</row>
    <row r="127" ht="15.75" customHeight="1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</row>
    <row r="128" ht="15.7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</row>
    <row r="129" ht="15.75" customHeight="1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</row>
    <row r="130" ht="15.75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</row>
    <row r="131" ht="15.75" customHeight="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</row>
    <row r="132" ht="15.75" customHeight="1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</row>
    <row r="133" ht="15.75" customHeight="1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</row>
    <row r="134" ht="15.75" customHeight="1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</row>
    <row r="135" ht="15.75" customHeight="1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</row>
    <row r="136" ht="15.75" customHeight="1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</row>
    <row r="137" ht="15.75" customHeight="1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</row>
    <row r="138" ht="15.75" customHeight="1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</row>
    <row r="139" ht="15.75" customHeight="1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</row>
    <row r="140" ht="15.75" customHeight="1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</row>
    <row r="141" ht="15.75" customHeight="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</row>
    <row r="142" ht="15.75" customHeight="1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</row>
    <row r="143" ht="15.75" customHeight="1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</row>
    <row r="144" ht="15.75" customHeight="1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</row>
    <row r="145" ht="15.75" customHeight="1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</row>
    <row r="146" ht="15.75" customHeight="1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</row>
    <row r="147" ht="15.75" customHeight="1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</row>
    <row r="148" ht="15.75" customHeight="1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</row>
    <row r="149" ht="15.75" customHeight="1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</row>
    <row r="150" ht="15.75" customHeight="1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</row>
    <row r="151" ht="15.75" customHeight="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</row>
    <row r="152" ht="15.75" customHeight="1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</row>
    <row r="153" ht="15.75" customHeight="1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</row>
    <row r="154" ht="15.75" customHeight="1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</row>
    <row r="155" ht="15.75" customHeight="1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</row>
    <row r="156" ht="15.75" customHeight="1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</row>
    <row r="157" ht="15.75" customHeight="1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</row>
    <row r="158" ht="15.75" customHeight="1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</row>
    <row r="159" ht="15.75" customHeight="1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</row>
    <row r="160" ht="15.75" customHeight="1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</row>
    <row r="161" ht="15.75" customHeight="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</row>
    <row r="162" ht="15.75" customHeight="1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</row>
    <row r="163" ht="15.75" customHeight="1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</row>
    <row r="164" ht="15.75" customHeight="1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</row>
    <row r="165" ht="15.7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</row>
    <row r="166" ht="15.75" customHeight="1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</row>
    <row r="167" ht="15.75" customHeight="1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</row>
    <row r="168" ht="15.75" customHeight="1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</row>
    <row r="169" ht="15.75" customHeight="1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</row>
    <row r="170" ht="15.75" customHeight="1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</row>
    <row r="171" ht="15.75" customHeight="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</row>
    <row r="172" ht="15.75" customHeight="1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</row>
    <row r="173" ht="15.75" customHeight="1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</row>
    <row r="174" ht="15.75" customHeight="1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</row>
    <row r="175" ht="15.75" customHeight="1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</row>
    <row r="176" ht="15.75" customHeight="1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</row>
    <row r="177" ht="15.75" customHeight="1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</row>
    <row r="178" ht="15.75" customHeight="1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</row>
    <row r="179" ht="15.75" customHeight="1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140"/>
    </row>
    <row r="180" ht="15.75" customHeight="1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140"/>
    </row>
    <row r="181" ht="15.75" customHeight="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140"/>
    </row>
    <row r="182" ht="15.75" customHeight="1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140"/>
    </row>
    <row r="183" ht="15.75" customHeight="1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140"/>
    </row>
    <row r="184" ht="15.75" customHeight="1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140"/>
    </row>
    <row r="185" ht="15.75" customHeight="1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</row>
    <row r="186" ht="15.75" customHeight="1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</row>
    <row r="187" ht="15.75" customHeight="1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140"/>
    </row>
    <row r="188" ht="15.75" customHeight="1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140"/>
    </row>
    <row r="189" ht="15.75" customHeight="1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ht="15.75" customHeight="1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ht="15.75" customHeight="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</row>
    <row r="192" ht="15.75" customHeight="1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</row>
    <row r="193" ht="15.75" customHeight="1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</row>
    <row r="194" ht="15.75" customHeight="1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</row>
    <row r="195" ht="15.75" customHeight="1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</row>
    <row r="196" ht="15.75" customHeight="1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</row>
    <row r="197" ht="15.75" customHeight="1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</row>
    <row r="198" ht="15.75" customHeight="1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</row>
    <row r="199" ht="15.75" customHeight="1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</row>
    <row r="200" ht="15.75" customHeight="1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</row>
    <row r="201" ht="15.75" customHeight="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140"/>
    </row>
    <row r="202" ht="15.75" customHeight="1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140"/>
    </row>
    <row r="203" ht="15.75" customHeight="1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</row>
    <row r="204" ht="15.75" customHeight="1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  <c r="AJ204" s="140"/>
      <c r="AK204" s="140"/>
      <c r="AL204" s="140"/>
      <c r="AM204" s="140"/>
      <c r="AN204" s="140"/>
      <c r="AO204" s="140"/>
      <c r="AP204" s="140"/>
    </row>
    <row r="205" ht="15.75" customHeight="1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  <c r="AJ205" s="140"/>
      <c r="AK205" s="140"/>
      <c r="AL205" s="140"/>
      <c r="AM205" s="140"/>
      <c r="AN205" s="140"/>
      <c r="AO205" s="140"/>
      <c r="AP205" s="140"/>
    </row>
    <row r="206" ht="15.75" customHeight="1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  <c r="AJ206" s="140"/>
      <c r="AK206" s="140"/>
      <c r="AL206" s="140"/>
      <c r="AM206" s="140"/>
      <c r="AN206" s="140"/>
      <c r="AO206" s="140"/>
      <c r="AP206" s="140"/>
    </row>
    <row r="207" ht="15.75" customHeight="1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140"/>
    </row>
    <row r="208" ht="15.75" customHeight="1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140"/>
    </row>
    <row r="209" ht="15.75" customHeight="1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  <c r="AJ209" s="140"/>
      <c r="AK209" s="140"/>
      <c r="AL209" s="140"/>
      <c r="AM209" s="140"/>
      <c r="AN209" s="140"/>
      <c r="AO209" s="140"/>
      <c r="AP209" s="140"/>
    </row>
    <row r="210" ht="15.75" customHeight="1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140"/>
    </row>
    <row r="211" ht="15.75" customHeight="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  <c r="AJ211" s="140"/>
      <c r="AK211" s="140"/>
      <c r="AL211" s="140"/>
      <c r="AM211" s="140"/>
      <c r="AN211" s="140"/>
      <c r="AO211" s="140"/>
      <c r="AP211" s="140"/>
    </row>
    <row r="212" ht="15.75" customHeight="1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  <c r="AJ212" s="140"/>
      <c r="AK212" s="140"/>
      <c r="AL212" s="140"/>
      <c r="AM212" s="140"/>
      <c r="AN212" s="140"/>
      <c r="AO212" s="140"/>
      <c r="AP212" s="140"/>
    </row>
    <row r="213" ht="15.75" customHeight="1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140"/>
    </row>
    <row r="214" ht="15.75" customHeight="1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  <c r="AJ214" s="140"/>
      <c r="AK214" s="140"/>
      <c r="AL214" s="140"/>
      <c r="AM214" s="140"/>
      <c r="AN214" s="140"/>
      <c r="AO214" s="140"/>
      <c r="AP214" s="140"/>
    </row>
    <row r="215" ht="15.75" customHeight="1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140"/>
    </row>
    <row r="216" ht="15.75" customHeight="1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140"/>
    </row>
    <row r="217" ht="15.7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140"/>
    </row>
    <row r="218" ht="15.75" customHeight="1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140"/>
    </row>
    <row r="219" ht="15.7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40"/>
      <c r="AP219" s="140"/>
    </row>
    <row r="220" ht="15.75" customHeight="1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  <c r="AJ220" s="140"/>
      <c r="AK220" s="140"/>
      <c r="AL220" s="140"/>
      <c r="AM220" s="140"/>
      <c r="AN220" s="140"/>
      <c r="AO220" s="140"/>
      <c r="AP220" s="140"/>
    </row>
    <row r="221" ht="15.75" customHeight="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140"/>
    </row>
    <row r="222" ht="15.75" customHeight="1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40"/>
      <c r="AP222" s="140"/>
    </row>
    <row r="223" ht="15.75" customHeight="1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  <c r="AJ223" s="140"/>
      <c r="AK223" s="140"/>
      <c r="AL223" s="140"/>
      <c r="AM223" s="140"/>
      <c r="AN223" s="140"/>
      <c r="AO223" s="140"/>
      <c r="AP223" s="140"/>
    </row>
    <row r="224" ht="15.7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140"/>
    </row>
    <row r="225" ht="15.75" customHeight="1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140"/>
    </row>
    <row r="226" ht="15.75" customHeight="1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140"/>
    </row>
    <row r="227" ht="15.75" customHeight="1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140"/>
    </row>
    <row r="228" ht="15.75" customHeight="1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40"/>
      <c r="AH228" s="140"/>
      <c r="AI228" s="140"/>
      <c r="AJ228" s="140"/>
      <c r="AK228" s="140"/>
      <c r="AL228" s="140"/>
      <c r="AM228" s="140"/>
      <c r="AN228" s="140"/>
      <c r="AO228" s="140"/>
      <c r="AP228" s="140"/>
    </row>
    <row r="229" ht="15.75" customHeight="1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</row>
    <row r="230" ht="15.75" customHeight="1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  <c r="AJ230" s="140"/>
      <c r="AK230" s="140"/>
      <c r="AL230" s="140"/>
      <c r="AM230" s="140"/>
      <c r="AN230" s="140"/>
      <c r="AO230" s="140"/>
      <c r="AP230" s="140"/>
    </row>
    <row r="231" ht="15.75" customHeight="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40"/>
      <c r="AH231" s="140"/>
      <c r="AI231" s="140"/>
      <c r="AJ231" s="140"/>
      <c r="AK231" s="140"/>
      <c r="AL231" s="140"/>
      <c r="AM231" s="140"/>
      <c r="AN231" s="140"/>
      <c r="AO231" s="140"/>
      <c r="AP231" s="140"/>
    </row>
    <row r="232" ht="15.75" customHeight="1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0"/>
      <c r="AD232" s="140"/>
      <c r="AE232" s="140"/>
      <c r="AF232" s="140"/>
      <c r="AG232" s="140"/>
      <c r="AH232" s="140"/>
      <c r="AI232" s="140"/>
      <c r="AJ232" s="140"/>
      <c r="AK232" s="140"/>
      <c r="AL232" s="140"/>
      <c r="AM232" s="140"/>
      <c r="AN232" s="140"/>
      <c r="AO232" s="140"/>
      <c r="AP232" s="140"/>
    </row>
    <row r="233" ht="15.75" customHeight="1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140"/>
    </row>
    <row r="234" ht="15.75" customHeight="1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  <c r="AA234" s="140"/>
      <c r="AB234" s="140"/>
      <c r="AC234" s="140"/>
      <c r="AD234" s="140"/>
      <c r="AE234" s="140"/>
      <c r="AF234" s="140"/>
      <c r="AG234" s="140"/>
      <c r="AH234" s="140"/>
      <c r="AI234" s="140"/>
      <c r="AJ234" s="140"/>
      <c r="AK234" s="140"/>
      <c r="AL234" s="140"/>
      <c r="AM234" s="140"/>
      <c r="AN234" s="140"/>
      <c r="AO234" s="140"/>
      <c r="AP234" s="140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3">
    <mergeCell ref="J4:K4"/>
    <mergeCell ref="L4:M4"/>
    <mergeCell ref="A5:A6"/>
    <mergeCell ref="A7:A8"/>
    <mergeCell ref="A9:A10"/>
    <mergeCell ref="A11:A14"/>
    <mergeCell ref="L11:M12"/>
    <mergeCell ref="A15:A16"/>
    <mergeCell ref="R4:S4"/>
    <mergeCell ref="T4:U4"/>
    <mergeCell ref="X4:Y4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N4:O4"/>
    <mergeCell ref="P4:Q4"/>
    <mergeCell ref="N11:U12"/>
    <mergeCell ref="R21:T21"/>
    <mergeCell ref="U21:V21"/>
    <mergeCell ref="W21:X21"/>
    <mergeCell ref="Y21:Y22"/>
    <mergeCell ref="D25:J25"/>
    <mergeCell ref="D26:J26"/>
    <mergeCell ref="D27:J27"/>
    <mergeCell ref="D28:J28"/>
    <mergeCell ref="D29:J29"/>
    <mergeCell ref="D32:J32"/>
    <mergeCell ref="D33:J33"/>
    <mergeCell ref="C34:G34"/>
    <mergeCell ref="Z21:Z22"/>
    <mergeCell ref="AA21:AA22"/>
    <mergeCell ref="AB21:AB22"/>
    <mergeCell ref="B22:J22"/>
    <mergeCell ref="O22:P22"/>
    <mergeCell ref="D23:J23"/>
    <mergeCell ref="D24:J24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1.14"/>
    <col customWidth="1" min="3" max="3" width="15.57"/>
    <col customWidth="1" min="4" max="4" width="43.57"/>
    <col customWidth="1" min="5" max="5" width="14.57"/>
    <col customWidth="1" min="6" max="6" width="14.14"/>
  </cols>
  <sheetData>
    <row r="1">
      <c r="A1" s="355"/>
      <c r="B1" s="356" t="s">
        <v>168</v>
      </c>
    </row>
    <row r="2">
      <c r="A2" s="355"/>
      <c r="B2" s="357" t="s">
        <v>169</v>
      </c>
      <c r="C2" s="358" t="s">
        <v>170</v>
      </c>
      <c r="D2" s="358" t="s">
        <v>171</v>
      </c>
      <c r="E2" s="358" t="s">
        <v>172</v>
      </c>
      <c r="F2" s="357" t="s">
        <v>173</v>
      </c>
    </row>
    <row r="3">
      <c r="A3" s="355"/>
      <c r="B3" s="359" t="s">
        <v>174</v>
      </c>
    </row>
    <row r="4">
      <c r="A4" s="355"/>
      <c r="B4" s="360" t="s">
        <v>66</v>
      </c>
      <c r="C4" s="361" t="s">
        <v>175</v>
      </c>
      <c r="D4" s="361" t="s">
        <v>176</v>
      </c>
      <c r="E4" s="361">
        <v>3.0</v>
      </c>
      <c r="F4" s="360" t="s">
        <v>177</v>
      </c>
    </row>
    <row r="5">
      <c r="A5" s="355"/>
      <c r="B5" s="360" t="s">
        <v>178</v>
      </c>
      <c r="C5" s="361" t="s">
        <v>179</v>
      </c>
      <c r="D5" s="361" t="s">
        <v>180</v>
      </c>
      <c r="E5" s="361">
        <v>3.0</v>
      </c>
      <c r="F5" s="360" t="s">
        <v>177</v>
      </c>
    </row>
    <row r="6">
      <c r="A6" s="355"/>
      <c r="B6" s="360" t="s">
        <v>86</v>
      </c>
      <c r="C6" s="361" t="s">
        <v>181</v>
      </c>
      <c r="D6" s="361" t="s">
        <v>182</v>
      </c>
      <c r="E6" s="361">
        <v>3.0</v>
      </c>
      <c r="F6" s="360" t="s">
        <v>177</v>
      </c>
    </row>
    <row r="7">
      <c r="A7" s="355"/>
      <c r="B7" s="360" t="s">
        <v>183</v>
      </c>
      <c r="C7" s="361" t="s">
        <v>184</v>
      </c>
      <c r="D7" s="361" t="s">
        <v>185</v>
      </c>
      <c r="E7" s="361">
        <v>3.0</v>
      </c>
      <c r="F7" s="360" t="s">
        <v>177</v>
      </c>
    </row>
    <row r="8">
      <c r="A8" s="355"/>
      <c r="B8" s="362" t="s">
        <v>186</v>
      </c>
    </row>
    <row r="9">
      <c r="A9" s="355"/>
      <c r="B9" s="360" t="s">
        <v>63</v>
      </c>
      <c r="C9" s="361" t="s">
        <v>187</v>
      </c>
      <c r="D9" s="361" t="s">
        <v>188</v>
      </c>
      <c r="E9" s="361">
        <v>3.0</v>
      </c>
      <c r="F9" s="360" t="s">
        <v>177</v>
      </c>
    </row>
    <row r="10">
      <c r="A10" s="355"/>
      <c r="B10" s="360" t="s">
        <v>189</v>
      </c>
      <c r="C10" s="361" t="s">
        <v>190</v>
      </c>
      <c r="D10" s="361" t="s">
        <v>191</v>
      </c>
      <c r="E10" s="361">
        <v>3.0</v>
      </c>
      <c r="F10" s="360" t="s">
        <v>177</v>
      </c>
    </row>
    <row r="11">
      <c r="A11" s="355"/>
      <c r="B11" s="360" t="s">
        <v>192</v>
      </c>
      <c r="C11" s="361" t="s">
        <v>193</v>
      </c>
      <c r="D11" s="361" t="s">
        <v>194</v>
      </c>
      <c r="E11" s="361">
        <v>3.0</v>
      </c>
      <c r="F11" s="360" t="s">
        <v>177</v>
      </c>
    </row>
    <row r="12">
      <c r="A12" s="355"/>
      <c r="B12" s="360" t="s">
        <v>195</v>
      </c>
      <c r="C12" s="361" t="s">
        <v>196</v>
      </c>
      <c r="D12" s="361" t="s">
        <v>197</v>
      </c>
      <c r="E12" s="361">
        <v>3.0</v>
      </c>
      <c r="F12" s="360" t="s">
        <v>177</v>
      </c>
    </row>
    <row r="13">
      <c r="A13" s="355"/>
      <c r="B13" s="360" t="s">
        <v>198</v>
      </c>
      <c r="C13" s="361" t="s">
        <v>199</v>
      </c>
      <c r="D13" s="361" t="s">
        <v>200</v>
      </c>
      <c r="E13" s="361">
        <v>3.0</v>
      </c>
      <c r="F13" s="360" t="s">
        <v>177</v>
      </c>
    </row>
    <row r="14">
      <c r="A14" s="355"/>
      <c r="B14" s="360" t="s">
        <v>201</v>
      </c>
      <c r="C14" s="361" t="s">
        <v>202</v>
      </c>
      <c r="D14" s="361" t="s">
        <v>203</v>
      </c>
      <c r="E14" s="361">
        <v>3.0</v>
      </c>
      <c r="F14" s="360" t="s">
        <v>177</v>
      </c>
    </row>
    <row r="15">
      <c r="A15" s="355"/>
      <c r="B15" s="360" t="s">
        <v>204</v>
      </c>
      <c r="C15" s="361" t="s">
        <v>205</v>
      </c>
      <c r="D15" s="361" t="s">
        <v>206</v>
      </c>
      <c r="E15" s="361">
        <v>3.0</v>
      </c>
      <c r="F15" s="360" t="s">
        <v>177</v>
      </c>
    </row>
    <row r="16">
      <c r="A16" s="355"/>
      <c r="B16" s="363"/>
    </row>
    <row r="17">
      <c r="A17" s="355"/>
      <c r="B17" s="360" t="s">
        <v>207</v>
      </c>
      <c r="D17" s="361" t="s">
        <v>208</v>
      </c>
      <c r="E17" s="361">
        <v>3.0</v>
      </c>
      <c r="F17" s="360" t="s">
        <v>177</v>
      </c>
    </row>
    <row r="18">
      <c r="A18" s="355"/>
      <c r="B18" s="360" t="s">
        <v>209</v>
      </c>
      <c r="D18" s="361" t="s">
        <v>210</v>
      </c>
      <c r="E18" s="361">
        <v>3.0</v>
      </c>
      <c r="F18" s="360" t="s">
        <v>177</v>
      </c>
    </row>
    <row r="19">
      <c r="A19" s="355"/>
      <c r="B19" s="360" t="s">
        <v>65</v>
      </c>
      <c r="D19" s="361" t="s">
        <v>211</v>
      </c>
      <c r="E19" s="361">
        <v>3.0</v>
      </c>
      <c r="F19" s="360" t="s">
        <v>177</v>
      </c>
    </row>
    <row r="20">
      <c r="A20" s="355"/>
      <c r="B20" s="360" t="s">
        <v>212</v>
      </c>
      <c r="D20" s="361" t="s">
        <v>213</v>
      </c>
      <c r="E20" s="361">
        <v>3.0</v>
      </c>
      <c r="F20" s="360" t="s">
        <v>177</v>
      </c>
    </row>
    <row r="21">
      <c r="A21" s="355"/>
      <c r="B21" s="364"/>
    </row>
    <row r="22">
      <c r="A22" s="355"/>
      <c r="B22" s="360" t="s">
        <v>214</v>
      </c>
      <c r="D22" s="361" t="s">
        <v>215</v>
      </c>
      <c r="E22" s="361">
        <v>1.0</v>
      </c>
      <c r="F22" s="360" t="s">
        <v>216</v>
      </c>
    </row>
    <row r="23">
      <c r="A23" s="355"/>
      <c r="B23" s="360" t="s">
        <v>217</v>
      </c>
      <c r="D23" s="361" t="s">
        <v>218</v>
      </c>
      <c r="E23" s="361">
        <v>1.0</v>
      </c>
      <c r="F23" s="360" t="s">
        <v>216</v>
      </c>
    </row>
    <row r="24">
      <c r="A24" s="355"/>
      <c r="B24" s="360" t="s">
        <v>219</v>
      </c>
      <c r="D24" s="361" t="s">
        <v>220</v>
      </c>
      <c r="F24" s="355"/>
    </row>
    <row r="25">
      <c r="A25" s="355"/>
      <c r="B25" s="360" t="s">
        <v>221</v>
      </c>
      <c r="D25" s="361" t="s">
        <v>222</v>
      </c>
      <c r="F25" s="355"/>
    </row>
    <row r="26">
      <c r="A26" s="355"/>
      <c r="B26" s="360" t="s">
        <v>223</v>
      </c>
      <c r="D26" s="361" t="s">
        <v>224</v>
      </c>
      <c r="F26" s="355"/>
    </row>
    <row r="27">
      <c r="A27" s="355"/>
      <c r="B27" s="360" t="s">
        <v>225</v>
      </c>
      <c r="D27" s="361" t="s">
        <v>226</v>
      </c>
      <c r="F27" s="355"/>
    </row>
    <row r="28">
      <c r="A28" s="355"/>
      <c r="B28" s="360" t="s">
        <v>227</v>
      </c>
      <c r="D28" s="361" t="s">
        <v>228</v>
      </c>
      <c r="F28" s="355"/>
    </row>
    <row r="29">
      <c r="A29" s="355"/>
      <c r="B29" s="360" t="s">
        <v>229</v>
      </c>
      <c r="D29" s="361" t="s">
        <v>230</v>
      </c>
      <c r="F29" s="355"/>
    </row>
    <row r="30">
      <c r="A30" s="355"/>
      <c r="B30" s="360" t="s">
        <v>231</v>
      </c>
      <c r="D30" s="361" t="s">
        <v>232</v>
      </c>
      <c r="F30" s="355"/>
    </row>
    <row r="31">
      <c r="A31" s="355"/>
      <c r="B31" s="360" t="s">
        <v>233</v>
      </c>
      <c r="D31" s="361" t="s">
        <v>234</v>
      </c>
      <c r="F31" s="355"/>
    </row>
    <row r="32">
      <c r="A32" s="355"/>
      <c r="B32" s="360" t="s">
        <v>235</v>
      </c>
      <c r="D32" s="361" t="s">
        <v>236</v>
      </c>
      <c r="F32" s="355"/>
    </row>
    <row r="33">
      <c r="A33" s="355"/>
      <c r="B33" s="360" t="s">
        <v>237</v>
      </c>
      <c r="D33" s="361" t="s">
        <v>238</v>
      </c>
      <c r="F33" s="355"/>
    </row>
    <row r="34">
      <c r="A34" s="355"/>
      <c r="B34" s="365" t="s">
        <v>239</v>
      </c>
    </row>
    <row r="35">
      <c r="A35" s="355"/>
      <c r="B35" s="365" t="s">
        <v>240</v>
      </c>
    </row>
    <row r="36">
      <c r="A36" s="355"/>
      <c r="B36" s="360" t="s">
        <v>241</v>
      </c>
      <c r="D36" s="361" t="s">
        <v>242</v>
      </c>
      <c r="E36" s="361">
        <v>2.0</v>
      </c>
      <c r="F36" s="360" t="s">
        <v>243</v>
      </c>
    </row>
    <row r="37">
      <c r="A37" s="355"/>
      <c r="B37" s="360" t="s">
        <v>57</v>
      </c>
      <c r="D37" s="361" t="s">
        <v>244</v>
      </c>
      <c r="E37" s="361">
        <v>2.0</v>
      </c>
      <c r="F37" s="360" t="s">
        <v>243</v>
      </c>
    </row>
    <row r="38">
      <c r="A38" s="355"/>
      <c r="B38" s="360" t="s">
        <v>87</v>
      </c>
      <c r="D38" s="361" t="s">
        <v>245</v>
      </c>
      <c r="E38" s="361">
        <v>2.0</v>
      </c>
      <c r="F38" s="360" t="s">
        <v>246</v>
      </c>
    </row>
    <row r="39">
      <c r="A39" s="355"/>
      <c r="B39" s="360" t="s">
        <v>247</v>
      </c>
      <c r="D39" s="361" t="s">
        <v>248</v>
      </c>
      <c r="E39" s="361">
        <v>2.0</v>
      </c>
      <c r="F39" s="360" t="s">
        <v>243</v>
      </c>
    </row>
    <row r="40">
      <c r="A40" s="355"/>
      <c r="B40" s="360" t="s">
        <v>60</v>
      </c>
      <c r="D40" s="361" t="s">
        <v>249</v>
      </c>
      <c r="E40" s="361">
        <v>3.0</v>
      </c>
      <c r="F40" s="360" t="s">
        <v>250</v>
      </c>
    </row>
    <row r="41">
      <c r="A41" s="355"/>
      <c r="B41" s="360" t="s">
        <v>251</v>
      </c>
      <c r="D41" s="361" t="s">
        <v>252</v>
      </c>
      <c r="E41" s="361">
        <v>3.0</v>
      </c>
      <c r="F41" s="360" t="s">
        <v>250</v>
      </c>
    </row>
    <row r="42">
      <c r="A42" s="355"/>
      <c r="B42" s="365" t="s">
        <v>253</v>
      </c>
    </row>
    <row r="43">
      <c r="A43" s="355"/>
      <c r="B43" s="365" t="s">
        <v>254</v>
      </c>
    </row>
    <row r="44">
      <c r="A44" s="355"/>
      <c r="B44" s="360" t="s">
        <v>88</v>
      </c>
      <c r="D44" s="361" t="s">
        <v>255</v>
      </c>
      <c r="F44" s="355"/>
    </row>
    <row r="45">
      <c r="A45" s="355"/>
      <c r="B45" s="360" t="s">
        <v>256</v>
      </c>
      <c r="D45" s="361" t="s">
        <v>257</v>
      </c>
      <c r="F45" s="355"/>
    </row>
    <row r="46">
      <c r="A46" s="355"/>
      <c r="B46" s="360" t="s">
        <v>90</v>
      </c>
      <c r="D46" s="361" t="s">
        <v>258</v>
      </c>
      <c r="F46" s="355"/>
    </row>
    <row r="47">
      <c r="A47" s="355"/>
      <c r="B47" s="360" t="s">
        <v>259</v>
      </c>
      <c r="D47" s="361" t="s">
        <v>260</v>
      </c>
      <c r="F47" s="355"/>
    </row>
    <row r="48">
      <c r="A48" s="355"/>
      <c r="B48" s="360" t="s">
        <v>94</v>
      </c>
      <c r="D48" s="361" t="s">
        <v>261</v>
      </c>
      <c r="F48" s="355"/>
    </row>
    <row r="49">
      <c r="A49" s="355"/>
      <c r="B49" s="360" t="s">
        <v>97</v>
      </c>
      <c r="D49" s="361" t="s">
        <v>262</v>
      </c>
      <c r="F49" s="355"/>
    </row>
    <row r="50">
      <c r="A50" s="355"/>
      <c r="B50" s="360" t="s">
        <v>263</v>
      </c>
      <c r="D50" s="361" t="s">
        <v>123</v>
      </c>
      <c r="F50" s="355"/>
    </row>
    <row r="51">
      <c r="A51" s="355"/>
      <c r="B51" s="360" t="s">
        <v>264</v>
      </c>
      <c r="D51" s="361" t="s">
        <v>265</v>
      </c>
      <c r="F51" s="355"/>
    </row>
    <row r="52">
      <c r="A52" s="355"/>
      <c r="B52" s="360" t="s">
        <v>266</v>
      </c>
      <c r="D52" s="361" t="s">
        <v>128</v>
      </c>
      <c r="F52" s="355"/>
    </row>
    <row r="53">
      <c r="A53" s="355"/>
      <c r="B53" s="360" t="s">
        <v>267</v>
      </c>
      <c r="D53" s="361" t="s">
        <v>131</v>
      </c>
      <c r="F53" s="355"/>
    </row>
    <row r="54">
      <c r="A54" s="355"/>
      <c r="B54" s="360" t="s">
        <v>268</v>
      </c>
      <c r="D54" s="361" t="s">
        <v>269</v>
      </c>
      <c r="F54" s="355"/>
    </row>
    <row r="55">
      <c r="A55" s="355"/>
      <c r="B55" s="360" t="s">
        <v>270</v>
      </c>
      <c r="D55" s="361" t="s">
        <v>271</v>
      </c>
      <c r="F55" s="355"/>
    </row>
    <row r="56">
      <c r="A56" s="355"/>
      <c r="B56" s="360" t="s">
        <v>272</v>
      </c>
      <c r="D56" s="361" t="s">
        <v>273</v>
      </c>
      <c r="F56" s="355"/>
    </row>
    <row r="57">
      <c r="A57" s="355"/>
      <c r="B57" s="360" t="s">
        <v>274</v>
      </c>
      <c r="D57" s="361" t="s">
        <v>275</v>
      </c>
      <c r="F57" s="355"/>
    </row>
    <row r="58">
      <c r="A58" s="355"/>
      <c r="B58" s="365" t="s">
        <v>276</v>
      </c>
    </row>
    <row r="59">
      <c r="A59" s="355"/>
      <c r="B59" s="360" t="s">
        <v>277</v>
      </c>
      <c r="D59" s="361" t="s">
        <v>278</v>
      </c>
      <c r="F59" s="355"/>
    </row>
    <row r="60">
      <c r="A60" s="355"/>
      <c r="B60" s="360" t="s">
        <v>279</v>
      </c>
      <c r="D60" s="361" t="s">
        <v>280</v>
      </c>
      <c r="F60" s="355"/>
    </row>
    <row r="61">
      <c r="A61" s="355"/>
      <c r="B61" s="360" t="s">
        <v>281</v>
      </c>
      <c r="D61" s="361" t="s">
        <v>282</v>
      </c>
      <c r="F61" s="355"/>
    </row>
    <row r="62">
      <c r="A62" s="355"/>
      <c r="B62" s="360" t="s">
        <v>283</v>
      </c>
      <c r="D62" s="361" t="s">
        <v>284</v>
      </c>
      <c r="F62" s="355"/>
    </row>
    <row r="63">
      <c r="A63" s="355"/>
      <c r="B63" s="360" t="s">
        <v>285</v>
      </c>
      <c r="D63" s="361" t="s">
        <v>286</v>
      </c>
      <c r="F63" s="355"/>
    </row>
    <row r="64">
      <c r="A64" s="355"/>
      <c r="B64" s="360" t="s">
        <v>287</v>
      </c>
      <c r="D64" s="361" t="s">
        <v>288</v>
      </c>
      <c r="F64" s="355"/>
    </row>
    <row r="65">
      <c r="A65" s="355"/>
      <c r="B65" s="360" t="s">
        <v>101</v>
      </c>
      <c r="D65" s="361" t="s">
        <v>289</v>
      </c>
      <c r="F65" s="355"/>
    </row>
    <row r="66">
      <c r="A66" s="355"/>
      <c r="B66" s="360" t="s">
        <v>290</v>
      </c>
      <c r="D66" s="361" t="s">
        <v>291</v>
      </c>
      <c r="F66" s="355"/>
    </row>
    <row r="67">
      <c r="A67" s="355"/>
      <c r="B67" s="360" t="s">
        <v>292</v>
      </c>
      <c r="D67" s="361" t="s">
        <v>293</v>
      </c>
      <c r="E67" s="361">
        <v>3.0</v>
      </c>
      <c r="F67" s="360" t="s">
        <v>250</v>
      </c>
    </row>
    <row r="68">
      <c r="A68" s="355"/>
      <c r="B68" s="360" t="s">
        <v>294</v>
      </c>
      <c r="D68" s="361" t="s">
        <v>295</v>
      </c>
      <c r="E68" s="361">
        <v>3.0</v>
      </c>
      <c r="F68" s="360" t="s">
        <v>177</v>
      </c>
    </row>
    <row r="69">
      <c r="A69" s="355"/>
      <c r="B69" s="360" t="s">
        <v>296</v>
      </c>
      <c r="D69" s="361" t="s">
        <v>297</v>
      </c>
      <c r="E69" s="361">
        <v>3.0</v>
      </c>
      <c r="F69" s="360" t="s">
        <v>250</v>
      </c>
    </row>
    <row r="70">
      <c r="A70" s="355"/>
      <c r="B70" s="360" t="s">
        <v>298</v>
      </c>
      <c r="D70" s="361" t="s">
        <v>299</v>
      </c>
      <c r="E70" s="361">
        <v>3.0</v>
      </c>
      <c r="F70" s="360" t="s">
        <v>250</v>
      </c>
    </row>
    <row r="71">
      <c r="A71" s="355"/>
      <c r="B71" s="360" t="s">
        <v>300</v>
      </c>
      <c r="D71" s="361" t="s">
        <v>301</v>
      </c>
      <c r="F71" s="355"/>
    </row>
    <row r="72">
      <c r="A72" s="355"/>
      <c r="B72" s="360" t="s">
        <v>302</v>
      </c>
      <c r="D72" s="361" t="s">
        <v>303</v>
      </c>
      <c r="F72" s="355"/>
    </row>
    <row r="73">
      <c r="A73" s="355"/>
      <c r="B73" s="360" t="s">
        <v>304</v>
      </c>
      <c r="D73" s="361" t="s">
        <v>305</v>
      </c>
      <c r="F73" s="355"/>
    </row>
    <row r="74">
      <c r="A74" s="355"/>
      <c r="B74" s="360" t="s">
        <v>306</v>
      </c>
      <c r="D74" s="361" t="s">
        <v>307</v>
      </c>
      <c r="F74" s="355"/>
    </row>
    <row r="75">
      <c r="A75" s="355"/>
      <c r="B75" s="360" t="s">
        <v>308</v>
      </c>
      <c r="D75" s="361" t="s">
        <v>309</v>
      </c>
      <c r="F75" s="355"/>
    </row>
    <row r="76">
      <c r="A76" s="355"/>
      <c r="B76" s="360" t="s">
        <v>310</v>
      </c>
      <c r="D76" s="361" t="s">
        <v>311</v>
      </c>
      <c r="F76" s="355"/>
    </row>
    <row r="77">
      <c r="A77" s="355"/>
      <c r="B77" s="360" t="s">
        <v>312</v>
      </c>
      <c r="D77" s="361" t="s">
        <v>313</v>
      </c>
      <c r="F77" s="355"/>
    </row>
    <row r="78">
      <c r="A78" s="355"/>
      <c r="B78" s="360" t="s">
        <v>314</v>
      </c>
      <c r="D78" s="361" t="s">
        <v>315</v>
      </c>
      <c r="F78" s="355"/>
    </row>
    <row r="79">
      <c r="A79" s="355"/>
      <c r="B79" s="360" t="s">
        <v>316</v>
      </c>
      <c r="D79" s="361" t="s">
        <v>317</v>
      </c>
      <c r="F79" s="355"/>
    </row>
    <row r="80">
      <c r="A80" s="355"/>
      <c r="B80" s="355"/>
      <c r="F80" s="355"/>
    </row>
    <row r="81">
      <c r="A81" s="355"/>
      <c r="B81" s="355"/>
      <c r="F81" s="355"/>
    </row>
    <row r="82">
      <c r="A82" s="355"/>
      <c r="B82" s="355"/>
      <c r="F82" s="355"/>
    </row>
    <row r="83">
      <c r="A83" s="355"/>
      <c r="B83" s="355"/>
      <c r="F83" s="355"/>
    </row>
    <row r="84">
      <c r="A84" s="355"/>
      <c r="B84" s="355"/>
      <c r="F84" s="355"/>
    </row>
    <row r="85">
      <c r="A85" s="355"/>
      <c r="B85" s="355"/>
      <c r="F85" s="355"/>
    </row>
    <row r="86">
      <c r="A86" s="355"/>
      <c r="B86" s="355"/>
      <c r="F86" s="355"/>
    </row>
    <row r="87">
      <c r="A87" s="355"/>
      <c r="B87" s="355"/>
      <c r="F87" s="355"/>
    </row>
    <row r="88">
      <c r="A88" s="355"/>
      <c r="B88" s="355"/>
      <c r="F88" s="355"/>
    </row>
    <row r="89">
      <c r="A89" s="355"/>
      <c r="B89" s="355"/>
      <c r="F89" s="355"/>
    </row>
    <row r="90">
      <c r="A90" s="355"/>
      <c r="B90" s="355"/>
      <c r="F90" s="355"/>
    </row>
    <row r="91">
      <c r="A91" s="355"/>
      <c r="B91" s="355"/>
      <c r="F91" s="355"/>
    </row>
    <row r="92">
      <c r="A92" s="355"/>
      <c r="B92" s="355"/>
      <c r="F92" s="355"/>
    </row>
    <row r="93">
      <c r="A93" s="355"/>
      <c r="B93" s="355"/>
      <c r="F93" s="355"/>
    </row>
    <row r="94">
      <c r="A94" s="355"/>
      <c r="B94" s="355"/>
      <c r="F94" s="355"/>
    </row>
    <row r="95">
      <c r="A95" s="355"/>
      <c r="B95" s="355"/>
      <c r="F95" s="355"/>
    </row>
    <row r="96">
      <c r="A96" s="355"/>
      <c r="B96" s="355"/>
      <c r="F96" s="355"/>
    </row>
    <row r="97">
      <c r="A97" s="355"/>
      <c r="B97" s="355"/>
      <c r="F97" s="355"/>
    </row>
    <row r="98">
      <c r="A98" s="355"/>
      <c r="B98" s="355"/>
      <c r="F98" s="355"/>
    </row>
    <row r="99">
      <c r="A99" s="355"/>
      <c r="B99" s="355"/>
      <c r="F99" s="355"/>
    </row>
    <row r="100">
      <c r="A100" s="355"/>
      <c r="B100" s="355"/>
      <c r="F100" s="355"/>
    </row>
    <row r="101">
      <c r="A101" s="355"/>
      <c r="B101" s="355"/>
      <c r="F101" s="355"/>
    </row>
    <row r="102">
      <c r="A102" s="355"/>
      <c r="B102" s="355"/>
      <c r="F102" s="355"/>
    </row>
    <row r="103">
      <c r="A103" s="355"/>
      <c r="B103" s="355"/>
      <c r="F103" s="355"/>
    </row>
    <row r="104">
      <c r="A104" s="355"/>
      <c r="B104" s="355"/>
      <c r="F104" s="355"/>
    </row>
    <row r="105">
      <c r="A105" s="355"/>
      <c r="B105" s="355"/>
      <c r="F105" s="355"/>
    </row>
    <row r="106">
      <c r="A106" s="355"/>
      <c r="B106" s="355"/>
      <c r="F106" s="355"/>
    </row>
    <row r="107">
      <c r="A107" s="355"/>
      <c r="B107" s="355"/>
      <c r="F107" s="355"/>
    </row>
    <row r="108">
      <c r="A108" s="355"/>
      <c r="B108" s="355"/>
      <c r="F108" s="355"/>
    </row>
    <row r="109">
      <c r="A109" s="355"/>
      <c r="B109" s="355"/>
      <c r="F109" s="355"/>
    </row>
    <row r="110">
      <c r="A110" s="355"/>
      <c r="B110" s="355"/>
      <c r="F110" s="355"/>
    </row>
    <row r="111">
      <c r="A111" s="355"/>
      <c r="B111" s="355"/>
      <c r="F111" s="355"/>
    </row>
    <row r="112">
      <c r="A112" s="355"/>
      <c r="B112" s="355"/>
      <c r="F112" s="355"/>
    </row>
    <row r="113">
      <c r="A113" s="355"/>
      <c r="B113" s="355"/>
      <c r="F113" s="355"/>
    </row>
    <row r="114">
      <c r="A114" s="355"/>
      <c r="B114" s="355"/>
      <c r="F114" s="355"/>
    </row>
    <row r="115">
      <c r="A115" s="355"/>
      <c r="B115" s="355"/>
      <c r="F115" s="355"/>
    </row>
    <row r="116">
      <c r="A116" s="355"/>
      <c r="B116" s="355"/>
      <c r="F116" s="355"/>
    </row>
    <row r="117">
      <c r="A117" s="355"/>
      <c r="B117" s="355"/>
      <c r="F117" s="355"/>
    </row>
    <row r="118">
      <c r="A118" s="355"/>
      <c r="B118" s="355"/>
      <c r="F118" s="355"/>
    </row>
    <row r="119">
      <c r="A119" s="355"/>
      <c r="B119" s="355"/>
      <c r="F119" s="355"/>
    </row>
    <row r="120">
      <c r="A120" s="355"/>
      <c r="B120" s="355"/>
      <c r="F120" s="355"/>
    </row>
    <row r="121">
      <c r="A121" s="355"/>
      <c r="B121" s="355"/>
      <c r="F121" s="355"/>
    </row>
    <row r="122">
      <c r="A122" s="355"/>
      <c r="B122" s="355"/>
      <c r="F122" s="355"/>
    </row>
    <row r="123">
      <c r="A123" s="355"/>
      <c r="B123" s="355"/>
      <c r="F123" s="355"/>
    </row>
    <row r="124">
      <c r="A124" s="355"/>
      <c r="B124" s="355"/>
      <c r="F124" s="355"/>
    </row>
    <row r="125">
      <c r="A125" s="355"/>
      <c r="B125" s="355"/>
      <c r="F125" s="355"/>
    </row>
    <row r="126">
      <c r="A126" s="355"/>
      <c r="B126" s="355"/>
      <c r="F126" s="355"/>
    </row>
    <row r="127">
      <c r="A127" s="355"/>
      <c r="B127" s="355"/>
      <c r="F127" s="355"/>
    </row>
    <row r="128">
      <c r="A128" s="355"/>
      <c r="B128" s="355"/>
      <c r="F128" s="355"/>
    </row>
    <row r="129">
      <c r="A129" s="355"/>
      <c r="B129" s="355"/>
      <c r="F129" s="355"/>
    </row>
    <row r="130">
      <c r="A130" s="355"/>
      <c r="B130" s="355"/>
      <c r="F130" s="355"/>
    </row>
    <row r="131">
      <c r="A131" s="355"/>
      <c r="B131" s="355"/>
      <c r="F131" s="355"/>
    </row>
    <row r="132">
      <c r="A132" s="355"/>
      <c r="B132" s="355"/>
      <c r="F132" s="355"/>
    </row>
    <row r="133">
      <c r="A133" s="355"/>
      <c r="B133" s="355"/>
      <c r="F133" s="355"/>
    </row>
    <row r="134">
      <c r="A134" s="355"/>
      <c r="B134" s="355"/>
      <c r="F134" s="355"/>
    </row>
    <row r="135">
      <c r="A135" s="355"/>
      <c r="B135" s="355"/>
      <c r="F135" s="355"/>
    </row>
    <row r="136">
      <c r="A136" s="355"/>
      <c r="B136" s="355"/>
      <c r="F136" s="355"/>
    </row>
    <row r="137">
      <c r="A137" s="355"/>
      <c r="B137" s="355"/>
      <c r="F137" s="355"/>
    </row>
    <row r="138">
      <c r="A138" s="355"/>
      <c r="B138" s="355"/>
      <c r="F138" s="355"/>
    </row>
    <row r="139">
      <c r="A139" s="355"/>
      <c r="B139" s="355"/>
      <c r="F139" s="355"/>
    </row>
    <row r="140">
      <c r="A140" s="355"/>
      <c r="B140" s="355"/>
      <c r="F140" s="355"/>
    </row>
    <row r="141">
      <c r="A141" s="355"/>
      <c r="B141" s="355"/>
      <c r="F141" s="355"/>
    </row>
    <row r="142">
      <c r="A142" s="355"/>
      <c r="B142" s="355"/>
      <c r="F142" s="355"/>
    </row>
    <row r="143">
      <c r="A143" s="355"/>
      <c r="B143" s="355"/>
      <c r="F143" s="355"/>
    </row>
    <row r="144">
      <c r="A144" s="355"/>
      <c r="B144" s="355"/>
      <c r="F144" s="355"/>
    </row>
    <row r="145">
      <c r="A145" s="355"/>
      <c r="B145" s="355"/>
      <c r="F145" s="355"/>
    </row>
    <row r="146">
      <c r="A146" s="355"/>
      <c r="B146" s="355"/>
      <c r="F146" s="355"/>
    </row>
    <row r="147">
      <c r="A147" s="355"/>
      <c r="B147" s="355"/>
      <c r="F147" s="355"/>
    </row>
    <row r="148">
      <c r="A148" s="355"/>
      <c r="B148" s="355"/>
      <c r="F148" s="355"/>
    </row>
    <row r="149">
      <c r="A149" s="355"/>
      <c r="B149" s="355"/>
      <c r="F149" s="355"/>
    </row>
    <row r="150">
      <c r="A150" s="355"/>
      <c r="B150" s="355"/>
      <c r="F150" s="355"/>
    </row>
    <row r="151">
      <c r="A151" s="355"/>
      <c r="B151" s="355"/>
      <c r="F151" s="355"/>
    </row>
    <row r="152">
      <c r="A152" s="355"/>
      <c r="B152" s="355"/>
      <c r="F152" s="355"/>
    </row>
    <row r="153">
      <c r="A153" s="355"/>
      <c r="B153" s="355"/>
      <c r="F153" s="355"/>
    </row>
    <row r="154">
      <c r="A154" s="355"/>
      <c r="B154" s="355"/>
      <c r="F154" s="355"/>
    </row>
    <row r="155">
      <c r="A155" s="355"/>
      <c r="B155" s="355"/>
      <c r="F155" s="355"/>
    </row>
    <row r="156">
      <c r="A156" s="355"/>
      <c r="B156" s="355"/>
      <c r="F156" s="355"/>
    </row>
    <row r="157">
      <c r="A157" s="355"/>
      <c r="B157" s="355"/>
      <c r="F157" s="355"/>
    </row>
    <row r="158">
      <c r="A158" s="355"/>
      <c r="B158" s="355"/>
      <c r="F158" s="355"/>
    </row>
    <row r="159">
      <c r="A159" s="355"/>
      <c r="B159" s="355"/>
      <c r="F159" s="355"/>
    </row>
    <row r="160">
      <c r="A160" s="355"/>
      <c r="B160" s="355"/>
      <c r="F160" s="355"/>
    </row>
    <row r="161">
      <c r="A161" s="355"/>
      <c r="B161" s="355"/>
      <c r="F161" s="355"/>
    </row>
    <row r="162">
      <c r="A162" s="355"/>
      <c r="B162" s="355"/>
      <c r="F162" s="355"/>
    </row>
    <row r="163">
      <c r="A163" s="355"/>
      <c r="B163" s="355"/>
      <c r="F163" s="355"/>
    </row>
    <row r="164">
      <c r="A164" s="355"/>
      <c r="B164" s="355"/>
      <c r="F164" s="355"/>
    </row>
    <row r="165">
      <c r="A165" s="355"/>
      <c r="B165" s="355"/>
      <c r="F165" s="355"/>
    </row>
    <row r="166">
      <c r="A166" s="355"/>
      <c r="B166" s="355"/>
      <c r="F166" s="355"/>
    </row>
    <row r="167">
      <c r="A167" s="355"/>
      <c r="B167" s="355"/>
      <c r="F167" s="355"/>
    </row>
    <row r="168">
      <c r="A168" s="355"/>
      <c r="B168" s="355"/>
      <c r="F168" s="355"/>
    </row>
    <row r="169">
      <c r="A169" s="355"/>
      <c r="B169" s="355"/>
      <c r="F169" s="355"/>
    </row>
    <row r="170">
      <c r="A170" s="355"/>
      <c r="B170" s="355"/>
      <c r="F170" s="355"/>
    </row>
    <row r="171">
      <c r="A171" s="355"/>
      <c r="B171" s="355"/>
      <c r="F171" s="355"/>
    </row>
    <row r="172">
      <c r="A172" s="355"/>
      <c r="B172" s="355"/>
      <c r="F172" s="355"/>
    </row>
    <row r="173">
      <c r="A173" s="355"/>
      <c r="B173" s="355"/>
      <c r="F173" s="355"/>
    </row>
    <row r="174">
      <c r="A174" s="355"/>
      <c r="B174" s="355"/>
      <c r="F174" s="355"/>
    </row>
    <row r="175">
      <c r="A175" s="355"/>
      <c r="B175" s="355"/>
      <c r="F175" s="355"/>
    </row>
    <row r="176">
      <c r="A176" s="355"/>
      <c r="B176" s="355"/>
      <c r="F176" s="355"/>
    </row>
    <row r="177">
      <c r="A177" s="355"/>
      <c r="B177" s="355"/>
      <c r="F177" s="355"/>
    </row>
    <row r="178">
      <c r="A178" s="355"/>
      <c r="B178" s="355"/>
      <c r="F178" s="355"/>
    </row>
    <row r="179">
      <c r="A179" s="355"/>
      <c r="B179" s="355"/>
      <c r="F179" s="355"/>
    </row>
    <row r="180">
      <c r="A180" s="355"/>
      <c r="B180" s="355"/>
      <c r="F180" s="355"/>
    </row>
    <row r="181">
      <c r="A181" s="355"/>
      <c r="B181" s="355"/>
      <c r="F181" s="355"/>
    </row>
    <row r="182">
      <c r="A182" s="355"/>
      <c r="B182" s="355"/>
      <c r="F182" s="355"/>
    </row>
    <row r="183">
      <c r="A183" s="355"/>
      <c r="B183" s="355"/>
      <c r="F183" s="355"/>
    </row>
    <row r="184">
      <c r="A184" s="355"/>
      <c r="B184" s="355"/>
      <c r="F184" s="355"/>
    </row>
    <row r="185">
      <c r="A185" s="355"/>
      <c r="B185" s="355"/>
      <c r="F185" s="355"/>
    </row>
    <row r="186">
      <c r="A186" s="355"/>
      <c r="B186" s="355"/>
      <c r="F186" s="355"/>
    </row>
    <row r="187">
      <c r="A187" s="355"/>
      <c r="B187" s="355"/>
      <c r="F187" s="355"/>
    </row>
    <row r="188">
      <c r="A188" s="355"/>
      <c r="B188" s="355"/>
      <c r="F188" s="355"/>
    </row>
    <row r="189">
      <c r="A189" s="355"/>
      <c r="B189" s="355"/>
      <c r="F189" s="355"/>
    </row>
    <row r="190">
      <c r="A190" s="355"/>
      <c r="B190" s="355"/>
      <c r="F190" s="355"/>
    </row>
    <row r="191">
      <c r="A191" s="355"/>
      <c r="B191" s="355"/>
      <c r="F191" s="355"/>
    </row>
    <row r="192">
      <c r="A192" s="355"/>
      <c r="B192" s="355"/>
      <c r="F192" s="355"/>
    </row>
    <row r="193">
      <c r="A193" s="355"/>
      <c r="B193" s="355"/>
      <c r="F193" s="355"/>
    </row>
    <row r="194">
      <c r="A194" s="355"/>
      <c r="B194" s="355"/>
      <c r="F194" s="355"/>
    </row>
    <row r="195">
      <c r="A195" s="355"/>
      <c r="B195" s="355"/>
      <c r="F195" s="355"/>
    </row>
    <row r="196">
      <c r="A196" s="355"/>
      <c r="B196" s="355"/>
      <c r="F196" s="355"/>
    </row>
    <row r="197">
      <c r="A197" s="355"/>
      <c r="B197" s="355"/>
      <c r="F197" s="355"/>
    </row>
    <row r="198">
      <c r="A198" s="355"/>
      <c r="B198" s="355"/>
      <c r="F198" s="355"/>
    </row>
    <row r="199">
      <c r="A199" s="355"/>
      <c r="B199" s="355"/>
      <c r="F199" s="355"/>
    </row>
    <row r="200">
      <c r="A200" s="355"/>
      <c r="B200" s="355"/>
      <c r="F200" s="355"/>
    </row>
    <row r="201">
      <c r="A201" s="355"/>
      <c r="B201" s="355"/>
      <c r="F201" s="355"/>
    </row>
    <row r="202">
      <c r="A202" s="355"/>
      <c r="B202" s="355"/>
      <c r="F202" s="355"/>
    </row>
    <row r="203">
      <c r="A203" s="355"/>
      <c r="B203" s="355"/>
      <c r="F203" s="355"/>
    </row>
    <row r="204">
      <c r="A204" s="355"/>
      <c r="B204" s="355"/>
      <c r="F204" s="355"/>
    </row>
    <row r="205">
      <c r="A205" s="355"/>
      <c r="B205" s="355"/>
      <c r="F205" s="355"/>
    </row>
    <row r="206">
      <c r="A206" s="355"/>
      <c r="B206" s="355"/>
      <c r="F206" s="355"/>
    </row>
    <row r="207">
      <c r="A207" s="355"/>
      <c r="B207" s="355"/>
      <c r="F207" s="355"/>
    </row>
    <row r="208">
      <c r="A208" s="355"/>
      <c r="B208" s="355"/>
      <c r="F208" s="355"/>
    </row>
    <row r="209">
      <c r="A209" s="355"/>
      <c r="B209" s="355"/>
      <c r="F209" s="355"/>
    </row>
    <row r="210">
      <c r="A210" s="355"/>
      <c r="B210" s="355"/>
      <c r="F210" s="355"/>
    </row>
    <row r="211">
      <c r="A211" s="355"/>
      <c r="B211" s="355"/>
      <c r="F211" s="355"/>
    </row>
    <row r="212">
      <c r="A212" s="355"/>
      <c r="B212" s="355"/>
      <c r="F212" s="355"/>
    </row>
    <row r="213">
      <c r="A213" s="355"/>
      <c r="B213" s="355"/>
      <c r="F213" s="355"/>
    </row>
    <row r="214">
      <c r="A214" s="355"/>
      <c r="B214" s="355"/>
      <c r="F214" s="355"/>
    </row>
    <row r="215">
      <c r="A215" s="355"/>
      <c r="B215" s="355"/>
      <c r="F215" s="355"/>
    </row>
    <row r="216">
      <c r="A216" s="355"/>
      <c r="B216" s="355"/>
      <c r="F216" s="355"/>
    </row>
    <row r="217">
      <c r="A217" s="355"/>
      <c r="B217" s="355"/>
      <c r="F217" s="355"/>
    </row>
    <row r="218">
      <c r="A218" s="355"/>
      <c r="B218" s="355"/>
      <c r="F218" s="355"/>
    </row>
    <row r="219">
      <c r="A219" s="355"/>
      <c r="B219" s="355"/>
      <c r="F219" s="355"/>
    </row>
    <row r="220">
      <c r="A220" s="355"/>
      <c r="B220" s="355"/>
      <c r="F220" s="355"/>
    </row>
    <row r="221">
      <c r="A221" s="355"/>
      <c r="B221" s="355"/>
      <c r="F221" s="355"/>
    </row>
    <row r="222">
      <c r="A222" s="355"/>
      <c r="B222" s="355"/>
      <c r="F222" s="355"/>
    </row>
    <row r="223">
      <c r="A223" s="355"/>
      <c r="B223" s="355"/>
      <c r="F223" s="355"/>
    </row>
    <row r="224">
      <c r="A224" s="355"/>
      <c r="B224" s="355"/>
      <c r="F224" s="355"/>
    </row>
    <row r="225">
      <c r="A225" s="355"/>
      <c r="B225" s="355"/>
      <c r="F225" s="355"/>
    </row>
    <row r="226">
      <c r="A226" s="355"/>
      <c r="B226" s="355"/>
      <c r="F226" s="355"/>
    </row>
    <row r="227">
      <c r="A227" s="355"/>
      <c r="B227" s="355"/>
      <c r="F227" s="355"/>
    </row>
    <row r="228">
      <c r="A228" s="355"/>
      <c r="B228" s="355"/>
      <c r="F228" s="355"/>
    </row>
    <row r="229">
      <c r="A229" s="355"/>
      <c r="B229" s="355"/>
      <c r="F229" s="355"/>
    </row>
    <row r="230">
      <c r="A230" s="355"/>
      <c r="B230" s="355"/>
      <c r="F230" s="355"/>
    </row>
    <row r="231">
      <c r="A231" s="355"/>
      <c r="B231" s="355"/>
      <c r="F231" s="355"/>
    </row>
    <row r="232">
      <c r="A232" s="355"/>
      <c r="B232" s="355"/>
      <c r="F232" s="355"/>
    </row>
    <row r="233">
      <c r="A233" s="355"/>
      <c r="B233" s="355"/>
      <c r="F233" s="355"/>
    </row>
    <row r="234">
      <c r="A234" s="355"/>
      <c r="B234" s="355"/>
      <c r="F234" s="355"/>
    </row>
    <row r="235">
      <c r="A235" s="355"/>
      <c r="B235" s="355"/>
      <c r="F235" s="355"/>
    </row>
    <row r="236">
      <c r="A236" s="355"/>
      <c r="B236" s="355"/>
      <c r="F236" s="355"/>
    </row>
    <row r="237">
      <c r="A237" s="355"/>
      <c r="B237" s="355"/>
      <c r="F237" s="355"/>
    </row>
    <row r="238">
      <c r="A238" s="355"/>
      <c r="B238" s="355"/>
      <c r="F238" s="355"/>
    </row>
    <row r="239">
      <c r="A239" s="355"/>
      <c r="B239" s="355"/>
      <c r="F239" s="355"/>
    </row>
    <row r="240">
      <c r="A240" s="355"/>
      <c r="B240" s="355"/>
      <c r="F240" s="355"/>
    </row>
    <row r="241">
      <c r="A241" s="355"/>
      <c r="B241" s="355"/>
      <c r="F241" s="355"/>
    </row>
    <row r="242">
      <c r="A242" s="355"/>
      <c r="B242" s="355"/>
      <c r="F242" s="355"/>
    </row>
    <row r="243">
      <c r="A243" s="355"/>
      <c r="B243" s="355"/>
      <c r="F243" s="355"/>
    </row>
    <row r="244">
      <c r="A244" s="355"/>
      <c r="B244" s="355"/>
      <c r="F244" s="355"/>
    </row>
    <row r="245">
      <c r="A245" s="355"/>
      <c r="B245" s="355"/>
      <c r="F245" s="355"/>
    </row>
    <row r="246">
      <c r="A246" s="355"/>
      <c r="B246" s="355"/>
      <c r="F246" s="355"/>
    </row>
    <row r="247">
      <c r="A247" s="355"/>
      <c r="B247" s="355"/>
      <c r="F247" s="355"/>
    </row>
    <row r="248">
      <c r="A248" s="355"/>
      <c r="B248" s="355"/>
      <c r="F248" s="355"/>
    </row>
    <row r="249">
      <c r="A249" s="355"/>
      <c r="B249" s="355"/>
      <c r="F249" s="355"/>
    </row>
    <row r="250">
      <c r="A250" s="355"/>
      <c r="B250" s="355"/>
      <c r="F250" s="355"/>
    </row>
    <row r="251">
      <c r="A251" s="355"/>
      <c r="B251" s="355"/>
      <c r="F251" s="355"/>
    </row>
    <row r="252">
      <c r="A252" s="355"/>
      <c r="B252" s="355"/>
      <c r="F252" s="355"/>
    </row>
    <row r="253">
      <c r="A253" s="355"/>
      <c r="B253" s="355"/>
      <c r="F253" s="355"/>
    </row>
    <row r="254">
      <c r="A254" s="355"/>
      <c r="B254" s="355"/>
      <c r="F254" s="355"/>
    </row>
    <row r="255">
      <c r="A255" s="355"/>
      <c r="B255" s="355"/>
      <c r="F255" s="355"/>
    </row>
    <row r="256">
      <c r="A256" s="355"/>
      <c r="B256" s="355"/>
      <c r="F256" s="355"/>
    </row>
    <row r="257">
      <c r="A257" s="355"/>
      <c r="B257" s="355"/>
      <c r="F257" s="355"/>
    </row>
    <row r="258">
      <c r="A258" s="355"/>
      <c r="B258" s="355"/>
      <c r="F258" s="355"/>
    </row>
    <row r="259">
      <c r="A259" s="355"/>
      <c r="B259" s="355"/>
      <c r="F259" s="355"/>
    </row>
    <row r="260">
      <c r="A260" s="355"/>
      <c r="B260" s="355"/>
      <c r="F260" s="355"/>
    </row>
    <row r="261">
      <c r="A261" s="355"/>
      <c r="B261" s="355"/>
      <c r="F261" s="355"/>
    </row>
    <row r="262">
      <c r="A262" s="355"/>
      <c r="B262" s="355"/>
      <c r="F262" s="355"/>
    </row>
    <row r="263">
      <c r="A263" s="355"/>
      <c r="B263" s="355"/>
      <c r="F263" s="355"/>
    </row>
    <row r="264">
      <c r="A264" s="355"/>
      <c r="B264" s="355"/>
      <c r="F264" s="355"/>
    </row>
    <row r="265">
      <c r="A265" s="355"/>
      <c r="B265" s="355"/>
      <c r="F265" s="355"/>
    </row>
    <row r="266">
      <c r="A266" s="355"/>
      <c r="B266" s="355"/>
      <c r="F266" s="355"/>
    </row>
    <row r="267">
      <c r="A267" s="355"/>
      <c r="B267" s="355"/>
      <c r="F267" s="355"/>
    </row>
    <row r="268">
      <c r="A268" s="355"/>
      <c r="B268" s="355"/>
      <c r="F268" s="355"/>
    </row>
    <row r="269">
      <c r="A269" s="355"/>
      <c r="B269" s="355"/>
      <c r="F269" s="355"/>
    </row>
    <row r="270">
      <c r="A270" s="355"/>
      <c r="B270" s="355"/>
      <c r="F270" s="355"/>
    </row>
    <row r="271">
      <c r="A271" s="355"/>
      <c r="B271" s="355"/>
      <c r="F271" s="355"/>
    </row>
    <row r="272">
      <c r="A272" s="355"/>
      <c r="B272" s="355"/>
      <c r="F272" s="355"/>
    </row>
    <row r="273">
      <c r="A273" s="355"/>
      <c r="B273" s="355"/>
      <c r="F273" s="355"/>
    </row>
    <row r="274">
      <c r="A274" s="355"/>
      <c r="B274" s="355"/>
      <c r="F274" s="355"/>
    </row>
    <row r="275">
      <c r="A275" s="355"/>
      <c r="B275" s="355"/>
      <c r="F275" s="355"/>
    </row>
    <row r="276">
      <c r="A276" s="355"/>
      <c r="B276" s="355"/>
      <c r="F276" s="355"/>
    </row>
    <row r="277">
      <c r="A277" s="355"/>
      <c r="B277" s="355"/>
      <c r="F277" s="355"/>
    </row>
    <row r="278">
      <c r="A278" s="355"/>
      <c r="B278" s="355"/>
      <c r="F278" s="355"/>
    </row>
    <row r="279">
      <c r="A279" s="355"/>
      <c r="B279" s="355"/>
      <c r="F279" s="355"/>
    </row>
    <row r="280">
      <c r="A280" s="355"/>
      <c r="B280" s="355"/>
      <c r="F280" s="355"/>
    </row>
    <row r="281">
      <c r="A281" s="355"/>
      <c r="B281" s="355"/>
      <c r="F281" s="355"/>
    </row>
    <row r="282">
      <c r="A282" s="355"/>
      <c r="B282" s="355"/>
      <c r="F282" s="355"/>
    </row>
    <row r="283">
      <c r="A283" s="355"/>
      <c r="B283" s="355"/>
      <c r="F283" s="355"/>
    </row>
    <row r="284">
      <c r="A284" s="355"/>
      <c r="B284" s="355"/>
      <c r="F284" s="355"/>
    </row>
    <row r="285">
      <c r="A285" s="355"/>
      <c r="B285" s="355"/>
      <c r="F285" s="355"/>
    </row>
    <row r="286">
      <c r="A286" s="355"/>
      <c r="B286" s="355"/>
      <c r="F286" s="355"/>
    </row>
    <row r="287">
      <c r="A287" s="355"/>
      <c r="B287" s="355"/>
      <c r="F287" s="355"/>
    </row>
    <row r="288">
      <c r="A288" s="355"/>
      <c r="B288" s="355"/>
      <c r="F288" s="355"/>
    </row>
    <row r="289">
      <c r="A289" s="355"/>
      <c r="B289" s="355"/>
      <c r="F289" s="355"/>
    </row>
    <row r="290">
      <c r="A290" s="355"/>
      <c r="B290" s="355"/>
      <c r="F290" s="355"/>
    </row>
    <row r="291">
      <c r="A291" s="355"/>
      <c r="B291" s="355"/>
      <c r="F291" s="355"/>
    </row>
    <row r="292">
      <c r="A292" s="355"/>
      <c r="B292" s="355"/>
      <c r="F292" s="355"/>
    </row>
    <row r="293">
      <c r="A293" s="355"/>
      <c r="B293" s="355"/>
      <c r="F293" s="355"/>
    </row>
    <row r="294">
      <c r="A294" s="355"/>
      <c r="B294" s="355"/>
      <c r="F294" s="355"/>
    </row>
    <row r="295">
      <c r="A295" s="355"/>
      <c r="B295" s="355"/>
      <c r="F295" s="355"/>
    </row>
    <row r="296">
      <c r="A296" s="355"/>
      <c r="B296" s="355"/>
      <c r="F296" s="355"/>
    </row>
    <row r="297">
      <c r="A297" s="355"/>
      <c r="B297" s="355"/>
      <c r="F297" s="355"/>
    </row>
    <row r="298">
      <c r="A298" s="355"/>
      <c r="B298" s="355"/>
      <c r="F298" s="355"/>
    </row>
    <row r="299">
      <c r="A299" s="355"/>
      <c r="B299" s="355"/>
      <c r="F299" s="355"/>
    </row>
    <row r="300">
      <c r="A300" s="355"/>
      <c r="B300" s="355"/>
      <c r="F300" s="355"/>
    </row>
    <row r="301">
      <c r="A301" s="355"/>
      <c r="B301" s="355"/>
      <c r="F301" s="355"/>
    </row>
    <row r="302">
      <c r="A302" s="355"/>
      <c r="B302" s="355"/>
      <c r="F302" s="355"/>
    </row>
    <row r="303">
      <c r="A303" s="355"/>
      <c r="B303" s="355"/>
      <c r="F303" s="355"/>
    </row>
    <row r="304">
      <c r="A304" s="355"/>
      <c r="B304" s="355"/>
      <c r="F304" s="355"/>
    </row>
    <row r="305">
      <c r="A305" s="355"/>
      <c r="B305" s="355"/>
      <c r="F305" s="355"/>
    </row>
    <row r="306">
      <c r="A306" s="355"/>
      <c r="B306" s="355"/>
      <c r="F306" s="355"/>
    </row>
    <row r="307">
      <c r="A307" s="355"/>
      <c r="B307" s="355"/>
      <c r="F307" s="355"/>
    </row>
    <row r="308">
      <c r="A308" s="355"/>
      <c r="B308" s="355"/>
      <c r="F308" s="355"/>
    </row>
    <row r="309">
      <c r="A309" s="355"/>
      <c r="B309" s="355"/>
      <c r="F309" s="355"/>
    </row>
    <row r="310">
      <c r="A310" s="355"/>
      <c r="B310" s="355"/>
      <c r="F310" s="355"/>
    </row>
    <row r="311">
      <c r="A311" s="355"/>
      <c r="B311" s="355"/>
      <c r="F311" s="355"/>
    </row>
    <row r="312">
      <c r="A312" s="355"/>
      <c r="B312" s="355"/>
      <c r="F312" s="355"/>
    </row>
    <row r="313">
      <c r="A313" s="355"/>
      <c r="B313" s="355"/>
      <c r="F313" s="355"/>
    </row>
    <row r="314">
      <c r="A314" s="355"/>
      <c r="B314" s="355"/>
      <c r="F314" s="355"/>
    </row>
    <row r="315">
      <c r="A315" s="355"/>
      <c r="B315" s="355"/>
      <c r="F315" s="355"/>
    </row>
    <row r="316">
      <c r="A316" s="355"/>
      <c r="B316" s="355"/>
      <c r="F316" s="355"/>
    </row>
    <row r="317">
      <c r="A317" s="355"/>
      <c r="B317" s="355"/>
      <c r="F317" s="355"/>
    </row>
    <row r="318">
      <c r="A318" s="355"/>
      <c r="B318" s="355"/>
      <c r="F318" s="355"/>
    </row>
    <row r="319">
      <c r="A319" s="355"/>
      <c r="B319" s="355"/>
      <c r="F319" s="355"/>
    </row>
    <row r="320">
      <c r="A320" s="355"/>
      <c r="B320" s="355"/>
      <c r="F320" s="355"/>
    </row>
    <row r="321">
      <c r="A321" s="355"/>
      <c r="B321" s="355"/>
      <c r="F321" s="355"/>
    </row>
    <row r="322">
      <c r="A322" s="355"/>
      <c r="B322" s="355"/>
      <c r="F322" s="355"/>
    </row>
    <row r="323">
      <c r="A323" s="355"/>
      <c r="B323" s="355"/>
      <c r="F323" s="355"/>
    </row>
    <row r="324">
      <c r="A324" s="355"/>
      <c r="B324" s="355"/>
      <c r="F324" s="355"/>
    </row>
    <row r="325">
      <c r="A325" s="355"/>
      <c r="B325" s="355"/>
      <c r="F325" s="355"/>
    </row>
    <row r="326">
      <c r="A326" s="355"/>
      <c r="B326" s="355"/>
      <c r="F326" s="355"/>
    </row>
    <row r="327">
      <c r="A327" s="355"/>
      <c r="B327" s="355"/>
      <c r="F327" s="355"/>
    </row>
    <row r="328">
      <c r="A328" s="355"/>
      <c r="B328" s="355"/>
      <c r="F328" s="355"/>
    </row>
    <row r="329">
      <c r="A329" s="355"/>
      <c r="B329" s="355"/>
      <c r="F329" s="355"/>
    </row>
    <row r="330">
      <c r="A330" s="355"/>
      <c r="B330" s="355"/>
      <c r="F330" s="355"/>
    </row>
    <row r="331">
      <c r="A331" s="355"/>
      <c r="B331" s="355"/>
      <c r="F331" s="355"/>
    </row>
    <row r="332">
      <c r="A332" s="355"/>
      <c r="B332" s="355"/>
      <c r="F332" s="355"/>
    </row>
    <row r="333">
      <c r="A333" s="355"/>
      <c r="B333" s="355"/>
      <c r="F333" s="355"/>
    </row>
    <row r="334">
      <c r="A334" s="355"/>
      <c r="B334" s="355"/>
      <c r="F334" s="355"/>
    </row>
    <row r="335">
      <c r="A335" s="355"/>
      <c r="B335" s="355"/>
      <c r="F335" s="355"/>
    </row>
    <row r="336">
      <c r="A336" s="355"/>
      <c r="B336" s="355"/>
      <c r="F336" s="355"/>
    </row>
    <row r="337">
      <c r="A337" s="355"/>
      <c r="B337" s="355"/>
      <c r="F337" s="355"/>
    </row>
    <row r="338">
      <c r="A338" s="355"/>
      <c r="B338" s="355"/>
      <c r="F338" s="355"/>
    </row>
    <row r="339">
      <c r="A339" s="355"/>
      <c r="B339" s="355"/>
      <c r="F339" s="355"/>
    </row>
    <row r="340">
      <c r="A340" s="355"/>
      <c r="B340" s="355"/>
      <c r="F340" s="355"/>
    </row>
    <row r="341">
      <c r="A341" s="355"/>
      <c r="B341" s="355"/>
      <c r="F341" s="355"/>
    </row>
    <row r="342">
      <c r="A342" s="355"/>
      <c r="B342" s="355"/>
      <c r="F342" s="355"/>
    </row>
    <row r="343">
      <c r="A343" s="355"/>
      <c r="B343" s="355"/>
      <c r="F343" s="355"/>
    </row>
    <row r="344">
      <c r="A344" s="355"/>
      <c r="B344" s="355"/>
      <c r="F344" s="355"/>
    </row>
    <row r="345">
      <c r="A345" s="355"/>
      <c r="B345" s="355"/>
      <c r="F345" s="355"/>
    </row>
    <row r="346">
      <c r="A346" s="355"/>
      <c r="B346" s="355"/>
      <c r="F346" s="355"/>
    </row>
    <row r="347">
      <c r="A347" s="355"/>
      <c r="B347" s="355"/>
      <c r="F347" s="355"/>
    </row>
    <row r="348">
      <c r="A348" s="355"/>
      <c r="B348" s="355"/>
      <c r="F348" s="355"/>
    </row>
    <row r="349">
      <c r="A349" s="355"/>
      <c r="B349" s="355"/>
      <c r="F349" s="355"/>
    </row>
    <row r="350">
      <c r="A350" s="355"/>
      <c r="B350" s="355"/>
      <c r="F350" s="355"/>
    </row>
    <row r="351">
      <c r="A351" s="355"/>
      <c r="B351" s="355"/>
      <c r="F351" s="355"/>
    </row>
    <row r="352">
      <c r="A352" s="355"/>
      <c r="B352" s="355"/>
      <c r="F352" s="355"/>
    </row>
    <row r="353">
      <c r="A353" s="355"/>
      <c r="B353" s="355"/>
      <c r="F353" s="355"/>
    </row>
    <row r="354">
      <c r="A354" s="355"/>
      <c r="B354" s="355"/>
      <c r="F354" s="355"/>
    </row>
    <row r="355">
      <c r="A355" s="355"/>
      <c r="B355" s="355"/>
      <c r="F355" s="355"/>
    </row>
    <row r="356">
      <c r="A356" s="355"/>
      <c r="B356" s="355"/>
      <c r="F356" s="355"/>
    </row>
    <row r="357">
      <c r="A357" s="355"/>
      <c r="B357" s="355"/>
      <c r="F357" s="355"/>
    </row>
    <row r="358">
      <c r="A358" s="355"/>
      <c r="B358" s="355"/>
      <c r="F358" s="355"/>
    </row>
    <row r="359">
      <c r="A359" s="355"/>
      <c r="B359" s="355"/>
      <c r="F359" s="355"/>
    </row>
    <row r="360">
      <c r="A360" s="355"/>
      <c r="B360" s="355"/>
      <c r="F360" s="355"/>
    </row>
    <row r="361">
      <c r="A361" s="355"/>
      <c r="B361" s="355"/>
      <c r="F361" s="355"/>
    </row>
    <row r="362">
      <c r="A362" s="355"/>
      <c r="B362" s="355"/>
      <c r="F362" s="355"/>
    </row>
    <row r="363">
      <c r="A363" s="355"/>
      <c r="B363" s="355"/>
      <c r="F363" s="355"/>
    </row>
    <row r="364">
      <c r="A364" s="355"/>
      <c r="B364" s="355"/>
      <c r="F364" s="355"/>
    </row>
    <row r="365">
      <c r="A365" s="355"/>
      <c r="B365" s="355"/>
      <c r="F365" s="355"/>
    </row>
    <row r="366">
      <c r="A366" s="355"/>
      <c r="B366" s="355"/>
      <c r="F366" s="355"/>
    </row>
    <row r="367">
      <c r="A367" s="355"/>
      <c r="B367" s="355"/>
      <c r="F367" s="355"/>
    </row>
    <row r="368">
      <c r="A368" s="355"/>
      <c r="B368" s="355"/>
      <c r="F368" s="355"/>
    </row>
    <row r="369">
      <c r="A369" s="355"/>
      <c r="B369" s="355"/>
      <c r="F369" s="355"/>
    </row>
    <row r="370">
      <c r="A370" s="355"/>
      <c r="B370" s="355"/>
      <c r="F370" s="355"/>
    </row>
    <row r="371">
      <c r="A371" s="355"/>
      <c r="B371" s="355"/>
      <c r="F371" s="355"/>
    </row>
    <row r="372">
      <c r="A372" s="355"/>
      <c r="B372" s="355"/>
      <c r="F372" s="355"/>
    </row>
    <row r="373">
      <c r="A373" s="355"/>
      <c r="B373" s="355"/>
      <c r="F373" s="355"/>
    </row>
    <row r="374">
      <c r="A374" s="355"/>
      <c r="B374" s="355"/>
      <c r="F374" s="355"/>
    </row>
    <row r="375">
      <c r="A375" s="355"/>
      <c r="B375" s="355"/>
      <c r="F375" s="355"/>
    </row>
    <row r="376">
      <c r="A376" s="355"/>
      <c r="B376" s="355"/>
      <c r="F376" s="355"/>
    </row>
    <row r="377">
      <c r="A377" s="355"/>
      <c r="B377" s="355"/>
      <c r="F377" s="355"/>
    </row>
    <row r="378">
      <c r="A378" s="355"/>
      <c r="B378" s="355"/>
      <c r="F378" s="355"/>
    </row>
    <row r="379">
      <c r="A379" s="355"/>
      <c r="B379" s="355"/>
      <c r="F379" s="355"/>
    </row>
    <row r="380">
      <c r="A380" s="355"/>
      <c r="B380" s="355"/>
      <c r="F380" s="355"/>
    </row>
    <row r="381">
      <c r="A381" s="355"/>
      <c r="B381" s="355"/>
      <c r="F381" s="355"/>
    </row>
    <row r="382">
      <c r="A382" s="355"/>
      <c r="B382" s="355"/>
      <c r="F382" s="355"/>
    </row>
    <row r="383">
      <c r="A383" s="355"/>
      <c r="B383" s="355"/>
      <c r="F383" s="355"/>
    </row>
    <row r="384">
      <c r="A384" s="355"/>
      <c r="B384" s="355"/>
      <c r="F384" s="355"/>
    </row>
    <row r="385">
      <c r="A385" s="355"/>
      <c r="B385" s="355"/>
      <c r="F385" s="355"/>
    </row>
    <row r="386">
      <c r="A386" s="355"/>
      <c r="B386" s="355"/>
      <c r="F386" s="355"/>
    </row>
    <row r="387">
      <c r="A387" s="355"/>
      <c r="B387" s="355"/>
      <c r="F387" s="355"/>
    </row>
    <row r="388">
      <c r="A388" s="355"/>
      <c r="B388" s="355"/>
      <c r="F388" s="355"/>
    </row>
    <row r="389">
      <c r="A389" s="355"/>
      <c r="B389" s="355"/>
      <c r="F389" s="355"/>
    </row>
    <row r="390">
      <c r="A390" s="355"/>
      <c r="B390" s="355"/>
      <c r="F390" s="355"/>
    </row>
    <row r="391">
      <c r="A391" s="355"/>
      <c r="B391" s="355"/>
      <c r="F391" s="355"/>
    </row>
    <row r="392">
      <c r="A392" s="355"/>
      <c r="B392" s="355"/>
      <c r="F392" s="355"/>
    </row>
    <row r="393">
      <c r="A393" s="355"/>
      <c r="B393" s="355"/>
      <c r="F393" s="355"/>
    </row>
    <row r="394">
      <c r="A394" s="355"/>
      <c r="B394" s="355"/>
      <c r="F394" s="355"/>
    </row>
    <row r="395">
      <c r="A395" s="355"/>
      <c r="B395" s="355"/>
      <c r="F395" s="355"/>
    </row>
    <row r="396">
      <c r="A396" s="355"/>
      <c r="B396" s="355"/>
      <c r="F396" s="355"/>
    </row>
    <row r="397">
      <c r="A397" s="355"/>
      <c r="B397" s="355"/>
      <c r="F397" s="355"/>
    </row>
    <row r="398">
      <c r="A398" s="355"/>
      <c r="B398" s="355"/>
      <c r="F398" s="355"/>
    </row>
    <row r="399">
      <c r="A399" s="355"/>
      <c r="B399" s="355"/>
      <c r="F399" s="355"/>
    </row>
    <row r="400">
      <c r="A400" s="355"/>
      <c r="B400" s="355"/>
      <c r="F400" s="355"/>
    </row>
    <row r="401">
      <c r="A401" s="355"/>
      <c r="B401" s="355"/>
      <c r="F401" s="355"/>
    </row>
    <row r="402">
      <c r="A402" s="355"/>
      <c r="B402" s="355"/>
      <c r="F402" s="355"/>
    </row>
    <row r="403">
      <c r="A403" s="355"/>
      <c r="B403" s="355"/>
      <c r="F403" s="355"/>
    </row>
    <row r="404">
      <c r="A404" s="355"/>
      <c r="B404" s="355"/>
      <c r="F404" s="355"/>
    </row>
    <row r="405">
      <c r="A405" s="355"/>
      <c r="B405" s="355"/>
      <c r="F405" s="355"/>
    </row>
    <row r="406">
      <c r="A406" s="355"/>
      <c r="B406" s="355"/>
      <c r="F406" s="355"/>
    </row>
    <row r="407">
      <c r="A407" s="355"/>
      <c r="B407" s="355"/>
      <c r="F407" s="355"/>
    </row>
    <row r="408">
      <c r="A408" s="355"/>
      <c r="B408" s="355"/>
      <c r="F408" s="355"/>
    </row>
    <row r="409">
      <c r="A409" s="355"/>
      <c r="B409" s="355"/>
      <c r="F409" s="355"/>
    </row>
    <row r="410">
      <c r="A410" s="355"/>
      <c r="B410" s="355"/>
      <c r="F410" s="355"/>
    </row>
    <row r="411">
      <c r="A411" s="355"/>
      <c r="B411" s="355"/>
      <c r="F411" s="355"/>
    </row>
    <row r="412">
      <c r="A412" s="355"/>
      <c r="B412" s="355"/>
      <c r="F412" s="355"/>
    </row>
    <row r="413">
      <c r="A413" s="355"/>
      <c r="B413" s="355"/>
      <c r="F413" s="355"/>
    </row>
    <row r="414">
      <c r="A414" s="355"/>
      <c r="B414" s="355"/>
      <c r="F414" s="355"/>
    </row>
    <row r="415">
      <c r="A415" s="355"/>
      <c r="B415" s="355"/>
      <c r="F415" s="355"/>
    </row>
    <row r="416">
      <c r="A416" s="355"/>
      <c r="B416" s="355"/>
      <c r="F416" s="355"/>
    </row>
    <row r="417">
      <c r="A417" s="355"/>
      <c r="B417" s="355"/>
      <c r="F417" s="355"/>
    </row>
    <row r="418">
      <c r="A418" s="355"/>
      <c r="B418" s="355"/>
      <c r="F418" s="355"/>
    </row>
    <row r="419">
      <c r="A419" s="355"/>
      <c r="B419" s="355"/>
      <c r="F419" s="355"/>
    </row>
    <row r="420">
      <c r="A420" s="355"/>
      <c r="B420" s="355"/>
      <c r="F420" s="355"/>
    </row>
    <row r="421">
      <c r="A421" s="355"/>
      <c r="B421" s="355"/>
      <c r="F421" s="355"/>
    </row>
    <row r="422">
      <c r="A422" s="355"/>
      <c r="B422" s="355"/>
      <c r="F422" s="355"/>
    </row>
    <row r="423">
      <c r="A423" s="355"/>
      <c r="B423" s="355"/>
      <c r="F423" s="355"/>
    </row>
    <row r="424">
      <c r="A424" s="355"/>
      <c r="B424" s="355"/>
      <c r="F424" s="355"/>
    </row>
    <row r="425">
      <c r="A425" s="355"/>
      <c r="B425" s="355"/>
      <c r="F425" s="355"/>
    </row>
    <row r="426">
      <c r="A426" s="355"/>
      <c r="B426" s="355"/>
      <c r="F426" s="355"/>
    </row>
    <row r="427">
      <c r="A427" s="355"/>
      <c r="B427" s="355"/>
      <c r="F427" s="355"/>
    </row>
    <row r="428">
      <c r="A428" s="355"/>
      <c r="B428" s="355"/>
      <c r="F428" s="355"/>
    </row>
    <row r="429">
      <c r="A429" s="355"/>
      <c r="B429" s="355"/>
      <c r="F429" s="355"/>
    </row>
    <row r="430">
      <c r="A430" s="355"/>
      <c r="B430" s="355"/>
      <c r="F430" s="355"/>
    </row>
    <row r="431">
      <c r="A431" s="355"/>
      <c r="B431" s="355"/>
      <c r="F431" s="355"/>
    </row>
    <row r="432">
      <c r="A432" s="355"/>
      <c r="B432" s="355"/>
      <c r="F432" s="355"/>
    </row>
    <row r="433">
      <c r="A433" s="355"/>
      <c r="B433" s="355"/>
      <c r="F433" s="355"/>
    </row>
    <row r="434">
      <c r="A434" s="355"/>
      <c r="B434" s="355"/>
      <c r="F434" s="355"/>
    </row>
    <row r="435">
      <c r="A435" s="355"/>
      <c r="B435" s="355"/>
      <c r="F435" s="355"/>
    </row>
    <row r="436">
      <c r="A436" s="355"/>
      <c r="B436" s="355"/>
      <c r="F436" s="355"/>
    </row>
    <row r="437">
      <c r="A437" s="355"/>
      <c r="B437" s="355"/>
      <c r="F437" s="355"/>
    </row>
    <row r="438">
      <c r="A438" s="355"/>
      <c r="B438" s="355"/>
      <c r="F438" s="355"/>
    </row>
    <row r="439">
      <c r="A439" s="355"/>
      <c r="B439" s="355"/>
      <c r="F439" s="355"/>
    </row>
    <row r="440">
      <c r="A440" s="355"/>
      <c r="B440" s="355"/>
      <c r="F440" s="355"/>
    </row>
    <row r="441">
      <c r="A441" s="355"/>
      <c r="B441" s="355"/>
      <c r="F441" s="355"/>
    </row>
    <row r="442">
      <c r="A442" s="355"/>
      <c r="B442" s="355"/>
      <c r="F442" s="355"/>
    </row>
    <row r="443">
      <c r="A443" s="355"/>
      <c r="B443" s="355"/>
      <c r="F443" s="355"/>
    </row>
    <row r="444">
      <c r="A444" s="355"/>
      <c r="B444" s="355"/>
      <c r="F444" s="355"/>
    </row>
    <row r="445">
      <c r="A445" s="355"/>
      <c r="B445" s="355"/>
      <c r="F445" s="355"/>
    </row>
    <row r="446">
      <c r="A446" s="355"/>
      <c r="B446" s="355"/>
      <c r="F446" s="355"/>
    </row>
    <row r="447">
      <c r="A447" s="355"/>
      <c r="B447" s="355"/>
      <c r="F447" s="355"/>
    </row>
    <row r="448">
      <c r="A448" s="355"/>
      <c r="B448" s="355"/>
      <c r="F448" s="355"/>
    </row>
    <row r="449">
      <c r="A449" s="355"/>
      <c r="B449" s="355"/>
      <c r="F449" s="355"/>
    </row>
    <row r="450">
      <c r="A450" s="355"/>
      <c r="B450" s="355"/>
      <c r="F450" s="355"/>
    </row>
    <row r="451">
      <c r="A451" s="355"/>
      <c r="B451" s="355"/>
      <c r="F451" s="355"/>
    </row>
    <row r="452">
      <c r="A452" s="355"/>
      <c r="B452" s="355"/>
      <c r="F452" s="355"/>
    </row>
    <row r="453">
      <c r="A453" s="355"/>
      <c r="B453" s="355"/>
      <c r="F453" s="355"/>
    </row>
    <row r="454">
      <c r="A454" s="355"/>
      <c r="B454" s="355"/>
      <c r="F454" s="355"/>
    </row>
    <row r="455">
      <c r="A455" s="355"/>
      <c r="B455" s="355"/>
      <c r="F455" s="355"/>
    </row>
    <row r="456">
      <c r="A456" s="355"/>
      <c r="B456" s="355"/>
      <c r="F456" s="355"/>
    </row>
    <row r="457">
      <c r="A457" s="355"/>
      <c r="B457" s="355"/>
      <c r="F457" s="355"/>
    </row>
    <row r="458">
      <c r="A458" s="355"/>
      <c r="B458" s="355"/>
      <c r="F458" s="355"/>
    </row>
    <row r="459">
      <c r="A459" s="355"/>
      <c r="B459" s="355"/>
      <c r="F459" s="355"/>
    </row>
    <row r="460">
      <c r="A460" s="355"/>
      <c r="B460" s="355"/>
      <c r="F460" s="355"/>
    </row>
    <row r="461">
      <c r="A461" s="355"/>
      <c r="B461" s="355"/>
      <c r="F461" s="355"/>
    </row>
    <row r="462">
      <c r="A462" s="355"/>
      <c r="B462" s="355"/>
      <c r="F462" s="355"/>
    </row>
    <row r="463">
      <c r="A463" s="355"/>
      <c r="B463" s="355"/>
      <c r="F463" s="355"/>
    </row>
    <row r="464">
      <c r="A464" s="355"/>
      <c r="B464" s="355"/>
      <c r="F464" s="355"/>
    </row>
    <row r="465">
      <c r="A465" s="355"/>
      <c r="B465" s="355"/>
      <c r="F465" s="355"/>
    </row>
    <row r="466">
      <c r="A466" s="355"/>
      <c r="B466" s="355"/>
      <c r="F466" s="355"/>
    </row>
    <row r="467">
      <c r="A467" s="355"/>
      <c r="B467" s="355"/>
      <c r="F467" s="355"/>
    </row>
    <row r="468">
      <c r="A468" s="355"/>
      <c r="B468" s="355"/>
      <c r="F468" s="355"/>
    </row>
    <row r="469">
      <c r="A469" s="355"/>
      <c r="B469" s="355"/>
      <c r="F469" s="355"/>
    </row>
    <row r="470">
      <c r="A470" s="355"/>
      <c r="B470" s="355"/>
      <c r="F470" s="355"/>
    </row>
    <row r="471">
      <c r="A471" s="355"/>
      <c r="B471" s="355"/>
      <c r="F471" s="355"/>
    </row>
    <row r="472">
      <c r="A472" s="355"/>
      <c r="B472" s="355"/>
      <c r="F472" s="355"/>
    </row>
    <row r="473">
      <c r="A473" s="355"/>
      <c r="B473" s="355"/>
      <c r="F473" s="355"/>
    </row>
    <row r="474">
      <c r="A474" s="355"/>
      <c r="B474" s="355"/>
      <c r="F474" s="355"/>
    </row>
    <row r="475">
      <c r="A475" s="355"/>
      <c r="B475" s="355"/>
      <c r="F475" s="355"/>
    </row>
    <row r="476">
      <c r="A476" s="355"/>
      <c r="B476" s="355"/>
      <c r="F476" s="355"/>
    </row>
    <row r="477">
      <c r="A477" s="355"/>
      <c r="B477" s="355"/>
      <c r="F477" s="355"/>
    </row>
    <row r="478">
      <c r="A478" s="355"/>
      <c r="B478" s="355"/>
      <c r="F478" s="355"/>
    </row>
    <row r="479">
      <c r="A479" s="355"/>
      <c r="B479" s="355"/>
      <c r="F479" s="355"/>
    </row>
    <row r="480">
      <c r="A480" s="355"/>
      <c r="B480" s="355"/>
      <c r="F480" s="355"/>
    </row>
    <row r="481">
      <c r="A481" s="355"/>
      <c r="B481" s="355"/>
      <c r="F481" s="355"/>
    </row>
    <row r="482">
      <c r="A482" s="355"/>
      <c r="B482" s="355"/>
      <c r="F482" s="355"/>
    </row>
    <row r="483">
      <c r="A483" s="355"/>
      <c r="B483" s="355"/>
      <c r="F483" s="355"/>
    </row>
    <row r="484">
      <c r="A484" s="355"/>
      <c r="B484" s="355"/>
      <c r="F484" s="355"/>
    </row>
    <row r="485">
      <c r="A485" s="355"/>
      <c r="B485" s="355"/>
      <c r="F485" s="355"/>
    </row>
    <row r="486">
      <c r="A486" s="355"/>
      <c r="B486" s="355"/>
      <c r="F486" s="355"/>
    </row>
    <row r="487">
      <c r="A487" s="355"/>
      <c r="B487" s="355"/>
      <c r="F487" s="355"/>
    </row>
    <row r="488">
      <c r="A488" s="355"/>
      <c r="B488" s="355"/>
      <c r="F488" s="355"/>
    </row>
    <row r="489">
      <c r="A489" s="355"/>
      <c r="B489" s="355"/>
      <c r="F489" s="355"/>
    </row>
    <row r="490">
      <c r="A490" s="355"/>
      <c r="B490" s="355"/>
      <c r="F490" s="355"/>
    </row>
    <row r="491">
      <c r="A491" s="355"/>
      <c r="B491" s="355"/>
      <c r="F491" s="355"/>
    </row>
    <row r="492">
      <c r="A492" s="355"/>
      <c r="B492" s="355"/>
      <c r="F492" s="355"/>
    </row>
    <row r="493">
      <c r="A493" s="355"/>
      <c r="B493" s="355"/>
      <c r="F493" s="355"/>
    </row>
    <row r="494">
      <c r="A494" s="355"/>
      <c r="B494" s="355"/>
      <c r="F494" s="355"/>
    </row>
    <row r="495">
      <c r="A495" s="355"/>
      <c r="B495" s="355"/>
      <c r="F495" s="355"/>
    </row>
    <row r="496">
      <c r="A496" s="355"/>
      <c r="B496" s="355"/>
      <c r="F496" s="355"/>
    </row>
    <row r="497">
      <c r="A497" s="355"/>
      <c r="B497" s="355"/>
      <c r="F497" s="355"/>
    </row>
    <row r="498">
      <c r="A498" s="355"/>
      <c r="B498" s="355"/>
      <c r="F498" s="355"/>
    </row>
    <row r="499">
      <c r="A499" s="355"/>
      <c r="B499" s="355"/>
      <c r="F499" s="355"/>
    </row>
    <row r="500">
      <c r="A500" s="355"/>
      <c r="B500" s="355"/>
      <c r="F500" s="355"/>
    </row>
    <row r="501">
      <c r="A501" s="355"/>
      <c r="B501" s="355"/>
      <c r="F501" s="355"/>
    </row>
    <row r="502">
      <c r="A502" s="355"/>
      <c r="B502" s="355"/>
      <c r="F502" s="355"/>
    </row>
    <row r="503">
      <c r="A503" s="355"/>
      <c r="B503" s="355"/>
      <c r="F503" s="355"/>
    </row>
    <row r="504">
      <c r="A504" s="355"/>
      <c r="B504" s="355"/>
      <c r="F504" s="355"/>
    </row>
    <row r="505">
      <c r="A505" s="355"/>
      <c r="B505" s="355"/>
      <c r="F505" s="355"/>
    </row>
    <row r="506">
      <c r="A506" s="355"/>
      <c r="B506" s="355"/>
      <c r="F506" s="355"/>
    </row>
    <row r="507">
      <c r="A507" s="355"/>
      <c r="B507" s="355"/>
      <c r="F507" s="355"/>
    </row>
    <row r="508">
      <c r="A508" s="355"/>
      <c r="B508" s="355"/>
      <c r="F508" s="355"/>
    </row>
    <row r="509">
      <c r="A509" s="355"/>
      <c r="B509" s="355"/>
      <c r="F509" s="355"/>
    </row>
    <row r="510">
      <c r="A510" s="355"/>
      <c r="B510" s="355"/>
      <c r="F510" s="355"/>
    </row>
    <row r="511">
      <c r="A511" s="355"/>
      <c r="B511" s="355"/>
      <c r="F511" s="355"/>
    </row>
    <row r="512">
      <c r="A512" s="355"/>
      <c r="B512" s="355"/>
      <c r="F512" s="355"/>
    </row>
    <row r="513">
      <c r="A513" s="355"/>
      <c r="B513" s="355"/>
      <c r="F513" s="355"/>
    </row>
    <row r="514">
      <c r="A514" s="355"/>
      <c r="B514" s="355"/>
      <c r="F514" s="355"/>
    </row>
    <row r="515">
      <c r="A515" s="355"/>
      <c r="B515" s="355"/>
      <c r="F515" s="355"/>
    </row>
    <row r="516">
      <c r="A516" s="355"/>
      <c r="B516" s="355"/>
      <c r="F516" s="355"/>
    </row>
    <row r="517">
      <c r="A517" s="355"/>
      <c r="B517" s="355"/>
      <c r="F517" s="355"/>
    </row>
    <row r="518">
      <c r="A518" s="355"/>
      <c r="B518" s="355"/>
      <c r="F518" s="355"/>
    </row>
    <row r="519">
      <c r="A519" s="355"/>
      <c r="B519" s="355"/>
      <c r="F519" s="355"/>
    </row>
    <row r="520">
      <c r="A520" s="355"/>
      <c r="B520" s="355"/>
      <c r="F520" s="355"/>
    </row>
    <row r="521">
      <c r="A521" s="355"/>
      <c r="B521" s="355"/>
      <c r="F521" s="355"/>
    </row>
    <row r="522">
      <c r="A522" s="355"/>
      <c r="B522" s="355"/>
      <c r="F522" s="355"/>
    </row>
    <row r="523">
      <c r="A523" s="355"/>
      <c r="B523" s="355"/>
      <c r="F523" s="355"/>
    </row>
    <row r="524">
      <c r="A524" s="355"/>
      <c r="B524" s="355"/>
      <c r="F524" s="355"/>
    </row>
    <row r="525">
      <c r="A525" s="355"/>
      <c r="B525" s="355"/>
      <c r="F525" s="355"/>
    </row>
    <row r="526">
      <c r="A526" s="355"/>
      <c r="B526" s="355"/>
      <c r="F526" s="355"/>
    </row>
    <row r="527">
      <c r="A527" s="355"/>
      <c r="B527" s="355"/>
      <c r="F527" s="355"/>
    </row>
    <row r="528">
      <c r="A528" s="355"/>
      <c r="B528" s="355"/>
      <c r="F528" s="355"/>
    </row>
    <row r="529">
      <c r="A529" s="355"/>
      <c r="B529" s="355"/>
      <c r="F529" s="355"/>
    </row>
    <row r="530">
      <c r="A530" s="355"/>
      <c r="B530" s="355"/>
      <c r="F530" s="355"/>
    </row>
    <row r="531">
      <c r="A531" s="355"/>
      <c r="B531" s="355"/>
      <c r="F531" s="355"/>
    </row>
    <row r="532">
      <c r="A532" s="355"/>
      <c r="B532" s="355"/>
      <c r="F532" s="355"/>
    </row>
    <row r="533">
      <c r="A533" s="355"/>
      <c r="B533" s="355"/>
      <c r="F533" s="355"/>
    </row>
    <row r="534">
      <c r="A534" s="355"/>
      <c r="B534" s="355"/>
      <c r="F534" s="355"/>
    </row>
    <row r="535">
      <c r="A535" s="355"/>
      <c r="B535" s="355"/>
      <c r="F535" s="355"/>
    </row>
    <row r="536">
      <c r="A536" s="355"/>
      <c r="B536" s="355"/>
      <c r="F536" s="355"/>
    </row>
    <row r="537">
      <c r="A537" s="355"/>
      <c r="B537" s="355"/>
      <c r="F537" s="355"/>
    </row>
    <row r="538">
      <c r="A538" s="355"/>
      <c r="B538" s="355"/>
      <c r="F538" s="355"/>
    </row>
    <row r="539">
      <c r="A539" s="355"/>
      <c r="B539" s="355"/>
      <c r="F539" s="355"/>
    </row>
    <row r="540">
      <c r="A540" s="355"/>
      <c r="B540" s="355"/>
      <c r="F540" s="355"/>
    </row>
    <row r="541">
      <c r="A541" s="355"/>
      <c r="B541" s="355"/>
      <c r="F541" s="355"/>
    </row>
    <row r="542">
      <c r="A542" s="355"/>
      <c r="B542" s="355"/>
      <c r="F542" s="355"/>
    </row>
    <row r="543">
      <c r="A543" s="355"/>
      <c r="B543" s="355"/>
      <c r="F543" s="355"/>
    </row>
    <row r="544">
      <c r="A544" s="355"/>
      <c r="B544" s="355"/>
      <c r="F544" s="355"/>
    </row>
    <row r="545">
      <c r="A545" s="355"/>
      <c r="B545" s="355"/>
      <c r="F545" s="355"/>
    </row>
    <row r="546">
      <c r="A546" s="355"/>
      <c r="B546" s="355"/>
      <c r="F546" s="355"/>
    </row>
    <row r="547">
      <c r="A547" s="355"/>
      <c r="B547" s="355"/>
      <c r="F547" s="355"/>
    </row>
    <row r="548">
      <c r="A548" s="355"/>
      <c r="B548" s="355"/>
      <c r="F548" s="355"/>
    </row>
    <row r="549">
      <c r="A549" s="355"/>
      <c r="B549" s="355"/>
      <c r="F549" s="355"/>
    </row>
    <row r="550">
      <c r="A550" s="355"/>
      <c r="B550" s="355"/>
      <c r="F550" s="355"/>
    </row>
    <row r="551">
      <c r="A551" s="355"/>
      <c r="B551" s="355"/>
      <c r="F551" s="355"/>
    </row>
    <row r="552">
      <c r="A552" s="355"/>
      <c r="B552" s="355"/>
      <c r="F552" s="355"/>
    </row>
    <row r="553">
      <c r="A553" s="355"/>
      <c r="B553" s="355"/>
      <c r="F553" s="355"/>
    </row>
    <row r="554">
      <c r="A554" s="355"/>
      <c r="B554" s="355"/>
      <c r="F554" s="355"/>
    </row>
    <row r="555">
      <c r="A555" s="355"/>
      <c r="B555" s="355"/>
      <c r="F555" s="355"/>
    </row>
    <row r="556">
      <c r="A556" s="355"/>
      <c r="B556" s="355"/>
      <c r="F556" s="355"/>
    </row>
    <row r="557">
      <c r="A557" s="355"/>
      <c r="B557" s="355"/>
      <c r="F557" s="355"/>
    </row>
    <row r="558">
      <c r="A558" s="355"/>
      <c r="B558" s="355"/>
      <c r="F558" s="355"/>
    </row>
    <row r="559">
      <c r="A559" s="355"/>
      <c r="B559" s="355"/>
      <c r="F559" s="355"/>
    </row>
    <row r="560">
      <c r="A560" s="355"/>
      <c r="B560" s="355"/>
      <c r="F560" s="355"/>
    </row>
    <row r="561">
      <c r="A561" s="355"/>
      <c r="B561" s="355"/>
      <c r="F561" s="355"/>
    </row>
    <row r="562">
      <c r="A562" s="355"/>
      <c r="B562" s="355"/>
      <c r="F562" s="355"/>
    </row>
    <row r="563">
      <c r="A563" s="355"/>
      <c r="B563" s="355"/>
      <c r="F563" s="355"/>
    </row>
    <row r="564">
      <c r="A564" s="355"/>
      <c r="B564" s="355"/>
      <c r="F564" s="355"/>
    </row>
    <row r="565">
      <c r="A565" s="355"/>
      <c r="B565" s="355"/>
      <c r="F565" s="355"/>
    </row>
    <row r="566">
      <c r="A566" s="355"/>
      <c r="B566" s="355"/>
      <c r="F566" s="355"/>
    </row>
    <row r="567">
      <c r="A567" s="355"/>
      <c r="B567" s="355"/>
      <c r="F567" s="355"/>
    </row>
    <row r="568">
      <c r="A568" s="355"/>
      <c r="B568" s="355"/>
      <c r="F568" s="355"/>
    </row>
    <row r="569">
      <c r="A569" s="355"/>
      <c r="B569" s="355"/>
      <c r="F569" s="355"/>
    </row>
    <row r="570">
      <c r="A570" s="355"/>
      <c r="B570" s="355"/>
      <c r="F570" s="355"/>
    </row>
    <row r="571">
      <c r="A571" s="355"/>
      <c r="B571" s="355"/>
      <c r="F571" s="355"/>
    </row>
    <row r="572">
      <c r="A572" s="355"/>
      <c r="B572" s="355"/>
      <c r="F572" s="355"/>
    </row>
    <row r="573">
      <c r="A573" s="355"/>
      <c r="B573" s="355"/>
      <c r="F573" s="355"/>
    </row>
    <row r="574">
      <c r="A574" s="355"/>
      <c r="B574" s="355"/>
      <c r="F574" s="355"/>
    </row>
    <row r="575">
      <c r="A575" s="355"/>
      <c r="B575" s="355"/>
      <c r="F575" s="355"/>
    </row>
    <row r="576">
      <c r="A576" s="355"/>
      <c r="B576" s="355"/>
      <c r="F576" s="355"/>
    </row>
    <row r="577">
      <c r="A577" s="355"/>
      <c r="B577" s="355"/>
      <c r="F577" s="355"/>
    </row>
    <row r="578">
      <c r="A578" s="355"/>
      <c r="B578" s="355"/>
      <c r="F578" s="355"/>
    </row>
    <row r="579">
      <c r="A579" s="355"/>
      <c r="B579" s="355"/>
      <c r="F579" s="355"/>
    </row>
    <row r="580">
      <c r="A580" s="355"/>
      <c r="B580" s="355"/>
      <c r="F580" s="355"/>
    </row>
    <row r="581">
      <c r="A581" s="355"/>
      <c r="B581" s="355"/>
      <c r="F581" s="355"/>
    </row>
    <row r="582">
      <c r="A582" s="355"/>
      <c r="B582" s="355"/>
      <c r="F582" s="355"/>
    </row>
    <row r="583">
      <c r="A583" s="355"/>
      <c r="B583" s="355"/>
      <c r="F583" s="355"/>
    </row>
    <row r="584">
      <c r="A584" s="355"/>
      <c r="B584" s="355"/>
      <c r="F584" s="355"/>
    </row>
    <row r="585">
      <c r="A585" s="355"/>
      <c r="B585" s="355"/>
      <c r="F585" s="355"/>
    </row>
    <row r="586">
      <c r="A586" s="355"/>
      <c r="B586" s="355"/>
      <c r="F586" s="355"/>
    </row>
    <row r="587">
      <c r="A587" s="355"/>
      <c r="B587" s="355"/>
      <c r="F587" s="355"/>
    </row>
    <row r="588">
      <c r="A588" s="355"/>
      <c r="B588" s="355"/>
      <c r="F588" s="355"/>
    </row>
    <row r="589">
      <c r="A589" s="355"/>
      <c r="B589" s="355"/>
      <c r="F589" s="355"/>
    </row>
    <row r="590">
      <c r="A590" s="355"/>
      <c r="B590" s="355"/>
      <c r="F590" s="355"/>
    </row>
    <row r="591">
      <c r="A591" s="355"/>
      <c r="B591" s="355"/>
      <c r="F591" s="355"/>
    </row>
    <row r="592">
      <c r="A592" s="355"/>
      <c r="B592" s="355"/>
      <c r="F592" s="355"/>
    </row>
    <row r="593">
      <c r="A593" s="355"/>
      <c r="B593" s="355"/>
      <c r="F593" s="355"/>
    </row>
    <row r="594">
      <c r="A594" s="355"/>
      <c r="B594" s="355"/>
      <c r="F594" s="355"/>
    </row>
    <row r="595">
      <c r="A595" s="355"/>
      <c r="B595" s="355"/>
      <c r="F595" s="355"/>
    </row>
    <row r="596">
      <c r="A596" s="355"/>
      <c r="B596" s="355"/>
      <c r="F596" s="355"/>
    </row>
    <row r="597">
      <c r="A597" s="355"/>
      <c r="B597" s="355"/>
      <c r="F597" s="355"/>
    </row>
    <row r="598">
      <c r="A598" s="355"/>
      <c r="B598" s="355"/>
      <c r="F598" s="355"/>
    </row>
    <row r="599">
      <c r="A599" s="355"/>
      <c r="B599" s="355"/>
      <c r="F599" s="355"/>
    </row>
    <row r="600">
      <c r="A600" s="355"/>
      <c r="B600" s="355"/>
      <c r="F600" s="355"/>
    </row>
    <row r="601">
      <c r="A601" s="355"/>
      <c r="B601" s="355"/>
      <c r="F601" s="355"/>
    </row>
    <row r="602">
      <c r="A602" s="355"/>
      <c r="B602" s="355"/>
      <c r="F602" s="355"/>
    </row>
    <row r="603">
      <c r="A603" s="355"/>
      <c r="B603" s="355"/>
      <c r="F603" s="355"/>
    </row>
    <row r="604">
      <c r="A604" s="355"/>
      <c r="B604" s="355"/>
      <c r="F604" s="355"/>
    </row>
    <row r="605">
      <c r="A605" s="355"/>
      <c r="B605" s="355"/>
      <c r="F605" s="355"/>
    </row>
    <row r="606">
      <c r="A606" s="355"/>
      <c r="B606" s="355"/>
      <c r="F606" s="355"/>
    </row>
    <row r="607">
      <c r="A607" s="355"/>
      <c r="B607" s="355"/>
      <c r="F607" s="355"/>
    </row>
    <row r="608">
      <c r="A608" s="355"/>
      <c r="B608" s="355"/>
      <c r="F608" s="355"/>
    </row>
    <row r="609">
      <c r="A609" s="355"/>
      <c r="B609" s="355"/>
      <c r="F609" s="355"/>
    </row>
    <row r="610">
      <c r="A610" s="355"/>
      <c r="B610" s="355"/>
      <c r="F610" s="355"/>
    </row>
    <row r="611">
      <c r="A611" s="355"/>
      <c r="B611" s="355"/>
      <c r="F611" s="355"/>
    </row>
    <row r="612">
      <c r="A612" s="355"/>
      <c r="B612" s="355"/>
      <c r="F612" s="355"/>
    </row>
    <row r="613">
      <c r="A613" s="355"/>
      <c r="B613" s="355"/>
      <c r="F613" s="355"/>
    </row>
    <row r="614">
      <c r="A614" s="355"/>
      <c r="B614" s="355"/>
      <c r="F614" s="355"/>
    </row>
    <row r="615">
      <c r="A615" s="355"/>
      <c r="B615" s="355"/>
      <c r="F615" s="355"/>
    </row>
    <row r="616">
      <c r="A616" s="355"/>
      <c r="B616" s="355"/>
      <c r="F616" s="355"/>
    </row>
    <row r="617">
      <c r="A617" s="355"/>
      <c r="B617" s="355"/>
      <c r="F617" s="355"/>
    </row>
    <row r="618">
      <c r="A618" s="355"/>
      <c r="B618" s="355"/>
      <c r="F618" s="355"/>
    </row>
    <row r="619">
      <c r="A619" s="355"/>
      <c r="B619" s="355"/>
      <c r="F619" s="355"/>
    </row>
    <row r="620">
      <c r="A620" s="355"/>
      <c r="B620" s="355"/>
      <c r="F620" s="355"/>
    </row>
    <row r="621">
      <c r="A621" s="355"/>
      <c r="B621" s="355"/>
      <c r="F621" s="355"/>
    </row>
    <row r="622">
      <c r="A622" s="355"/>
      <c r="B622" s="355"/>
      <c r="F622" s="355"/>
    </row>
    <row r="623">
      <c r="A623" s="355"/>
      <c r="B623" s="355"/>
      <c r="F623" s="355"/>
    </row>
    <row r="624">
      <c r="A624" s="355"/>
      <c r="B624" s="355"/>
      <c r="F624" s="355"/>
    </row>
    <row r="625">
      <c r="A625" s="355"/>
      <c r="B625" s="355"/>
      <c r="F625" s="355"/>
    </row>
    <row r="626">
      <c r="A626" s="355"/>
      <c r="B626" s="355"/>
      <c r="F626" s="355"/>
    </row>
    <row r="627">
      <c r="A627" s="355"/>
      <c r="B627" s="355"/>
      <c r="F627" s="355"/>
    </row>
    <row r="628">
      <c r="A628" s="355"/>
      <c r="B628" s="355"/>
      <c r="F628" s="355"/>
    </row>
    <row r="629">
      <c r="A629" s="355"/>
      <c r="B629" s="355"/>
      <c r="F629" s="355"/>
    </row>
    <row r="630">
      <c r="A630" s="355"/>
      <c r="B630" s="355"/>
      <c r="F630" s="355"/>
    </row>
    <row r="631">
      <c r="A631" s="355"/>
      <c r="B631" s="355"/>
      <c r="F631" s="355"/>
    </row>
    <row r="632">
      <c r="A632" s="355"/>
      <c r="B632" s="355"/>
      <c r="F632" s="355"/>
    </row>
    <row r="633">
      <c r="A633" s="355"/>
      <c r="B633" s="355"/>
      <c r="F633" s="355"/>
    </row>
    <row r="634">
      <c r="A634" s="355"/>
      <c r="B634" s="355"/>
      <c r="F634" s="355"/>
    </row>
    <row r="635">
      <c r="A635" s="355"/>
      <c r="B635" s="355"/>
      <c r="F635" s="355"/>
    </row>
    <row r="636">
      <c r="A636" s="355"/>
      <c r="B636" s="355"/>
      <c r="F636" s="355"/>
    </row>
    <row r="637">
      <c r="A637" s="355"/>
      <c r="B637" s="355"/>
      <c r="F637" s="355"/>
    </row>
    <row r="638">
      <c r="A638" s="355"/>
      <c r="B638" s="355"/>
      <c r="F638" s="355"/>
    </row>
    <row r="639">
      <c r="A639" s="355"/>
      <c r="B639" s="355"/>
      <c r="F639" s="355"/>
    </row>
    <row r="640">
      <c r="A640" s="355"/>
      <c r="B640" s="355"/>
      <c r="F640" s="355"/>
    </row>
    <row r="641">
      <c r="A641" s="355"/>
      <c r="B641" s="355"/>
      <c r="F641" s="355"/>
    </row>
    <row r="642">
      <c r="A642" s="355"/>
      <c r="B642" s="355"/>
      <c r="F642" s="355"/>
    </row>
    <row r="643">
      <c r="A643" s="355"/>
      <c r="B643" s="355"/>
      <c r="F643" s="355"/>
    </row>
    <row r="644">
      <c r="A644" s="355"/>
      <c r="B644" s="355"/>
      <c r="F644" s="355"/>
    </row>
    <row r="645">
      <c r="A645" s="355"/>
      <c r="B645" s="355"/>
      <c r="F645" s="355"/>
    </row>
    <row r="646">
      <c r="A646" s="355"/>
      <c r="B646" s="355"/>
      <c r="F646" s="355"/>
    </row>
    <row r="647">
      <c r="A647" s="355"/>
      <c r="B647" s="355"/>
      <c r="F647" s="355"/>
    </row>
    <row r="648">
      <c r="A648" s="355"/>
      <c r="B648" s="355"/>
      <c r="F648" s="355"/>
    </row>
    <row r="649">
      <c r="A649" s="355"/>
      <c r="B649" s="355"/>
      <c r="F649" s="355"/>
    </row>
    <row r="650">
      <c r="A650" s="355"/>
      <c r="B650" s="355"/>
      <c r="F650" s="355"/>
    </row>
    <row r="651">
      <c r="A651" s="355"/>
      <c r="B651" s="355"/>
      <c r="F651" s="355"/>
    </row>
    <row r="652">
      <c r="A652" s="355"/>
      <c r="B652" s="355"/>
      <c r="F652" s="355"/>
    </row>
    <row r="653">
      <c r="A653" s="355"/>
      <c r="B653" s="355"/>
      <c r="F653" s="355"/>
    </row>
    <row r="654">
      <c r="A654" s="355"/>
      <c r="B654" s="355"/>
      <c r="F654" s="355"/>
    </row>
    <row r="655">
      <c r="A655" s="355"/>
      <c r="B655" s="355"/>
      <c r="F655" s="355"/>
    </row>
    <row r="656">
      <c r="A656" s="355"/>
      <c r="B656" s="355"/>
      <c r="F656" s="355"/>
    </row>
    <row r="657">
      <c r="A657" s="355"/>
      <c r="B657" s="355"/>
      <c r="F657" s="355"/>
    </row>
    <row r="658">
      <c r="A658" s="355"/>
      <c r="B658" s="355"/>
      <c r="F658" s="355"/>
    </row>
    <row r="659">
      <c r="A659" s="355"/>
      <c r="B659" s="355"/>
      <c r="F659" s="355"/>
    </row>
    <row r="660">
      <c r="A660" s="355"/>
      <c r="B660" s="355"/>
      <c r="F660" s="355"/>
    </row>
    <row r="661">
      <c r="A661" s="355"/>
      <c r="B661" s="355"/>
      <c r="F661" s="355"/>
    </row>
    <row r="662">
      <c r="A662" s="355"/>
      <c r="B662" s="355"/>
      <c r="F662" s="355"/>
    </row>
    <row r="663">
      <c r="A663" s="355"/>
      <c r="B663" s="355"/>
      <c r="F663" s="355"/>
    </row>
    <row r="664">
      <c r="A664" s="355"/>
      <c r="B664" s="355"/>
      <c r="F664" s="355"/>
    </row>
    <row r="665">
      <c r="A665" s="355"/>
      <c r="B665" s="355"/>
      <c r="F665" s="355"/>
    </row>
    <row r="666">
      <c r="A666" s="355"/>
      <c r="B666" s="355"/>
      <c r="F666" s="355"/>
    </row>
    <row r="667">
      <c r="A667" s="355"/>
      <c r="B667" s="355"/>
      <c r="F667" s="355"/>
    </row>
    <row r="668">
      <c r="A668" s="355"/>
      <c r="B668" s="355"/>
      <c r="F668" s="355"/>
    </row>
    <row r="669">
      <c r="A669" s="355"/>
      <c r="B669" s="355"/>
      <c r="F669" s="355"/>
    </row>
    <row r="670">
      <c r="A670" s="355"/>
      <c r="B670" s="355"/>
      <c r="F670" s="355"/>
    </row>
    <row r="671">
      <c r="A671" s="355"/>
      <c r="B671" s="355"/>
      <c r="F671" s="355"/>
    </row>
    <row r="672">
      <c r="A672" s="355"/>
      <c r="B672" s="355"/>
      <c r="F672" s="355"/>
    </row>
    <row r="673">
      <c r="A673" s="355"/>
      <c r="B673" s="355"/>
      <c r="F673" s="355"/>
    </row>
    <row r="674">
      <c r="A674" s="355"/>
      <c r="B674" s="355"/>
      <c r="F674" s="355"/>
    </row>
    <row r="675">
      <c r="A675" s="355"/>
      <c r="B675" s="355"/>
      <c r="F675" s="355"/>
    </row>
    <row r="676">
      <c r="A676" s="355"/>
      <c r="B676" s="355"/>
      <c r="F676" s="355"/>
    </row>
    <row r="677">
      <c r="A677" s="355"/>
      <c r="B677" s="355"/>
      <c r="F677" s="355"/>
    </row>
    <row r="678">
      <c r="A678" s="355"/>
      <c r="B678" s="355"/>
      <c r="F678" s="355"/>
    </row>
    <row r="679">
      <c r="A679" s="355"/>
      <c r="B679" s="355"/>
      <c r="F679" s="355"/>
    </row>
    <row r="680">
      <c r="A680" s="355"/>
      <c r="B680" s="355"/>
      <c r="F680" s="355"/>
    </row>
    <row r="681">
      <c r="A681" s="355"/>
      <c r="B681" s="355"/>
      <c r="F681" s="355"/>
    </row>
    <row r="682">
      <c r="A682" s="355"/>
      <c r="B682" s="355"/>
      <c r="F682" s="355"/>
    </row>
    <row r="683">
      <c r="A683" s="355"/>
      <c r="B683" s="355"/>
      <c r="F683" s="355"/>
    </row>
    <row r="684">
      <c r="A684" s="355"/>
      <c r="B684" s="355"/>
      <c r="F684" s="355"/>
    </row>
    <row r="685">
      <c r="A685" s="355"/>
      <c r="B685" s="355"/>
      <c r="F685" s="355"/>
    </row>
    <row r="686">
      <c r="A686" s="355"/>
      <c r="B686" s="355"/>
      <c r="F686" s="355"/>
    </row>
    <row r="687">
      <c r="A687" s="355"/>
      <c r="B687" s="355"/>
      <c r="F687" s="355"/>
    </row>
    <row r="688">
      <c r="A688" s="355"/>
      <c r="B688" s="355"/>
      <c r="F688" s="355"/>
    </row>
    <row r="689">
      <c r="A689" s="355"/>
      <c r="B689" s="355"/>
      <c r="F689" s="355"/>
    </row>
    <row r="690">
      <c r="A690" s="355"/>
      <c r="B690" s="355"/>
      <c r="F690" s="355"/>
    </row>
    <row r="691">
      <c r="A691" s="355"/>
      <c r="B691" s="355"/>
      <c r="F691" s="355"/>
    </row>
    <row r="692">
      <c r="A692" s="355"/>
      <c r="B692" s="355"/>
      <c r="F692" s="355"/>
    </row>
    <row r="693">
      <c r="A693" s="355"/>
      <c r="B693" s="355"/>
      <c r="F693" s="355"/>
    </row>
    <row r="694">
      <c r="A694" s="355"/>
      <c r="B694" s="355"/>
      <c r="F694" s="355"/>
    </row>
    <row r="695">
      <c r="A695" s="355"/>
      <c r="B695" s="355"/>
      <c r="F695" s="355"/>
    </row>
    <row r="696">
      <c r="A696" s="355"/>
      <c r="B696" s="355"/>
      <c r="F696" s="355"/>
    </row>
    <row r="697">
      <c r="A697" s="355"/>
      <c r="B697" s="355"/>
      <c r="F697" s="355"/>
    </row>
    <row r="698">
      <c r="A698" s="355"/>
      <c r="B698" s="355"/>
      <c r="F698" s="355"/>
    </row>
    <row r="699">
      <c r="A699" s="355"/>
      <c r="B699" s="355"/>
      <c r="F699" s="355"/>
    </row>
    <row r="700">
      <c r="A700" s="355"/>
      <c r="B700" s="355"/>
      <c r="F700" s="355"/>
    </row>
    <row r="701">
      <c r="A701" s="355"/>
      <c r="B701" s="355"/>
      <c r="F701" s="355"/>
    </row>
    <row r="702">
      <c r="A702" s="355"/>
      <c r="B702" s="355"/>
      <c r="F702" s="355"/>
    </row>
    <row r="703">
      <c r="A703" s="355"/>
      <c r="B703" s="355"/>
      <c r="F703" s="355"/>
    </row>
    <row r="704">
      <c r="A704" s="355"/>
      <c r="B704" s="355"/>
      <c r="F704" s="355"/>
    </row>
    <row r="705">
      <c r="A705" s="355"/>
      <c r="B705" s="355"/>
      <c r="F705" s="355"/>
    </row>
    <row r="706">
      <c r="A706" s="355"/>
      <c r="B706" s="355"/>
      <c r="F706" s="355"/>
    </row>
    <row r="707">
      <c r="A707" s="355"/>
      <c r="B707" s="355"/>
      <c r="F707" s="355"/>
    </row>
    <row r="708">
      <c r="A708" s="355"/>
      <c r="B708" s="355"/>
      <c r="F708" s="355"/>
    </row>
    <row r="709">
      <c r="A709" s="355"/>
      <c r="B709" s="355"/>
      <c r="F709" s="355"/>
    </row>
    <row r="710">
      <c r="A710" s="355"/>
      <c r="B710" s="355"/>
      <c r="F710" s="355"/>
    </row>
    <row r="711">
      <c r="A711" s="355"/>
      <c r="B711" s="355"/>
      <c r="F711" s="355"/>
    </row>
    <row r="712">
      <c r="A712" s="355"/>
      <c r="B712" s="355"/>
      <c r="F712" s="355"/>
    </row>
    <row r="713">
      <c r="A713" s="355"/>
      <c r="B713" s="355"/>
      <c r="F713" s="355"/>
    </row>
    <row r="714">
      <c r="A714" s="355"/>
      <c r="B714" s="355"/>
      <c r="F714" s="355"/>
    </row>
    <row r="715">
      <c r="A715" s="355"/>
      <c r="B715" s="355"/>
      <c r="F715" s="355"/>
    </row>
    <row r="716">
      <c r="A716" s="355"/>
      <c r="B716" s="355"/>
      <c r="F716" s="355"/>
    </row>
    <row r="717">
      <c r="A717" s="355"/>
      <c r="B717" s="355"/>
      <c r="F717" s="355"/>
    </row>
    <row r="718">
      <c r="A718" s="355"/>
      <c r="B718" s="355"/>
      <c r="F718" s="355"/>
    </row>
    <row r="719">
      <c r="A719" s="355"/>
      <c r="B719" s="355"/>
      <c r="F719" s="355"/>
    </row>
    <row r="720">
      <c r="A720" s="355"/>
      <c r="B720" s="355"/>
      <c r="F720" s="355"/>
    </row>
    <row r="721">
      <c r="A721" s="355"/>
      <c r="B721" s="355"/>
      <c r="F721" s="355"/>
    </row>
    <row r="722">
      <c r="A722" s="355"/>
      <c r="B722" s="355"/>
      <c r="F722" s="355"/>
    </row>
    <row r="723">
      <c r="A723" s="355"/>
      <c r="B723" s="355"/>
      <c r="F723" s="355"/>
    </row>
    <row r="724">
      <c r="A724" s="355"/>
      <c r="B724" s="355"/>
      <c r="F724" s="355"/>
    </row>
    <row r="725">
      <c r="A725" s="355"/>
      <c r="B725" s="355"/>
      <c r="F725" s="355"/>
    </row>
    <row r="726">
      <c r="A726" s="355"/>
      <c r="B726" s="355"/>
      <c r="F726" s="355"/>
    </row>
    <row r="727">
      <c r="A727" s="355"/>
      <c r="B727" s="355"/>
      <c r="F727" s="355"/>
    </row>
    <row r="728">
      <c r="A728" s="355"/>
      <c r="B728" s="355"/>
      <c r="F728" s="355"/>
    </row>
    <row r="729">
      <c r="A729" s="355"/>
      <c r="B729" s="355"/>
      <c r="F729" s="355"/>
    </row>
    <row r="730">
      <c r="A730" s="355"/>
      <c r="B730" s="355"/>
      <c r="F730" s="355"/>
    </row>
    <row r="731">
      <c r="A731" s="355"/>
      <c r="B731" s="355"/>
      <c r="F731" s="355"/>
    </row>
    <row r="732">
      <c r="A732" s="355"/>
      <c r="B732" s="355"/>
      <c r="F732" s="355"/>
    </row>
    <row r="733">
      <c r="A733" s="355"/>
      <c r="B733" s="355"/>
      <c r="F733" s="355"/>
    </row>
    <row r="734">
      <c r="A734" s="355"/>
      <c r="B734" s="355"/>
      <c r="F734" s="355"/>
    </row>
    <row r="735">
      <c r="A735" s="355"/>
      <c r="B735" s="355"/>
      <c r="F735" s="355"/>
    </row>
    <row r="736">
      <c r="A736" s="355"/>
      <c r="B736" s="355"/>
      <c r="F736" s="355"/>
    </row>
    <row r="737">
      <c r="A737" s="355"/>
      <c r="B737" s="355"/>
      <c r="F737" s="355"/>
    </row>
    <row r="738">
      <c r="A738" s="355"/>
      <c r="B738" s="355"/>
      <c r="F738" s="355"/>
    </row>
    <row r="739">
      <c r="A739" s="355"/>
      <c r="B739" s="355"/>
      <c r="F739" s="355"/>
    </row>
    <row r="740">
      <c r="A740" s="355"/>
      <c r="B740" s="355"/>
      <c r="F740" s="355"/>
    </row>
    <row r="741">
      <c r="A741" s="355"/>
      <c r="B741" s="355"/>
      <c r="F741" s="355"/>
    </row>
    <row r="742">
      <c r="A742" s="355"/>
      <c r="B742" s="355"/>
      <c r="F742" s="355"/>
    </row>
    <row r="743">
      <c r="A743" s="355"/>
      <c r="B743" s="355"/>
      <c r="F743" s="355"/>
    </row>
    <row r="744">
      <c r="A744" s="355"/>
      <c r="B744" s="355"/>
      <c r="F744" s="355"/>
    </row>
    <row r="745">
      <c r="A745" s="355"/>
      <c r="B745" s="355"/>
      <c r="F745" s="355"/>
    </row>
    <row r="746">
      <c r="A746" s="355"/>
      <c r="B746" s="355"/>
      <c r="F746" s="355"/>
    </row>
    <row r="747">
      <c r="A747" s="355"/>
      <c r="B747" s="355"/>
      <c r="F747" s="355"/>
    </row>
    <row r="748">
      <c r="A748" s="355"/>
      <c r="B748" s="355"/>
      <c r="F748" s="355"/>
    </row>
    <row r="749">
      <c r="A749" s="355"/>
      <c r="B749" s="355"/>
      <c r="F749" s="355"/>
    </row>
    <row r="750">
      <c r="A750" s="355"/>
      <c r="B750" s="355"/>
      <c r="F750" s="355"/>
    </row>
    <row r="751">
      <c r="A751" s="355"/>
      <c r="B751" s="355"/>
      <c r="F751" s="355"/>
    </row>
    <row r="752">
      <c r="A752" s="355"/>
      <c r="B752" s="355"/>
      <c r="F752" s="355"/>
    </row>
    <row r="753">
      <c r="A753" s="355"/>
      <c r="B753" s="355"/>
      <c r="F753" s="355"/>
    </row>
    <row r="754">
      <c r="A754" s="355"/>
      <c r="B754" s="355"/>
      <c r="F754" s="355"/>
    </row>
    <row r="755">
      <c r="A755" s="355"/>
      <c r="B755" s="355"/>
      <c r="F755" s="355"/>
    </row>
    <row r="756">
      <c r="A756" s="355"/>
      <c r="B756" s="355"/>
      <c r="F756" s="355"/>
    </row>
    <row r="757">
      <c r="A757" s="355"/>
      <c r="B757" s="355"/>
      <c r="F757" s="355"/>
    </row>
    <row r="758">
      <c r="A758" s="355"/>
      <c r="B758" s="355"/>
      <c r="F758" s="355"/>
    </row>
    <row r="759">
      <c r="A759" s="355"/>
      <c r="B759" s="355"/>
      <c r="F759" s="355"/>
    </row>
    <row r="760">
      <c r="A760" s="355"/>
      <c r="B760" s="355"/>
      <c r="F760" s="355"/>
    </row>
    <row r="761">
      <c r="A761" s="355"/>
      <c r="B761" s="355"/>
      <c r="F761" s="355"/>
    </row>
    <row r="762">
      <c r="A762" s="355"/>
      <c r="B762" s="355"/>
      <c r="F762" s="355"/>
    </row>
    <row r="763">
      <c r="A763" s="355"/>
      <c r="B763" s="355"/>
      <c r="F763" s="355"/>
    </row>
    <row r="764">
      <c r="A764" s="355"/>
      <c r="B764" s="355"/>
      <c r="F764" s="355"/>
    </row>
    <row r="765">
      <c r="A765" s="355"/>
      <c r="B765" s="355"/>
      <c r="F765" s="355"/>
    </row>
    <row r="766">
      <c r="A766" s="355"/>
      <c r="B766" s="355"/>
      <c r="F766" s="355"/>
    </row>
    <row r="767">
      <c r="A767" s="355"/>
      <c r="B767" s="355"/>
      <c r="F767" s="355"/>
    </row>
    <row r="768">
      <c r="A768" s="355"/>
      <c r="B768" s="355"/>
      <c r="F768" s="355"/>
    </row>
    <row r="769">
      <c r="A769" s="355"/>
      <c r="B769" s="355"/>
      <c r="F769" s="355"/>
    </row>
    <row r="770">
      <c r="A770" s="355"/>
      <c r="B770" s="355"/>
      <c r="F770" s="355"/>
    </row>
    <row r="771">
      <c r="A771" s="355"/>
      <c r="B771" s="355"/>
      <c r="F771" s="355"/>
    </row>
    <row r="772">
      <c r="A772" s="355"/>
      <c r="B772" s="355"/>
      <c r="F772" s="355"/>
    </row>
    <row r="773">
      <c r="A773" s="355"/>
      <c r="B773" s="355"/>
      <c r="F773" s="355"/>
    </row>
    <row r="774">
      <c r="A774" s="355"/>
      <c r="B774" s="355"/>
      <c r="F774" s="355"/>
    </row>
    <row r="775">
      <c r="A775" s="355"/>
      <c r="B775" s="355"/>
      <c r="F775" s="355"/>
    </row>
    <row r="776">
      <c r="A776" s="355"/>
      <c r="B776" s="355"/>
      <c r="F776" s="355"/>
    </row>
    <row r="777">
      <c r="A777" s="355"/>
      <c r="B777" s="355"/>
      <c r="F777" s="355"/>
    </row>
    <row r="778">
      <c r="A778" s="355"/>
      <c r="B778" s="355"/>
      <c r="F778" s="355"/>
    </row>
    <row r="779">
      <c r="A779" s="355"/>
      <c r="B779" s="355"/>
      <c r="F779" s="355"/>
    </row>
    <row r="780">
      <c r="A780" s="355"/>
      <c r="B780" s="355"/>
      <c r="F780" s="355"/>
    </row>
    <row r="781">
      <c r="A781" s="355"/>
      <c r="B781" s="355"/>
      <c r="F781" s="355"/>
    </row>
    <row r="782">
      <c r="A782" s="355"/>
      <c r="B782" s="355"/>
      <c r="F782" s="355"/>
    </row>
    <row r="783">
      <c r="A783" s="355"/>
      <c r="B783" s="355"/>
      <c r="F783" s="355"/>
    </row>
    <row r="784">
      <c r="A784" s="355"/>
      <c r="B784" s="355"/>
      <c r="F784" s="355"/>
    </row>
    <row r="785">
      <c r="A785" s="355"/>
      <c r="B785" s="355"/>
      <c r="F785" s="355"/>
    </row>
    <row r="786">
      <c r="A786" s="355"/>
      <c r="B786" s="355"/>
      <c r="F786" s="355"/>
    </row>
    <row r="787">
      <c r="A787" s="355"/>
      <c r="B787" s="355"/>
      <c r="F787" s="355"/>
    </row>
    <row r="788">
      <c r="A788" s="355"/>
      <c r="B788" s="355"/>
      <c r="F788" s="355"/>
    </row>
    <row r="789">
      <c r="A789" s="355"/>
      <c r="B789" s="355"/>
      <c r="F789" s="355"/>
    </row>
    <row r="790">
      <c r="A790" s="355"/>
      <c r="B790" s="355"/>
      <c r="F790" s="355"/>
    </row>
    <row r="791">
      <c r="A791" s="355"/>
      <c r="B791" s="355"/>
      <c r="F791" s="355"/>
    </row>
    <row r="792">
      <c r="A792" s="355"/>
      <c r="B792" s="355"/>
      <c r="F792" s="355"/>
    </row>
    <row r="793">
      <c r="A793" s="355"/>
      <c r="B793" s="355"/>
      <c r="F793" s="355"/>
    </row>
    <row r="794">
      <c r="A794" s="355"/>
      <c r="B794" s="355"/>
      <c r="F794" s="355"/>
    </row>
    <row r="795">
      <c r="A795" s="355"/>
      <c r="B795" s="355"/>
      <c r="F795" s="355"/>
    </row>
    <row r="796">
      <c r="A796" s="355"/>
      <c r="B796" s="355"/>
      <c r="F796" s="355"/>
    </row>
    <row r="797">
      <c r="A797" s="355"/>
      <c r="B797" s="355"/>
      <c r="F797" s="355"/>
    </row>
    <row r="798">
      <c r="A798" s="355"/>
      <c r="B798" s="355"/>
      <c r="F798" s="355"/>
    </row>
    <row r="799">
      <c r="A799" s="355"/>
      <c r="B799" s="355"/>
      <c r="F799" s="355"/>
    </row>
    <row r="800">
      <c r="A800" s="355"/>
      <c r="B800" s="355"/>
      <c r="F800" s="355"/>
    </row>
    <row r="801">
      <c r="A801" s="355"/>
      <c r="B801" s="355"/>
      <c r="F801" s="355"/>
    </row>
    <row r="802">
      <c r="A802" s="355"/>
      <c r="B802" s="355"/>
      <c r="F802" s="355"/>
    </row>
    <row r="803">
      <c r="A803" s="355"/>
      <c r="B803" s="355"/>
      <c r="F803" s="355"/>
    </row>
    <row r="804">
      <c r="A804" s="355"/>
      <c r="B804" s="355"/>
      <c r="F804" s="355"/>
    </row>
    <row r="805">
      <c r="A805" s="355"/>
      <c r="B805" s="355"/>
      <c r="F805" s="355"/>
    </row>
    <row r="806">
      <c r="A806" s="355"/>
      <c r="B806" s="355"/>
      <c r="F806" s="355"/>
    </row>
    <row r="807">
      <c r="A807" s="355"/>
      <c r="B807" s="355"/>
      <c r="F807" s="355"/>
    </row>
    <row r="808">
      <c r="A808" s="355"/>
      <c r="B808" s="355"/>
      <c r="F808" s="355"/>
    </row>
    <row r="809">
      <c r="A809" s="355"/>
      <c r="B809" s="355"/>
      <c r="F809" s="355"/>
    </row>
    <row r="810">
      <c r="A810" s="355"/>
      <c r="B810" s="355"/>
      <c r="F810" s="355"/>
    </row>
    <row r="811">
      <c r="A811" s="355"/>
      <c r="B811" s="355"/>
      <c r="F811" s="355"/>
    </row>
    <row r="812">
      <c r="A812" s="355"/>
      <c r="B812" s="355"/>
      <c r="F812" s="355"/>
    </row>
    <row r="813">
      <c r="A813" s="355"/>
      <c r="B813" s="355"/>
      <c r="F813" s="355"/>
    </row>
    <row r="814">
      <c r="A814" s="355"/>
      <c r="B814" s="355"/>
      <c r="F814" s="355"/>
    </row>
    <row r="815">
      <c r="A815" s="355"/>
      <c r="B815" s="355"/>
      <c r="F815" s="355"/>
    </row>
    <row r="816">
      <c r="A816" s="355"/>
      <c r="B816" s="355"/>
      <c r="F816" s="355"/>
    </row>
    <row r="817">
      <c r="A817" s="355"/>
      <c r="B817" s="355"/>
      <c r="F817" s="355"/>
    </row>
    <row r="818">
      <c r="A818" s="355"/>
      <c r="B818" s="355"/>
      <c r="F818" s="355"/>
    </row>
    <row r="819">
      <c r="A819" s="355"/>
      <c r="B819" s="355"/>
      <c r="F819" s="355"/>
    </row>
    <row r="820">
      <c r="A820" s="355"/>
      <c r="B820" s="355"/>
      <c r="F820" s="355"/>
    </row>
    <row r="821">
      <c r="A821" s="355"/>
      <c r="B821" s="355"/>
      <c r="F821" s="355"/>
    </row>
    <row r="822">
      <c r="A822" s="355"/>
      <c r="B822" s="355"/>
      <c r="F822" s="355"/>
    </row>
    <row r="823">
      <c r="A823" s="355"/>
      <c r="B823" s="355"/>
      <c r="F823" s="355"/>
    </row>
    <row r="824">
      <c r="A824" s="355"/>
      <c r="B824" s="355"/>
      <c r="F824" s="355"/>
    </row>
    <row r="825">
      <c r="A825" s="355"/>
      <c r="B825" s="355"/>
      <c r="F825" s="355"/>
    </row>
    <row r="826">
      <c r="A826" s="355"/>
      <c r="B826" s="355"/>
      <c r="F826" s="355"/>
    </row>
    <row r="827">
      <c r="A827" s="355"/>
      <c r="B827" s="355"/>
      <c r="F827" s="355"/>
    </row>
    <row r="828">
      <c r="A828" s="355"/>
      <c r="B828" s="355"/>
      <c r="F828" s="355"/>
    </row>
    <row r="829">
      <c r="A829" s="355"/>
      <c r="B829" s="355"/>
      <c r="F829" s="355"/>
    </row>
    <row r="830">
      <c r="A830" s="355"/>
      <c r="B830" s="355"/>
      <c r="F830" s="355"/>
    </row>
    <row r="831">
      <c r="A831" s="355"/>
      <c r="B831" s="355"/>
      <c r="F831" s="355"/>
    </row>
    <row r="832">
      <c r="A832" s="355"/>
      <c r="B832" s="355"/>
      <c r="F832" s="355"/>
    </row>
    <row r="833">
      <c r="A833" s="355"/>
      <c r="B833" s="355"/>
      <c r="F833" s="355"/>
    </row>
    <row r="834">
      <c r="A834" s="355"/>
      <c r="B834" s="355"/>
      <c r="F834" s="355"/>
    </row>
    <row r="835">
      <c r="A835" s="355"/>
      <c r="B835" s="355"/>
      <c r="F835" s="355"/>
    </row>
    <row r="836">
      <c r="A836" s="355"/>
      <c r="B836" s="355"/>
      <c r="F836" s="355"/>
    </row>
    <row r="837">
      <c r="A837" s="355"/>
      <c r="B837" s="355"/>
      <c r="F837" s="355"/>
    </row>
    <row r="838">
      <c r="A838" s="355"/>
      <c r="B838" s="355"/>
      <c r="F838" s="355"/>
    </row>
    <row r="839">
      <c r="A839" s="355"/>
      <c r="B839" s="355"/>
      <c r="F839" s="355"/>
    </row>
    <row r="840">
      <c r="A840" s="355"/>
      <c r="B840" s="355"/>
      <c r="F840" s="355"/>
    </row>
    <row r="841">
      <c r="A841" s="355"/>
      <c r="B841" s="355"/>
      <c r="F841" s="355"/>
    </row>
    <row r="842">
      <c r="A842" s="355"/>
      <c r="B842" s="355"/>
      <c r="F842" s="355"/>
    </row>
    <row r="843">
      <c r="A843" s="355"/>
      <c r="B843" s="355"/>
      <c r="F843" s="355"/>
    </row>
    <row r="844">
      <c r="A844" s="355"/>
      <c r="B844" s="355"/>
      <c r="F844" s="355"/>
    </row>
    <row r="845">
      <c r="A845" s="355"/>
      <c r="B845" s="355"/>
      <c r="F845" s="355"/>
    </row>
    <row r="846">
      <c r="A846" s="355"/>
      <c r="B846" s="355"/>
      <c r="F846" s="355"/>
    </row>
    <row r="847">
      <c r="A847" s="355"/>
      <c r="B847" s="355"/>
      <c r="F847" s="355"/>
    </row>
    <row r="848">
      <c r="A848" s="355"/>
      <c r="B848" s="355"/>
      <c r="F848" s="355"/>
    </row>
    <row r="849">
      <c r="A849" s="355"/>
      <c r="B849" s="355"/>
      <c r="F849" s="355"/>
    </row>
    <row r="850">
      <c r="A850" s="355"/>
      <c r="B850" s="355"/>
      <c r="F850" s="355"/>
    </row>
    <row r="851">
      <c r="A851" s="355"/>
      <c r="B851" s="355"/>
      <c r="F851" s="355"/>
    </row>
    <row r="852">
      <c r="A852" s="355"/>
      <c r="B852" s="355"/>
      <c r="F852" s="355"/>
    </row>
    <row r="853">
      <c r="A853" s="355"/>
      <c r="B853" s="355"/>
      <c r="F853" s="355"/>
    </row>
    <row r="854">
      <c r="A854" s="355"/>
      <c r="B854" s="355"/>
      <c r="F854" s="355"/>
    </row>
    <row r="855">
      <c r="A855" s="355"/>
      <c r="B855" s="355"/>
      <c r="F855" s="355"/>
    </row>
    <row r="856">
      <c r="A856" s="355"/>
      <c r="B856" s="355"/>
      <c r="F856" s="355"/>
    </row>
    <row r="857">
      <c r="A857" s="355"/>
      <c r="B857" s="355"/>
      <c r="F857" s="355"/>
    </row>
    <row r="858">
      <c r="A858" s="355"/>
      <c r="B858" s="355"/>
      <c r="F858" s="355"/>
    </row>
    <row r="859">
      <c r="A859" s="355"/>
      <c r="B859" s="355"/>
      <c r="F859" s="355"/>
    </row>
    <row r="860">
      <c r="A860" s="355"/>
      <c r="B860" s="355"/>
      <c r="F860" s="355"/>
    </row>
    <row r="861">
      <c r="A861" s="355"/>
      <c r="B861" s="355"/>
      <c r="F861" s="355"/>
    </row>
    <row r="862">
      <c r="A862" s="355"/>
      <c r="B862" s="355"/>
      <c r="F862" s="355"/>
    </row>
    <row r="863">
      <c r="A863" s="355"/>
      <c r="B863" s="355"/>
      <c r="F863" s="355"/>
    </row>
    <row r="864">
      <c r="A864" s="355"/>
      <c r="B864" s="355"/>
      <c r="F864" s="355"/>
    </row>
    <row r="865">
      <c r="A865" s="355"/>
      <c r="B865" s="355"/>
      <c r="F865" s="355"/>
    </row>
    <row r="866">
      <c r="A866" s="355"/>
      <c r="B866" s="355"/>
      <c r="F866" s="355"/>
    </row>
    <row r="867">
      <c r="A867" s="355"/>
      <c r="B867" s="355"/>
      <c r="F867" s="355"/>
    </row>
    <row r="868">
      <c r="A868" s="355"/>
      <c r="B868" s="355"/>
      <c r="F868" s="355"/>
    </row>
    <row r="869">
      <c r="A869" s="355"/>
      <c r="B869" s="355"/>
      <c r="F869" s="355"/>
    </row>
    <row r="870">
      <c r="A870" s="355"/>
      <c r="B870" s="355"/>
      <c r="F870" s="355"/>
    </row>
    <row r="871">
      <c r="A871" s="355"/>
      <c r="B871" s="355"/>
      <c r="F871" s="355"/>
    </row>
    <row r="872">
      <c r="A872" s="355"/>
      <c r="B872" s="355"/>
      <c r="F872" s="355"/>
    </row>
    <row r="873">
      <c r="A873" s="355"/>
      <c r="B873" s="355"/>
      <c r="F873" s="355"/>
    </row>
    <row r="874">
      <c r="A874" s="355"/>
      <c r="B874" s="355"/>
      <c r="F874" s="355"/>
    </row>
    <row r="875">
      <c r="A875" s="355"/>
      <c r="B875" s="355"/>
      <c r="F875" s="355"/>
    </row>
    <row r="876">
      <c r="A876" s="355"/>
      <c r="B876" s="355"/>
      <c r="F876" s="355"/>
    </row>
    <row r="877">
      <c r="A877" s="355"/>
      <c r="B877" s="355"/>
      <c r="F877" s="355"/>
    </row>
    <row r="878">
      <c r="A878" s="355"/>
      <c r="B878" s="355"/>
      <c r="F878" s="355"/>
    </row>
    <row r="879">
      <c r="A879" s="355"/>
      <c r="B879" s="355"/>
      <c r="F879" s="355"/>
    </row>
    <row r="880">
      <c r="A880" s="355"/>
      <c r="B880" s="355"/>
      <c r="F880" s="355"/>
    </row>
    <row r="881">
      <c r="A881" s="355"/>
      <c r="B881" s="355"/>
      <c r="F881" s="355"/>
    </row>
    <row r="882">
      <c r="A882" s="355"/>
      <c r="B882" s="355"/>
      <c r="F882" s="355"/>
    </row>
    <row r="883">
      <c r="A883" s="355"/>
      <c r="B883" s="355"/>
      <c r="F883" s="355"/>
    </row>
    <row r="884">
      <c r="A884" s="355"/>
      <c r="B884" s="355"/>
      <c r="F884" s="355"/>
    </row>
    <row r="885">
      <c r="A885" s="355"/>
      <c r="B885" s="355"/>
      <c r="F885" s="355"/>
    </row>
    <row r="886">
      <c r="A886" s="355"/>
      <c r="B886" s="355"/>
      <c r="F886" s="355"/>
    </row>
    <row r="887">
      <c r="A887" s="355"/>
      <c r="B887" s="355"/>
      <c r="F887" s="355"/>
    </row>
    <row r="888">
      <c r="A888" s="355"/>
      <c r="B888" s="355"/>
      <c r="F888" s="355"/>
    </row>
    <row r="889">
      <c r="A889" s="355"/>
      <c r="B889" s="355"/>
      <c r="F889" s="355"/>
    </row>
    <row r="890">
      <c r="A890" s="355"/>
      <c r="B890" s="355"/>
      <c r="F890" s="355"/>
    </row>
    <row r="891">
      <c r="A891" s="355"/>
      <c r="B891" s="355"/>
      <c r="F891" s="355"/>
    </row>
    <row r="892">
      <c r="A892" s="355"/>
      <c r="B892" s="355"/>
      <c r="F892" s="355"/>
    </row>
    <row r="893">
      <c r="A893" s="355"/>
      <c r="B893" s="355"/>
      <c r="F893" s="355"/>
    </row>
    <row r="894">
      <c r="A894" s="355"/>
      <c r="B894" s="355"/>
      <c r="F894" s="355"/>
    </row>
    <row r="895">
      <c r="A895" s="355"/>
      <c r="B895" s="355"/>
      <c r="F895" s="355"/>
    </row>
    <row r="896">
      <c r="A896" s="355"/>
      <c r="B896" s="355"/>
      <c r="F896" s="355"/>
    </row>
    <row r="897">
      <c r="A897" s="355"/>
      <c r="B897" s="355"/>
      <c r="F897" s="355"/>
    </row>
    <row r="898">
      <c r="A898" s="355"/>
      <c r="B898" s="355"/>
      <c r="F898" s="355"/>
    </row>
    <row r="899">
      <c r="A899" s="355"/>
      <c r="B899" s="355"/>
      <c r="F899" s="355"/>
    </row>
    <row r="900">
      <c r="A900" s="355"/>
      <c r="B900" s="355"/>
      <c r="F900" s="355"/>
    </row>
    <row r="901">
      <c r="A901" s="355"/>
      <c r="B901" s="355"/>
      <c r="F901" s="355"/>
    </row>
    <row r="902">
      <c r="A902" s="355"/>
      <c r="B902" s="355"/>
      <c r="F902" s="355"/>
    </row>
    <row r="903">
      <c r="A903" s="355"/>
      <c r="B903" s="355"/>
      <c r="F903" s="355"/>
    </row>
    <row r="904">
      <c r="A904" s="355"/>
      <c r="B904" s="355"/>
      <c r="F904" s="355"/>
    </row>
    <row r="905">
      <c r="A905" s="355"/>
      <c r="B905" s="355"/>
      <c r="F905" s="355"/>
    </row>
    <row r="906">
      <c r="A906" s="355"/>
      <c r="B906" s="355"/>
      <c r="F906" s="355"/>
    </row>
    <row r="907">
      <c r="A907" s="355"/>
      <c r="B907" s="355"/>
      <c r="F907" s="355"/>
    </row>
    <row r="908">
      <c r="A908" s="355"/>
      <c r="B908" s="355"/>
      <c r="F908" s="355"/>
    </row>
    <row r="909">
      <c r="A909" s="355"/>
      <c r="B909" s="355"/>
      <c r="F909" s="355"/>
    </row>
    <row r="910">
      <c r="A910" s="355"/>
      <c r="B910" s="355"/>
      <c r="F910" s="355"/>
    </row>
    <row r="911">
      <c r="A911" s="355"/>
      <c r="B911" s="355"/>
      <c r="F911" s="355"/>
    </row>
    <row r="912">
      <c r="A912" s="355"/>
      <c r="B912" s="355"/>
      <c r="F912" s="355"/>
    </row>
    <row r="913">
      <c r="A913" s="355"/>
      <c r="B913" s="355"/>
      <c r="F913" s="355"/>
    </row>
    <row r="914">
      <c r="A914" s="355"/>
      <c r="B914" s="355"/>
      <c r="F914" s="355"/>
    </row>
    <row r="915">
      <c r="A915" s="355"/>
      <c r="B915" s="355"/>
      <c r="F915" s="355"/>
    </row>
    <row r="916">
      <c r="A916" s="355"/>
      <c r="B916" s="355"/>
      <c r="F916" s="355"/>
    </row>
    <row r="917">
      <c r="A917" s="355"/>
      <c r="B917" s="355"/>
      <c r="F917" s="355"/>
    </row>
    <row r="918">
      <c r="A918" s="355"/>
      <c r="B918" s="355"/>
      <c r="F918" s="355"/>
    </row>
    <row r="919">
      <c r="A919" s="355"/>
      <c r="B919" s="355"/>
      <c r="F919" s="355"/>
    </row>
    <row r="920">
      <c r="A920" s="355"/>
      <c r="B920" s="355"/>
      <c r="F920" s="355"/>
    </row>
    <row r="921">
      <c r="A921" s="355"/>
      <c r="B921" s="355"/>
      <c r="F921" s="355"/>
    </row>
    <row r="922">
      <c r="A922" s="355"/>
      <c r="B922" s="355"/>
      <c r="F922" s="355"/>
    </row>
    <row r="923">
      <c r="A923" s="355"/>
      <c r="B923" s="355"/>
      <c r="F923" s="355"/>
    </row>
    <row r="924">
      <c r="A924" s="355"/>
      <c r="B924" s="355"/>
      <c r="F924" s="355"/>
    </row>
    <row r="925">
      <c r="A925" s="355"/>
      <c r="B925" s="355"/>
      <c r="F925" s="355"/>
    </row>
    <row r="926">
      <c r="A926" s="355"/>
      <c r="B926" s="355"/>
      <c r="F926" s="355"/>
    </row>
    <row r="927">
      <c r="A927" s="355"/>
      <c r="B927" s="355"/>
      <c r="F927" s="355"/>
    </row>
    <row r="928">
      <c r="A928" s="355"/>
      <c r="B928" s="355"/>
      <c r="F928" s="355"/>
    </row>
    <row r="929">
      <c r="A929" s="355"/>
      <c r="B929" s="355"/>
      <c r="F929" s="355"/>
    </row>
    <row r="930">
      <c r="A930" s="355"/>
      <c r="B930" s="355"/>
      <c r="F930" s="355"/>
    </row>
    <row r="931">
      <c r="A931" s="355"/>
      <c r="B931" s="355"/>
      <c r="F931" s="355"/>
    </row>
    <row r="932">
      <c r="A932" s="355"/>
      <c r="B932" s="355"/>
      <c r="F932" s="355"/>
    </row>
    <row r="933">
      <c r="A933" s="355"/>
      <c r="B933" s="355"/>
      <c r="F933" s="355"/>
    </row>
    <row r="934">
      <c r="A934" s="355"/>
      <c r="B934" s="355"/>
      <c r="F934" s="355"/>
    </row>
    <row r="935">
      <c r="A935" s="355"/>
      <c r="B935" s="355"/>
      <c r="F935" s="355"/>
    </row>
    <row r="936">
      <c r="A936" s="355"/>
      <c r="B936" s="355"/>
      <c r="F936" s="355"/>
    </row>
    <row r="937">
      <c r="A937" s="355"/>
      <c r="B937" s="355"/>
      <c r="F937" s="355"/>
    </row>
    <row r="938">
      <c r="A938" s="355"/>
      <c r="B938" s="355"/>
      <c r="F938" s="355"/>
    </row>
    <row r="939">
      <c r="A939" s="355"/>
      <c r="B939" s="355"/>
      <c r="F939" s="355"/>
    </row>
    <row r="940">
      <c r="A940" s="355"/>
      <c r="B940" s="355"/>
      <c r="F940" s="355"/>
    </row>
    <row r="941">
      <c r="A941" s="355"/>
      <c r="B941" s="355"/>
      <c r="F941" s="355"/>
    </row>
    <row r="942">
      <c r="A942" s="355"/>
      <c r="B942" s="355"/>
      <c r="F942" s="355"/>
    </row>
    <row r="943">
      <c r="A943" s="355"/>
      <c r="B943" s="355"/>
      <c r="F943" s="355"/>
    </row>
    <row r="944">
      <c r="A944" s="355"/>
      <c r="B944" s="355"/>
      <c r="F944" s="355"/>
    </row>
    <row r="945">
      <c r="A945" s="355"/>
      <c r="B945" s="355"/>
      <c r="F945" s="355"/>
    </row>
    <row r="946">
      <c r="A946" s="355"/>
      <c r="B946" s="355"/>
      <c r="F946" s="355"/>
    </row>
    <row r="947">
      <c r="A947" s="355"/>
      <c r="B947" s="355"/>
      <c r="F947" s="355"/>
    </row>
    <row r="948">
      <c r="A948" s="355"/>
      <c r="B948" s="355"/>
      <c r="F948" s="355"/>
    </row>
    <row r="949">
      <c r="A949" s="355"/>
      <c r="B949" s="355"/>
      <c r="F949" s="355"/>
    </row>
    <row r="950">
      <c r="A950" s="355"/>
      <c r="B950" s="355"/>
      <c r="F950" s="355"/>
    </row>
    <row r="951">
      <c r="A951" s="355"/>
      <c r="B951" s="355"/>
      <c r="F951" s="355"/>
    </row>
    <row r="952">
      <c r="A952" s="355"/>
      <c r="B952" s="355"/>
      <c r="F952" s="355"/>
    </row>
    <row r="953">
      <c r="A953" s="355"/>
      <c r="B953" s="355"/>
      <c r="F953" s="355"/>
    </row>
    <row r="954">
      <c r="A954" s="355"/>
      <c r="B954" s="355"/>
      <c r="F954" s="355"/>
    </row>
    <row r="955">
      <c r="A955" s="355"/>
      <c r="B955" s="355"/>
      <c r="F955" s="355"/>
    </row>
    <row r="956">
      <c r="A956" s="355"/>
      <c r="B956" s="355"/>
      <c r="F956" s="355"/>
    </row>
    <row r="957">
      <c r="A957" s="355"/>
      <c r="B957" s="355"/>
      <c r="F957" s="355"/>
    </row>
    <row r="958">
      <c r="A958" s="355"/>
      <c r="B958" s="355"/>
      <c r="F958" s="355"/>
    </row>
    <row r="959">
      <c r="A959" s="355"/>
      <c r="B959" s="355"/>
      <c r="F959" s="355"/>
    </row>
    <row r="960">
      <c r="A960" s="355"/>
      <c r="B960" s="355"/>
      <c r="F960" s="355"/>
    </row>
    <row r="961">
      <c r="A961" s="355"/>
      <c r="B961" s="355"/>
      <c r="F961" s="355"/>
    </row>
    <row r="962">
      <c r="A962" s="355"/>
      <c r="B962" s="355"/>
      <c r="F962" s="355"/>
    </row>
    <row r="963">
      <c r="A963" s="355"/>
      <c r="B963" s="355"/>
      <c r="F963" s="355"/>
    </row>
    <row r="964">
      <c r="A964" s="355"/>
      <c r="B964" s="355"/>
      <c r="F964" s="355"/>
    </row>
    <row r="965">
      <c r="A965" s="355"/>
      <c r="B965" s="355"/>
      <c r="F965" s="355"/>
    </row>
    <row r="966">
      <c r="A966" s="355"/>
      <c r="B966" s="355"/>
      <c r="F966" s="355"/>
    </row>
    <row r="967">
      <c r="A967" s="355"/>
      <c r="B967" s="355"/>
      <c r="F967" s="355"/>
    </row>
    <row r="968">
      <c r="A968" s="355"/>
      <c r="B968" s="355"/>
      <c r="F968" s="355"/>
    </row>
    <row r="969">
      <c r="A969" s="355"/>
      <c r="B969" s="355"/>
      <c r="F969" s="355"/>
    </row>
    <row r="970">
      <c r="A970" s="355"/>
      <c r="B970" s="355"/>
      <c r="F970" s="355"/>
    </row>
    <row r="971">
      <c r="A971" s="355"/>
      <c r="B971" s="355"/>
      <c r="F971" s="355"/>
    </row>
    <row r="972">
      <c r="A972" s="355"/>
      <c r="B972" s="355"/>
      <c r="F972" s="355"/>
    </row>
    <row r="973">
      <c r="A973" s="355"/>
      <c r="B973" s="355"/>
      <c r="F973" s="355"/>
    </row>
    <row r="974">
      <c r="A974" s="355"/>
      <c r="B974" s="355"/>
      <c r="F974" s="355"/>
    </row>
    <row r="975">
      <c r="A975" s="355"/>
      <c r="B975" s="355"/>
      <c r="F975" s="355"/>
    </row>
    <row r="976">
      <c r="A976" s="355"/>
      <c r="B976" s="355"/>
      <c r="F976" s="355"/>
    </row>
    <row r="977">
      <c r="A977" s="355"/>
      <c r="B977" s="355"/>
      <c r="F977" s="355"/>
    </row>
    <row r="978">
      <c r="A978" s="355"/>
      <c r="B978" s="355"/>
      <c r="F978" s="355"/>
    </row>
    <row r="979">
      <c r="A979" s="355"/>
      <c r="B979" s="355"/>
      <c r="F979" s="355"/>
    </row>
    <row r="980">
      <c r="A980" s="355"/>
      <c r="B980" s="355"/>
      <c r="F980" s="355"/>
    </row>
    <row r="981">
      <c r="A981" s="355"/>
      <c r="B981" s="355"/>
      <c r="F981" s="355"/>
    </row>
    <row r="982">
      <c r="A982" s="355"/>
      <c r="B982" s="355"/>
      <c r="F982" s="355"/>
    </row>
    <row r="983">
      <c r="A983" s="355"/>
      <c r="B983" s="355"/>
      <c r="F983" s="355"/>
    </row>
    <row r="984">
      <c r="A984" s="355"/>
      <c r="B984" s="355"/>
      <c r="F984" s="355"/>
    </row>
    <row r="985">
      <c r="A985" s="355"/>
      <c r="B985" s="355"/>
      <c r="F985" s="355"/>
    </row>
    <row r="986">
      <c r="A986" s="355"/>
      <c r="B986" s="355"/>
      <c r="F986" s="355"/>
    </row>
    <row r="987">
      <c r="A987" s="355"/>
      <c r="B987" s="355"/>
      <c r="F987" s="355"/>
    </row>
    <row r="988">
      <c r="A988" s="355"/>
      <c r="B988" s="355"/>
      <c r="F988" s="355"/>
    </row>
    <row r="989">
      <c r="A989" s="355"/>
      <c r="B989" s="355"/>
      <c r="F989" s="355"/>
    </row>
    <row r="990">
      <c r="A990" s="355"/>
      <c r="B990" s="355"/>
      <c r="F990" s="355"/>
    </row>
    <row r="991">
      <c r="A991" s="355"/>
      <c r="B991" s="355"/>
      <c r="F991" s="355"/>
    </row>
    <row r="992">
      <c r="A992" s="355"/>
      <c r="B992" s="355"/>
      <c r="F992" s="355"/>
    </row>
    <row r="993">
      <c r="A993" s="355"/>
      <c r="B993" s="355"/>
      <c r="F993" s="355"/>
    </row>
    <row r="994">
      <c r="A994" s="355"/>
      <c r="B994" s="355"/>
      <c r="F994" s="355"/>
    </row>
    <row r="995">
      <c r="A995" s="355"/>
      <c r="B995" s="355"/>
      <c r="F995" s="355"/>
    </row>
    <row r="996">
      <c r="A996" s="355"/>
      <c r="B996" s="355"/>
      <c r="F996" s="355"/>
    </row>
    <row r="997">
      <c r="A997" s="355"/>
      <c r="B997" s="355"/>
      <c r="F997" s="355"/>
    </row>
    <row r="998">
      <c r="A998" s="355"/>
      <c r="B998" s="355"/>
      <c r="F998" s="355"/>
    </row>
    <row r="999">
      <c r="A999" s="355"/>
      <c r="B999" s="355"/>
      <c r="F999" s="355"/>
    </row>
    <row r="1000">
      <c r="A1000" s="355"/>
      <c r="B1000" s="355"/>
      <c r="F1000" s="355"/>
    </row>
    <row r="1001">
      <c r="A1001" s="355"/>
      <c r="B1001" s="355"/>
      <c r="F1001" s="355"/>
    </row>
  </sheetData>
  <mergeCells count="10">
    <mergeCell ref="B42:F42"/>
    <mergeCell ref="B43:F43"/>
    <mergeCell ref="B58:F58"/>
    <mergeCell ref="B1:F1"/>
    <mergeCell ref="B3:F3"/>
    <mergeCell ref="B8:F8"/>
    <mergeCell ref="B16:F16"/>
    <mergeCell ref="B21:F21"/>
    <mergeCell ref="B34:F34"/>
    <mergeCell ref="B35:F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1.14"/>
    <col customWidth="1" min="3" max="3" width="15.57"/>
    <col customWidth="1" min="4" max="4" width="43.57"/>
    <col customWidth="1" min="5" max="5" width="14.57"/>
    <col customWidth="1" min="6" max="6" width="14.14"/>
  </cols>
  <sheetData>
    <row r="1">
      <c r="A1" s="355"/>
      <c r="B1" s="356" t="s">
        <v>168</v>
      </c>
      <c r="C1" s="356"/>
      <c r="D1" s="356"/>
      <c r="E1" s="356"/>
      <c r="F1" s="356"/>
    </row>
    <row r="2">
      <c r="A2" s="355"/>
      <c r="B2" s="357" t="s">
        <v>169</v>
      </c>
      <c r="C2" s="358" t="s">
        <v>170</v>
      </c>
      <c r="D2" s="358" t="s">
        <v>171</v>
      </c>
      <c r="E2" s="358" t="s">
        <v>172</v>
      </c>
      <c r="F2" s="357" t="s">
        <v>173</v>
      </c>
    </row>
    <row r="3">
      <c r="A3" s="355"/>
      <c r="B3" s="359" t="s">
        <v>318</v>
      </c>
    </row>
    <row r="4">
      <c r="A4" s="355"/>
      <c r="B4" s="360" t="s">
        <v>66</v>
      </c>
      <c r="C4" s="361" t="s">
        <v>175</v>
      </c>
      <c r="D4" s="361" t="s">
        <v>176</v>
      </c>
      <c r="E4" s="361">
        <v>3.0</v>
      </c>
      <c r="F4" s="360" t="s">
        <v>177</v>
      </c>
    </row>
    <row r="5">
      <c r="A5" s="355"/>
      <c r="B5" s="360" t="s">
        <v>178</v>
      </c>
      <c r="C5" s="361" t="s">
        <v>179</v>
      </c>
      <c r="D5" s="361" t="s">
        <v>180</v>
      </c>
      <c r="E5" s="361">
        <v>3.0</v>
      </c>
      <c r="F5" s="360" t="s">
        <v>177</v>
      </c>
    </row>
    <row r="6">
      <c r="A6" s="355"/>
      <c r="B6" s="360" t="s">
        <v>86</v>
      </c>
      <c r="C6" s="361" t="s">
        <v>181</v>
      </c>
      <c r="D6" s="361" t="s">
        <v>182</v>
      </c>
      <c r="E6" s="361">
        <v>3.0</v>
      </c>
      <c r="F6" s="360" t="s">
        <v>177</v>
      </c>
    </row>
    <row r="7">
      <c r="A7" s="355"/>
      <c r="B7" s="360" t="s">
        <v>183</v>
      </c>
      <c r="C7" s="361" t="s">
        <v>184</v>
      </c>
      <c r="D7" s="361" t="s">
        <v>185</v>
      </c>
      <c r="E7" s="361">
        <v>3.0</v>
      </c>
      <c r="F7" s="360" t="s">
        <v>177</v>
      </c>
    </row>
    <row r="8">
      <c r="A8" s="355"/>
      <c r="B8" s="360" t="s">
        <v>319</v>
      </c>
      <c r="C8" s="361"/>
      <c r="D8" s="361" t="s">
        <v>320</v>
      </c>
      <c r="E8" s="361">
        <v>3.0</v>
      </c>
      <c r="F8" s="360"/>
    </row>
    <row r="9">
      <c r="A9" s="355"/>
      <c r="B9" s="362" t="s">
        <v>321</v>
      </c>
    </row>
    <row r="10">
      <c r="A10" s="355"/>
      <c r="B10" s="360" t="s">
        <v>63</v>
      </c>
      <c r="C10" s="361" t="s">
        <v>187</v>
      </c>
      <c r="D10" s="361" t="s">
        <v>188</v>
      </c>
      <c r="E10" s="361">
        <v>3.0</v>
      </c>
      <c r="F10" s="360" t="s">
        <v>177</v>
      </c>
    </row>
    <row r="11">
      <c r="A11" s="355"/>
      <c r="B11" s="360" t="s">
        <v>322</v>
      </c>
      <c r="D11" s="361" t="s">
        <v>323</v>
      </c>
      <c r="E11" s="361">
        <v>3.0</v>
      </c>
      <c r="F11" s="360"/>
    </row>
    <row r="12">
      <c r="A12" s="355"/>
      <c r="B12" s="360" t="s">
        <v>324</v>
      </c>
      <c r="D12" s="361" t="s">
        <v>325</v>
      </c>
      <c r="E12" s="361">
        <v>3.0</v>
      </c>
      <c r="F12" s="360"/>
    </row>
    <row r="13">
      <c r="A13" s="355"/>
      <c r="B13" s="360" t="s">
        <v>326</v>
      </c>
      <c r="D13" s="361" t="s">
        <v>327</v>
      </c>
      <c r="E13" s="361">
        <v>3.0</v>
      </c>
      <c r="F13" s="360"/>
    </row>
    <row r="14">
      <c r="A14" s="355"/>
      <c r="B14" s="360" t="s">
        <v>328</v>
      </c>
      <c r="D14" s="361" t="s">
        <v>329</v>
      </c>
      <c r="E14" s="361">
        <v>3.0</v>
      </c>
      <c r="F14" s="360"/>
    </row>
    <row r="15">
      <c r="A15" s="355"/>
      <c r="B15" s="363" t="s">
        <v>330</v>
      </c>
    </row>
    <row r="16">
      <c r="A16" s="355"/>
      <c r="B16" s="360" t="s">
        <v>64</v>
      </c>
      <c r="D16" s="361" t="s">
        <v>331</v>
      </c>
      <c r="E16" s="361">
        <v>3.0</v>
      </c>
      <c r="F16" s="360"/>
    </row>
    <row r="17">
      <c r="A17" s="355"/>
      <c r="B17" s="364" t="s">
        <v>332</v>
      </c>
    </row>
    <row r="18">
      <c r="A18" s="355"/>
      <c r="B18" s="360" t="s">
        <v>333</v>
      </c>
      <c r="D18" s="361" t="s">
        <v>334</v>
      </c>
      <c r="E18" s="361">
        <v>3.0</v>
      </c>
      <c r="F18" s="360"/>
    </row>
    <row r="19">
      <c r="A19" s="355"/>
      <c r="B19" s="360" t="s">
        <v>335</v>
      </c>
      <c r="D19" s="361" t="s">
        <v>336</v>
      </c>
      <c r="E19" s="361">
        <v>3.0</v>
      </c>
      <c r="F19" s="360"/>
    </row>
    <row r="20">
      <c r="A20" s="355"/>
      <c r="B20" s="360" t="s">
        <v>337</v>
      </c>
      <c r="D20" s="361" t="s">
        <v>338</v>
      </c>
      <c r="E20" s="361">
        <v>3.0</v>
      </c>
      <c r="F20" s="355"/>
    </row>
    <row r="21">
      <c r="A21" s="355"/>
      <c r="B21" s="360" t="s">
        <v>339</v>
      </c>
      <c r="D21" s="361" t="s">
        <v>340</v>
      </c>
      <c r="E21" s="361">
        <v>3.0</v>
      </c>
      <c r="F21" s="355"/>
    </row>
    <row r="22">
      <c r="A22" s="355"/>
      <c r="B22" s="360" t="s">
        <v>341</v>
      </c>
      <c r="D22" s="361" t="s">
        <v>342</v>
      </c>
      <c r="E22" s="361">
        <v>3.0</v>
      </c>
      <c r="F22" s="355"/>
    </row>
    <row r="23">
      <c r="A23" s="355"/>
      <c r="B23" s="360" t="s">
        <v>343</v>
      </c>
      <c r="D23" s="361" t="s">
        <v>344</v>
      </c>
      <c r="E23" s="361">
        <v>3.0</v>
      </c>
      <c r="F23" s="355"/>
    </row>
    <row r="24">
      <c r="A24" s="355"/>
      <c r="B24" s="360" t="s">
        <v>65</v>
      </c>
      <c r="D24" s="361" t="s">
        <v>211</v>
      </c>
      <c r="E24" s="361">
        <v>3.0</v>
      </c>
      <c r="F24" s="355"/>
    </row>
    <row r="25">
      <c r="A25" s="355"/>
      <c r="B25" s="365" t="s">
        <v>239</v>
      </c>
    </row>
    <row r="26">
      <c r="A26" s="355"/>
      <c r="B26" s="365" t="s">
        <v>240</v>
      </c>
    </row>
    <row r="27">
      <c r="A27" s="355"/>
      <c r="B27" s="360" t="s">
        <v>241</v>
      </c>
      <c r="D27" s="361" t="s">
        <v>242</v>
      </c>
      <c r="E27" s="361">
        <v>2.0</v>
      </c>
      <c r="F27" s="360" t="s">
        <v>243</v>
      </c>
    </row>
    <row r="28">
      <c r="A28" s="355"/>
      <c r="B28" s="360" t="s">
        <v>57</v>
      </c>
      <c r="D28" s="361" t="s">
        <v>244</v>
      </c>
      <c r="E28" s="361">
        <v>2.0</v>
      </c>
      <c r="F28" s="360" t="s">
        <v>243</v>
      </c>
    </row>
    <row r="29">
      <c r="A29" s="355"/>
      <c r="B29" s="360" t="s">
        <v>87</v>
      </c>
      <c r="D29" s="361" t="s">
        <v>245</v>
      </c>
      <c r="E29" s="361">
        <v>2.0</v>
      </c>
      <c r="F29" s="360" t="s">
        <v>246</v>
      </c>
    </row>
    <row r="30">
      <c r="A30" s="355"/>
      <c r="B30" s="360" t="s">
        <v>247</v>
      </c>
      <c r="D30" s="361" t="s">
        <v>248</v>
      </c>
      <c r="E30" s="361">
        <v>2.0</v>
      </c>
      <c r="F30" s="360" t="s">
        <v>243</v>
      </c>
    </row>
    <row r="31">
      <c r="A31" s="355"/>
      <c r="B31" s="360" t="s">
        <v>60</v>
      </c>
      <c r="D31" s="361" t="s">
        <v>249</v>
      </c>
      <c r="E31" s="361">
        <v>3.0</v>
      </c>
      <c r="F31" s="360" t="s">
        <v>250</v>
      </c>
    </row>
    <row r="32">
      <c r="A32" s="355"/>
      <c r="B32" s="360" t="s">
        <v>251</v>
      </c>
      <c r="D32" s="361" t="s">
        <v>252</v>
      </c>
      <c r="E32" s="361">
        <v>3.0</v>
      </c>
      <c r="F32" s="360" t="s">
        <v>250</v>
      </c>
    </row>
    <row r="33">
      <c r="A33" s="355"/>
      <c r="B33" s="365" t="s">
        <v>253</v>
      </c>
      <c r="C33" s="365"/>
      <c r="D33" s="365"/>
      <c r="E33" s="365"/>
      <c r="F33" s="365"/>
    </row>
    <row r="34">
      <c r="A34" s="355"/>
      <c r="B34" s="365" t="s">
        <v>254</v>
      </c>
      <c r="C34" s="365"/>
      <c r="D34" s="365"/>
      <c r="E34" s="365"/>
      <c r="F34" s="365"/>
    </row>
    <row r="35">
      <c r="A35" s="355"/>
      <c r="B35" s="360" t="s">
        <v>88</v>
      </c>
      <c r="D35" s="361" t="s">
        <v>255</v>
      </c>
      <c r="E35" s="361">
        <v>3.0</v>
      </c>
      <c r="F35" s="355"/>
    </row>
    <row r="36">
      <c r="A36" s="355"/>
      <c r="B36" s="360" t="s">
        <v>256</v>
      </c>
      <c r="D36" s="361" t="s">
        <v>257</v>
      </c>
      <c r="E36" s="361">
        <v>3.0</v>
      </c>
      <c r="F36" s="355"/>
    </row>
    <row r="37">
      <c r="A37" s="355"/>
      <c r="B37" s="360" t="s">
        <v>90</v>
      </c>
      <c r="D37" s="361" t="s">
        <v>258</v>
      </c>
      <c r="E37" s="361">
        <v>3.0</v>
      </c>
      <c r="F37" s="355"/>
    </row>
    <row r="38">
      <c r="A38" s="355"/>
      <c r="B38" s="360" t="s">
        <v>259</v>
      </c>
      <c r="D38" s="361" t="s">
        <v>260</v>
      </c>
      <c r="E38" s="361">
        <v>3.0</v>
      </c>
      <c r="F38" s="355"/>
    </row>
    <row r="39">
      <c r="A39" s="355"/>
      <c r="B39" s="360" t="s">
        <v>94</v>
      </c>
      <c r="D39" s="361" t="s">
        <v>261</v>
      </c>
      <c r="E39" s="361">
        <v>3.0</v>
      </c>
      <c r="F39" s="355"/>
    </row>
    <row r="40">
      <c r="A40" s="355"/>
      <c r="B40" s="360" t="s">
        <v>97</v>
      </c>
      <c r="D40" s="361" t="s">
        <v>262</v>
      </c>
      <c r="E40" s="361">
        <v>3.0</v>
      </c>
      <c r="F40" s="355"/>
    </row>
    <row r="41">
      <c r="A41" s="355"/>
      <c r="B41" s="360" t="s">
        <v>263</v>
      </c>
      <c r="D41" s="361" t="s">
        <v>123</v>
      </c>
      <c r="E41" s="361">
        <v>3.0</v>
      </c>
      <c r="F41" s="355"/>
    </row>
    <row r="42">
      <c r="A42" s="355"/>
      <c r="B42" s="360" t="s">
        <v>264</v>
      </c>
      <c r="D42" s="361" t="s">
        <v>265</v>
      </c>
      <c r="E42" s="361">
        <v>3.0</v>
      </c>
      <c r="F42" s="355"/>
    </row>
    <row r="43">
      <c r="A43" s="355"/>
      <c r="B43" s="360" t="s">
        <v>266</v>
      </c>
      <c r="D43" s="361" t="s">
        <v>128</v>
      </c>
      <c r="E43" s="361">
        <v>3.0</v>
      </c>
      <c r="F43" s="355"/>
    </row>
    <row r="44">
      <c r="A44" s="355"/>
      <c r="B44" s="360" t="s">
        <v>267</v>
      </c>
      <c r="D44" s="361" t="s">
        <v>131</v>
      </c>
      <c r="E44" s="361">
        <v>3.0</v>
      </c>
      <c r="F44" s="355"/>
    </row>
    <row r="45">
      <c r="A45" s="355"/>
      <c r="B45" s="360" t="s">
        <v>268</v>
      </c>
      <c r="D45" s="361" t="s">
        <v>269</v>
      </c>
      <c r="E45" s="361">
        <v>3.0</v>
      </c>
      <c r="F45" s="355"/>
    </row>
    <row r="46">
      <c r="A46" s="355"/>
      <c r="B46" s="360" t="s">
        <v>270</v>
      </c>
      <c r="D46" s="361" t="s">
        <v>271</v>
      </c>
      <c r="E46" s="361">
        <v>3.0</v>
      </c>
      <c r="F46" s="355"/>
    </row>
    <row r="47">
      <c r="A47" s="355"/>
      <c r="B47" s="360" t="s">
        <v>272</v>
      </c>
      <c r="D47" s="361" t="s">
        <v>273</v>
      </c>
      <c r="E47" s="361">
        <v>3.0</v>
      </c>
      <c r="F47" s="355"/>
    </row>
    <row r="48">
      <c r="A48" s="355"/>
      <c r="B48" s="360" t="s">
        <v>274</v>
      </c>
      <c r="D48" s="361" t="s">
        <v>275</v>
      </c>
      <c r="E48" s="361">
        <v>3.0</v>
      </c>
      <c r="F48" s="355"/>
    </row>
    <row r="49">
      <c r="A49" s="355"/>
      <c r="B49" s="365" t="s">
        <v>276</v>
      </c>
    </row>
    <row r="50">
      <c r="A50" s="355"/>
      <c r="B50" s="360" t="s">
        <v>277</v>
      </c>
      <c r="D50" s="361" t="s">
        <v>278</v>
      </c>
      <c r="E50" s="361">
        <v>3.0</v>
      </c>
      <c r="F50" s="355"/>
    </row>
    <row r="51">
      <c r="A51" s="355"/>
      <c r="B51" s="360" t="s">
        <v>279</v>
      </c>
      <c r="D51" s="361" t="s">
        <v>280</v>
      </c>
      <c r="E51" s="361">
        <v>3.0</v>
      </c>
      <c r="F51" s="355"/>
    </row>
    <row r="52">
      <c r="A52" s="355"/>
      <c r="B52" s="360" t="s">
        <v>281</v>
      </c>
      <c r="D52" s="361" t="s">
        <v>282</v>
      </c>
      <c r="E52" s="361">
        <v>3.0</v>
      </c>
      <c r="F52" s="355"/>
    </row>
    <row r="53">
      <c r="A53" s="355"/>
      <c r="B53" s="360" t="s">
        <v>283</v>
      </c>
      <c r="D53" s="361" t="s">
        <v>284</v>
      </c>
      <c r="E53" s="361">
        <v>3.0</v>
      </c>
      <c r="F53" s="355"/>
    </row>
    <row r="54">
      <c r="A54" s="355"/>
      <c r="B54" s="360" t="s">
        <v>285</v>
      </c>
      <c r="D54" s="361" t="s">
        <v>286</v>
      </c>
      <c r="E54" s="361">
        <v>3.0</v>
      </c>
      <c r="F54" s="355"/>
    </row>
    <row r="55">
      <c r="A55" s="355"/>
      <c r="B55" s="360" t="s">
        <v>287</v>
      </c>
      <c r="D55" s="361" t="s">
        <v>288</v>
      </c>
      <c r="E55" s="361">
        <v>3.0</v>
      </c>
      <c r="F55" s="355"/>
    </row>
    <row r="56">
      <c r="A56" s="355"/>
      <c r="B56" s="360" t="s">
        <v>101</v>
      </c>
      <c r="D56" s="361" t="s">
        <v>289</v>
      </c>
      <c r="E56" s="361">
        <v>3.0</v>
      </c>
      <c r="F56" s="355"/>
    </row>
    <row r="57">
      <c r="A57" s="355"/>
      <c r="B57" s="360" t="s">
        <v>290</v>
      </c>
      <c r="D57" s="361" t="s">
        <v>291</v>
      </c>
      <c r="E57" s="361">
        <v>3.0</v>
      </c>
      <c r="F57" s="355"/>
    </row>
    <row r="58">
      <c r="A58" s="355"/>
      <c r="B58" s="360" t="s">
        <v>292</v>
      </c>
      <c r="D58" s="361" t="s">
        <v>293</v>
      </c>
      <c r="E58" s="361">
        <v>3.0</v>
      </c>
      <c r="F58" s="360" t="s">
        <v>250</v>
      </c>
    </row>
    <row r="59">
      <c r="A59" s="355"/>
      <c r="B59" s="360" t="s">
        <v>294</v>
      </c>
      <c r="D59" s="361" t="s">
        <v>295</v>
      </c>
      <c r="E59" s="361">
        <v>3.0</v>
      </c>
      <c r="F59" s="360" t="s">
        <v>177</v>
      </c>
    </row>
    <row r="60">
      <c r="A60" s="355"/>
      <c r="B60" s="360" t="s">
        <v>296</v>
      </c>
      <c r="D60" s="361" t="s">
        <v>297</v>
      </c>
      <c r="E60" s="361">
        <v>3.0</v>
      </c>
      <c r="F60" s="360" t="s">
        <v>250</v>
      </c>
    </row>
    <row r="61">
      <c r="A61" s="355"/>
      <c r="B61" s="360" t="s">
        <v>298</v>
      </c>
      <c r="D61" s="361" t="s">
        <v>299</v>
      </c>
      <c r="E61" s="361">
        <v>3.0</v>
      </c>
      <c r="F61" s="360" t="s">
        <v>250</v>
      </c>
    </row>
    <row r="62">
      <c r="A62" s="355"/>
      <c r="B62" s="360" t="s">
        <v>300</v>
      </c>
      <c r="D62" s="361" t="s">
        <v>301</v>
      </c>
      <c r="E62" s="361">
        <v>3.0</v>
      </c>
      <c r="F62" s="355"/>
    </row>
    <row r="63">
      <c r="A63" s="355"/>
      <c r="B63" s="360" t="s">
        <v>302</v>
      </c>
      <c r="D63" s="361" t="s">
        <v>303</v>
      </c>
      <c r="E63" s="361">
        <v>3.0</v>
      </c>
      <c r="F63" s="355"/>
    </row>
    <row r="64">
      <c r="A64" s="355"/>
      <c r="B64" s="360" t="s">
        <v>304</v>
      </c>
      <c r="D64" s="361" t="s">
        <v>305</v>
      </c>
      <c r="E64" s="361">
        <v>3.0</v>
      </c>
      <c r="F64" s="355"/>
    </row>
    <row r="65">
      <c r="A65" s="355"/>
      <c r="B65" s="360" t="s">
        <v>306</v>
      </c>
      <c r="D65" s="361" t="s">
        <v>307</v>
      </c>
      <c r="E65" s="361">
        <v>3.0</v>
      </c>
      <c r="F65" s="355"/>
    </row>
    <row r="66">
      <c r="A66" s="355"/>
      <c r="B66" s="360" t="s">
        <v>308</v>
      </c>
      <c r="D66" s="361" t="s">
        <v>309</v>
      </c>
      <c r="E66" s="361">
        <v>3.0</v>
      </c>
      <c r="F66" s="355"/>
    </row>
    <row r="67">
      <c r="A67" s="355"/>
      <c r="B67" s="360" t="s">
        <v>310</v>
      </c>
      <c r="D67" s="361" t="s">
        <v>311</v>
      </c>
      <c r="E67" s="361">
        <v>3.0</v>
      </c>
      <c r="F67" s="355"/>
    </row>
    <row r="68">
      <c r="A68" s="355"/>
      <c r="B68" s="360" t="s">
        <v>312</v>
      </c>
      <c r="D68" s="361" t="s">
        <v>313</v>
      </c>
      <c r="E68" s="361">
        <v>3.0</v>
      </c>
      <c r="F68" s="355"/>
    </row>
    <row r="69">
      <c r="A69" s="355"/>
      <c r="B69" s="360" t="s">
        <v>314</v>
      </c>
      <c r="D69" s="361" t="s">
        <v>315</v>
      </c>
      <c r="E69" s="361">
        <v>3.0</v>
      </c>
      <c r="F69" s="355"/>
    </row>
    <row r="70">
      <c r="A70" s="355"/>
      <c r="B70" s="360" t="s">
        <v>316</v>
      </c>
      <c r="D70" s="361" t="s">
        <v>317</v>
      </c>
      <c r="E70" s="361">
        <v>3.0</v>
      </c>
      <c r="F70" s="355"/>
    </row>
    <row r="71">
      <c r="A71" s="355"/>
      <c r="B71" s="355"/>
      <c r="F71" s="355"/>
    </row>
    <row r="72">
      <c r="A72" s="355"/>
      <c r="B72" s="355"/>
      <c r="F72" s="355"/>
    </row>
    <row r="73">
      <c r="A73" s="355"/>
      <c r="B73" s="355"/>
      <c r="F73" s="355"/>
    </row>
    <row r="74">
      <c r="A74" s="355"/>
      <c r="B74" s="355"/>
      <c r="F74" s="355"/>
    </row>
    <row r="75">
      <c r="A75" s="355"/>
      <c r="B75" s="355"/>
      <c r="F75" s="355"/>
    </row>
    <row r="76">
      <c r="A76" s="355"/>
      <c r="B76" s="355"/>
      <c r="F76" s="355"/>
    </row>
    <row r="77">
      <c r="A77" s="355"/>
      <c r="B77" s="355"/>
      <c r="F77" s="355"/>
    </row>
    <row r="78">
      <c r="A78" s="355"/>
      <c r="B78" s="355"/>
      <c r="F78" s="355"/>
    </row>
    <row r="79">
      <c r="A79" s="355"/>
      <c r="B79" s="355"/>
      <c r="F79" s="355"/>
    </row>
    <row r="80">
      <c r="A80" s="355"/>
      <c r="B80" s="355"/>
      <c r="F80" s="355"/>
    </row>
    <row r="81">
      <c r="A81" s="355"/>
      <c r="B81" s="355"/>
      <c r="F81" s="355"/>
    </row>
    <row r="82">
      <c r="A82" s="355"/>
      <c r="B82" s="355"/>
      <c r="F82" s="355"/>
    </row>
    <row r="83">
      <c r="A83" s="355"/>
      <c r="B83" s="355"/>
      <c r="F83" s="355"/>
    </row>
    <row r="84">
      <c r="A84" s="355"/>
      <c r="B84" s="355"/>
      <c r="F84" s="355"/>
    </row>
    <row r="85">
      <c r="A85" s="355"/>
      <c r="B85" s="355"/>
      <c r="F85" s="355"/>
    </row>
    <row r="86">
      <c r="A86" s="355"/>
      <c r="B86" s="355"/>
      <c r="F86" s="355"/>
    </row>
    <row r="87">
      <c r="A87" s="355"/>
      <c r="B87" s="355"/>
      <c r="F87" s="355"/>
    </row>
    <row r="88">
      <c r="A88" s="355"/>
      <c r="B88" s="355"/>
      <c r="F88" s="355"/>
    </row>
    <row r="89">
      <c r="A89" s="355"/>
      <c r="B89" s="355"/>
      <c r="F89" s="355"/>
    </row>
    <row r="90">
      <c r="A90" s="355"/>
      <c r="B90" s="355"/>
      <c r="F90" s="355"/>
    </row>
    <row r="91">
      <c r="A91" s="355"/>
      <c r="B91" s="355"/>
      <c r="F91" s="355"/>
    </row>
    <row r="92">
      <c r="A92" s="355"/>
      <c r="B92" s="355"/>
      <c r="F92" s="355"/>
    </row>
    <row r="93">
      <c r="A93" s="355"/>
      <c r="B93" s="355"/>
      <c r="F93" s="355"/>
    </row>
    <row r="94">
      <c r="A94" s="355"/>
      <c r="B94" s="355"/>
      <c r="F94" s="355"/>
    </row>
    <row r="95">
      <c r="A95" s="355"/>
      <c r="B95" s="355"/>
      <c r="F95" s="355"/>
    </row>
    <row r="96">
      <c r="A96" s="355"/>
      <c r="B96" s="355"/>
      <c r="F96" s="355"/>
    </row>
    <row r="97">
      <c r="A97" s="355"/>
      <c r="B97" s="355"/>
      <c r="F97" s="355"/>
    </row>
    <row r="98">
      <c r="A98" s="355"/>
      <c r="B98" s="355"/>
      <c r="F98" s="355"/>
    </row>
    <row r="99">
      <c r="A99" s="355"/>
      <c r="B99" s="355"/>
      <c r="F99" s="355"/>
    </row>
    <row r="100">
      <c r="A100" s="355"/>
      <c r="B100" s="355"/>
      <c r="F100" s="355"/>
    </row>
    <row r="101">
      <c r="A101" s="355"/>
      <c r="B101" s="355"/>
      <c r="F101" s="355"/>
    </row>
    <row r="102">
      <c r="A102" s="355"/>
      <c r="B102" s="355"/>
      <c r="F102" s="355"/>
    </row>
    <row r="103">
      <c r="A103" s="355"/>
      <c r="B103" s="355"/>
      <c r="F103" s="355"/>
    </row>
    <row r="104">
      <c r="A104" s="355"/>
      <c r="B104" s="355"/>
      <c r="F104" s="355"/>
    </row>
    <row r="105">
      <c r="A105" s="355"/>
      <c r="B105" s="355"/>
      <c r="F105" s="355"/>
    </row>
    <row r="106">
      <c r="A106" s="355"/>
      <c r="B106" s="355"/>
      <c r="F106" s="355"/>
    </row>
    <row r="107">
      <c r="A107" s="355"/>
      <c r="B107" s="355"/>
      <c r="F107" s="355"/>
    </row>
    <row r="108">
      <c r="A108" s="355"/>
      <c r="B108" s="355"/>
      <c r="F108" s="355"/>
    </row>
    <row r="109">
      <c r="A109" s="355"/>
      <c r="B109" s="355"/>
      <c r="F109" s="355"/>
    </row>
    <row r="110">
      <c r="A110" s="355"/>
      <c r="B110" s="355"/>
      <c r="F110" s="355"/>
    </row>
    <row r="111">
      <c r="A111" s="355"/>
      <c r="B111" s="355"/>
      <c r="F111" s="355"/>
    </row>
    <row r="112">
      <c r="A112" s="355"/>
      <c r="B112" s="355"/>
      <c r="F112" s="355"/>
    </row>
    <row r="113">
      <c r="A113" s="355"/>
      <c r="B113" s="355"/>
      <c r="F113" s="355"/>
    </row>
    <row r="114">
      <c r="A114" s="355"/>
      <c r="B114" s="355"/>
      <c r="F114" s="355"/>
    </row>
    <row r="115">
      <c r="A115" s="355"/>
      <c r="B115" s="355"/>
      <c r="F115" s="355"/>
    </row>
    <row r="116">
      <c r="A116" s="355"/>
      <c r="B116" s="355"/>
      <c r="F116" s="355"/>
    </row>
    <row r="117">
      <c r="A117" s="355"/>
      <c r="B117" s="355"/>
      <c r="F117" s="355"/>
    </row>
    <row r="118">
      <c r="A118" s="355"/>
      <c r="B118" s="355"/>
      <c r="F118" s="355"/>
    </row>
    <row r="119">
      <c r="A119" s="355"/>
      <c r="B119" s="355"/>
      <c r="F119" s="355"/>
    </row>
    <row r="120">
      <c r="A120" s="355"/>
      <c r="B120" s="355"/>
      <c r="F120" s="355"/>
    </row>
    <row r="121">
      <c r="A121" s="355"/>
      <c r="B121" s="355"/>
      <c r="F121" s="355"/>
    </row>
    <row r="122">
      <c r="A122" s="355"/>
      <c r="B122" s="355"/>
      <c r="F122" s="355"/>
    </row>
    <row r="123">
      <c r="A123" s="355"/>
      <c r="B123" s="355"/>
      <c r="F123" s="355"/>
    </row>
    <row r="124">
      <c r="A124" s="355"/>
      <c r="B124" s="355"/>
      <c r="F124" s="355"/>
    </row>
    <row r="125">
      <c r="A125" s="355"/>
      <c r="B125" s="355"/>
      <c r="F125" s="355"/>
    </row>
    <row r="126">
      <c r="A126" s="355"/>
      <c r="B126" s="355"/>
      <c r="F126" s="355"/>
    </row>
    <row r="127">
      <c r="A127" s="355"/>
      <c r="B127" s="355"/>
      <c r="F127" s="355"/>
    </row>
    <row r="128">
      <c r="A128" s="355"/>
      <c r="B128" s="355"/>
      <c r="F128" s="355"/>
    </row>
    <row r="129">
      <c r="A129" s="355"/>
      <c r="B129" s="355"/>
      <c r="F129" s="355"/>
    </row>
    <row r="130">
      <c r="A130" s="355"/>
      <c r="B130" s="355"/>
      <c r="F130" s="355"/>
    </row>
    <row r="131">
      <c r="A131" s="355"/>
      <c r="B131" s="355"/>
      <c r="F131" s="355"/>
    </row>
    <row r="132">
      <c r="A132" s="355"/>
      <c r="B132" s="355"/>
      <c r="F132" s="355"/>
    </row>
    <row r="133">
      <c r="A133" s="355"/>
      <c r="B133" s="355"/>
      <c r="F133" s="355"/>
    </row>
    <row r="134">
      <c r="A134" s="355"/>
      <c r="B134" s="355"/>
      <c r="F134" s="355"/>
    </row>
    <row r="135">
      <c r="A135" s="355"/>
      <c r="B135" s="355"/>
      <c r="F135" s="355"/>
    </row>
    <row r="136">
      <c r="A136" s="355"/>
      <c r="B136" s="355"/>
      <c r="F136" s="355"/>
    </row>
    <row r="137">
      <c r="A137" s="355"/>
      <c r="B137" s="355"/>
      <c r="F137" s="355"/>
    </row>
    <row r="138">
      <c r="A138" s="355"/>
      <c r="B138" s="355"/>
      <c r="F138" s="355"/>
    </row>
    <row r="139">
      <c r="A139" s="355"/>
      <c r="B139" s="355"/>
      <c r="F139" s="355"/>
    </row>
    <row r="140">
      <c r="A140" s="355"/>
      <c r="B140" s="355"/>
      <c r="F140" s="355"/>
    </row>
    <row r="141">
      <c r="A141" s="355"/>
      <c r="B141" s="355"/>
      <c r="F141" s="355"/>
    </row>
    <row r="142">
      <c r="A142" s="355"/>
      <c r="B142" s="355"/>
      <c r="F142" s="355"/>
    </row>
    <row r="143">
      <c r="A143" s="355"/>
      <c r="B143" s="355"/>
      <c r="F143" s="355"/>
    </row>
    <row r="144">
      <c r="A144" s="355"/>
      <c r="B144" s="355"/>
      <c r="F144" s="355"/>
    </row>
    <row r="145">
      <c r="A145" s="355"/>
      <c r="B145" s="355"/>
      <c r="F145" s="355"/>
    </row>
    <row r="146">
      <c r="A146" s="355"/>
      <c r="B146" s="355"/>
      <c r="F146" s="355"/>
    </row>
    <row r="147">
      <c r="A147" s="355"/>
      <c r="B147" s="355"/>
      <c r="F147" s="355"/>
    </row>
    <row r="148">
      <c r="A148" s="355"/>
      <c r="B148" s="355"/>
      <c r="F148" s="355"/>
    </row>
    <row r="149">
      <c r="A149" s="355"/>
      <c r="B149" s="355"/>
      <c r="F149" s="355"/>
    </row>
    <row r="150">
      <c r="A150" s="355"/>
      <c r="B150" s="355"/>
      <c r="F150" s="355"/>
    </row>
    <row r="151">
      <c r="A151" s="355"/>
      <c r="B151" s="355"/>
      <c r="F151" s="355"/>
    </row>
    <row r="152">
      <c r="A152" s="355"/>
      <c r="B152" s="355"/>
      <c r="F152" s="355"/>
    </row>
    <row r="153">
      <c r="A153" s="355"/>
      <c r="B153" s="355"/>
      <c r="F153" s="355"/>
    </row>
    <row r="154">
      <c r="A154" s="355"/>
      <c r="B154" s="355"/>
      <c r="F154" s="355"/>
    </row>
    <row r="155">
      <c r="A155" s="355"/>
      <c r="B155" s="355"/>
      <c r="F155" s="355"/>
    </row>
    <row r="156">
      <c r="A156" s="355"/>
      <c r="B156" s="355"/>
      <c r="F156" s="355"/>
    </row>
    <row r="157">
      <c r="A157" s="355"/>
      <c r="B157" s="355"/>
      <c r="F157" s="355"/>
    </row>
    <row r="158">
      <c r="A158" s="355"/>
      <c r="B158" s="355"/>
      <c r="F158" s="355"/>
    </row>
    <row r="159">
      <c r="A159" s="355"/>
      <c r="B159" s="355"/>
      <c r="F159" s="355"/>
    </row>
    <row r="160">
      <c r="A160" s="355"/>
      <c r="B160" s="355"/>
      <c r="F160" s="355"/>
    </row>
    <row r="161">
      <c r="A161" s="355"/>
      <c r="B161" s="355"/>
      <c r="F161" s="355"/>
    </row>
    <row r="162">
      <c r="A162" s="355"/>
      <c r="B162" s="355"/>
      <c r="F162" s="355"/>
    </row>
    <row r="163">
      <c r="A163" s="355"/>
      <c r="B163" s="355"/>
      <c r="F163" s="355"/>
    </row>
    <row r="164">
      <c r="A164" s="355"/>
      <c r="B164" s="355"/>
      <c r="F164" s="355"/>
    </row>
    <row r="165">
      <c r="A165" s="355"/>
      <c r="B165" s="355"/>
      <c r="F165" s="355"/>
    </row>
    <row r="166">
      <c r="A166" s="355"/>
      <c r="B166" s="355"/>
      <c r="F166" s="355"/>
    </row>
    <row r="167">
      <c r="A167" s="355"/>
      <c r="B167" s="355"/>
      <c r="F167" s="355"/>
    </row>
    <row r="168">
      <c r="A168" s="355"/>
      <c r="B168" s="355"/>
      <c r="F168" s="355"/>
    </row>
    <row r="169">
      <c r="A169" s="355"/>
      <c r="B169" s="355"/>
      <c r="F169" s="355"/>
    </row>
    <row r="170">
      <c r="A170" s="355"/>
      <c r="B170" s="355"/>
      <c r="F170" s="355"/>
    </row>
    <row r="171">
      <c r="A171" s="355"/>
      <c r="B171" s="355"/>
      <c r="F171" s="355"/>
    </row>
    <row r="172">
      <c r="A172" s="355"/>
      <c r="B172" s="355"/>
      <c r="F172" s="355"/>
    </row>
    <row r="173">
      <c r="A173" s="355"/>
      <c r="B173" s="355"/>
      <c r="F173" s="355"/>
    </row>
    <row r="174">
      <c r="A174" s="355"/>
      <c r="B174" s="355"/>
      <c r="F174" s="355"/>
    </row>
    <row r="175">
      <c r="A175" s="355"/>
      <c r="B175" s="355"/>
      <c r="F175" s="355"/>
    </row>
    <row r="176">
      <c r="A176" s="355"/>
      <c r="B176" s="355"/>
      <c r="F176" s="355"/>
    </row>
    <row r="177">
      <c r="A177" s="355"/>
      <c r="B177" s="355"/>
      <c r="F177" s="355"/>
    </row>
    <row r="178">
      <c r="A178" s="355"/>
      <c r="B178" s="355"/>
      <c r="F178" s="355"/>
    </row>
    <row r="179">
      <c r="A179" s="355"/>
      <c r="B179" s="355"/>
      <c r="F179" s="355"/>
    </row>
    <row r="180">
      <c r="A180" s="355"/>
      <c r="B180" s="355"/>
      <c r="F180" s="355"/>
    </row>
    <row r="181">
      <c r="A181" s="355"/>
      <c r="B181" s="355"/>
      <c r="F181" s="355"/>
    </row>
    <row r="182">
      <c r="A182" s="355"/>
      <c r="B182" s="355"/>
      <c r="F182" s="355"/>
    </row>
    <row r="183">
      <c r="A183" s="355"/>
      <c r="B183" s="355"/>
      <c r="F183" s="355"/>
    </row>
    <row r="184">
      <c r="A184" s="355"/>
      <c r="B184" s="355"/>
      <c r="F184" s="355"/>
    </row>
    <row r="185">
      <c r="A185" s="355"/>
      <c r="B185" s="355"/>
      <c r="F185" s="355"/>
    </row>
    <row r="186">
      <c r="A186" s="355"/>
      <c r="B186" s="355"/>
      <c r="F186" s="355"/>
    </row>
    <row r="187">
      <c r="A187" s="355"/>
      <c r="B187" s="355"/>
      <c r="F187" s="355"/>
    </row>
    <row r="188">
      <c r="A188" s="355"/>
      <c r="B188" s="355"/>
      <c r="F188" s="355"/>
    </row>
    <row r="189">
      <c r="A189" s="355"/>
      <c r="B189" s="355"/>
      <c r="F189" s="355"/>
    </row>
    <row r="190">
      <c r="A190" s="355"/>
      <c r="B190" s="355"/>
      <c r="F190" s="355"/>
    </row>
    <row r="191">
      <c r="A191" s="355"/>
      <c r="B191" s="355"/>
      <c r="F191" s="355"/>
    </row>
    <row r="192">
      <c r="A192" s="355"/>
      <c r="B192" s="355"/>
      <c r="F192" s="355"/>
    </row>
    <row r="193">
      <c r="A193" s="355"/>
      <c r="B193" s="355"/>
      <c r="F193" s="355"/>
    </row>
    <row r="194">
      <c r="A194" s="355"/>
      <c r="B194" s="355"/>
      <c r="F194" s="355"/>
    </row>
    <row r="195">
      <c r="A195" s="355"/>
      <c r="B195" s="355"/>
      <c r="F195" s="355"/>
    </row>
    <row r="196">
      <c r="A196" s="355"/>
      <c r="B196" s="355"/>
      <c r="F196" s="355"/>
    </row>
    <row r="197">
      <c r="A197" s="355"/>
      <c r="B197" s="355"/>
      <c r="F197" s="355"/>
    </row>
    <row r="198">
      <c r="A198" s="355"/>
      <c r="B198" s="355"/>
      <c r="F198" s="355"/>
    </row>
    <row r="199">
      <c r="A199" s="355"/>
      <c r="B199" s="355"/>
      <c r="F199" s="355"/>
    </row>
    <row r="200">
      <c r="A200" s="355"/>
      <c r="B200" s="355"/>
      <c r="F200" s="355"/>
    </row>
    <row r="201">
      <c r="A201" s="355"/>
      <c r="B201" s="355"/>
      <c r="F201" s="355"/>
    </row>
    <row r="202">
      <c r="A202" s="355"/>
      <c r="B202" s="355"/>
      <c r="F202" s="355"/>
    </row>
    <row r="203">
      <c r="A203" s="355"/>
      <c r="B203" s="355"/>
      <c r="F203" s="355"/>
    </row>
    <row r="204">
      <c r="A204" s="355"/>
      <c r="B204" s="355"/>
      <c r="F204" s="355"/>
    </row>
    <row r="205">
      <c r="A205" s="355"/>
      <c r="B205" s="355"/>
      <c r="F205" s="355"/>
    </row>
    <row r="206">
      <c r="A206" s="355"/>
      <c r="B206" s="355"/>
      <c r="F206" s="355"/>
    </row>
    <row r="207">
      <c r="A207" s="355"/>
      <c r="B207" s="355"/>
      <c r="F207" s="355"/>
    </row>
    <row r="208">
      <c r="A208" s="355"/>
      <c r="B208" s="355"/>
      <c r="F208" s="355"/>
    </row>
    <row r="209">
      <c r="A209" s="355"/>
      <c r="B209" s="355"/>
      <c r="F209" s="355"/>
    </row>
    <row r="210">
      <c r="A210" s="355"/>
      <c r="B210" s="355"/>
      <c r="F210" s="355"/>
    </row>
    <row r="211">
      <c r="A211" s="355"/>
      <c r="B211" s="355"/>
      <c r="F211" s="355"/>
    </row>
    <row r="212">
      <c r="A212" s="355"/>
      <c r="B212" s="355"/>
      <c r="F212" s="355"/>
    </row>
    <row r="213">
      <c r="A213" s="355"/>
      <c r="B213" s="355"/>
      <c r="F213" s="355"/>
    </row>
    <row r="214">
      <c r="A214" s="355"/>
      <c r="B214" s="355"/>
      <c r="F214" s="355"/>
    </row>
    <row r="215">
      <c r="A215" s="355"/>
      <c r="B215" s="355"/>
      <c r="F215" s="355"/>
    </row>
    <row r="216">
      <c r="A216" s="355"/>
      <c r="B216" s="355"/>
      <c r="F216" s="355"/>
    </row>
    <row r="217">
      <c r="A217" s="355"/>
      <c r="B217" s="355"/>
      <c r="F217" s="355"/>
    </row>
    <row r="218">
      <c r="A218" s="355"/>
      <c r="B218" s="355"/>
      <c r="F218" s="355"/>
    </row>
    <row r="219">
      <c r="A219" s="355"/>
      <c r="B219" s="355"/>
      <c r="F219" s="355"/>
    </row>
    <row r="220">
      <c r="A220" s="355"/>
      <c r="B220" s="355"/>
      <c r="F220" s="355"/>
    </row>
    <row r="221">
      <c r="A221" s="355"/>
      <c r="B221" s="355"/>
      <c r="F221" s="355"/>
    </row>
    <row r="222">
      <c r="A222" s="355"/>
      <c r="B222" s="355"/>
      <c r="F222" s="355"/>
    </row>
    <row r="223">
      <c r="A223" s="355"/>
      <c r="B223" s="355"/>
      <c r="F223" s="355"/>
    </row>
    <row r="224">
      <c r="A224" s="355"/>
      <c r="B224" s="355"/>
      <c r="F224" s="355"/>
    </row>
    <row r="225">
      <c r="A225" s="355"/>
      <c r="B225" s="355"/>
      <c r="F225" s="355"/>
    </row>
    <row r="226">
      <c r="A226" s="355"/>
      <c r="B226" s="355"/>
      <c r="F226" s="355"/>
    </row>
    <row r="227">
      <c r="A227" s="355"/>
      <c r="B227" s="355"/>
      <c r="F227" s="355"/>
    </row>
    <row r="228">
      <c r="A228" s="355"/>
      <c r="B228" s="355"/>
      <c r="F228" s="355"/>
    </row>
    <row r="229">
      <c r="A229" s="355"/>
      <c r="B229" s="355"/>
      <c r="F229" s="355"/>
    </row>
    <row r="230">
      <c r="A230" s="355"/>
      <c r="B230" s="355"/>
      <c r="F230" s="355"/>
    </row>
    <row r="231">
      <c r="A231" s="355"/>
      <c r="B231" s="355"/>
      <c r="F231" s="355"/>
    </row>
    <row r="232">
      <c r="A232" s="355"/>
      <c r="B232" s="355"/>
      <c r="F232" s="355"/>
    </row>
    <row r="233">
      <c r="A233" s="355"/>
      <c r="B233" s="355"/>
      <c r="F233" s="355"/>
    </row>
    <row r="234">
      <c r="A234" s="355"/>
      <c r="B234" s="355"/>
      <c r="F234" s="355"/>
    </row>
    <row r="235">
      <c r="A235" s="355"/>
      <c r="B235" s="355"/>
      <c r="F235" s="355"/>
    </row>
    <row r="236">
      <c r="A236" s="355"/>
      <c r="B236" s="355"/>
      <c r="F236" s="355"/>
    </row>
    <row r="237">
      <c r="A237" s="355"/>
      <c r="B237" s="355"/>
      <c r="F237" s="355"/>
    </row>
    <row r="238">
      <c r="A238" s="355"/>
      <c r="B238" s="355"/>
      <c r="F238" s="355"/>
    </row>
    <row r="239">
      <c r="A239" s="355"/>
      <c r="B239" s="355"/>
      <c r="F239" s="355"/>
    </row>
    <row r="240">
      <c r="A240" s="355"/>
      <c r="B240" s="355"/>
      <c r="F240" s="355"/>
    </row>
    <row r="241">
      <c r="A241" s="355"/>
      <c r="B241" s="355"/>
      <c r="F241" s="355"/>
    </row>
    <row r="242">
      <c r="A242" s="355"/>
      <c r="B242" s="355"/>
      <c r="F242" s="355"/>
    </row>
    <row r="243">
      <c r="A243" s="355"/>
      <c r="B243" s="355"/>
      <c r="F243" s="355"/>
    </row>
    <row r="244">
      <c r="A244" s="355"/>
      <c r="B244" s="355"/>
      <c r="F244" s="355"/>
    </row>
    <row r="245">
      <c r="A245" s="355"/>
      <c r="B245" s="355"/>
      <c r="F245" s="355"/>
    </row>
    <row r="246">
      <c r="A246" s="355"/>
      <c r="B246" s="355"/>
      <c r="F246" s="355"/>
    </row>
    <row r="247">
      <c r="A247" s="355"/>
      <c r="B247" s="355"/>
      <c r="F247" s="355"/>
    </row>
    <row r="248">
      <c r="A248" s="355"/>
      <c r="B248" s="355"/>
      <c r="F248" s="355"/>
    </row>
    <row r="249">
      <c r="A249" s="355"/>
      <c r="B249" s="355"/>
      <c r="F249" s="355"/>
    </row>
    <row r="250">
      <c r="A250" s="355"/>
      <c r="B250" s="355"/>
      <c r="F250" s="355"/>
    </row>
    <row r="251">
      <c r="A251" s="355"/>
      <c r="B251" s="355"/>
      <c r="F251" s="355"/>
    </row>
    <row r="252">
      <c r="A252" s="355"/>
      <c r="B252" s="355"/>
      <c r="F252" s="355"/>
    </row>
    <row r="253">
      <c r="A253" s="355"/>
      <c r="B253" s="355"/>
      <c r="F253" s="355"/>
    </row>
    <row r="254">
      <c r="A254" s="355"/>
      <c r="B254" s="355"/>
      <c r="F254" s="355"/>
    </row>
    <row r="255">
      <c r="A255" s="355"/>
      <c r="B255" s="355"/>
      <c r="F255" s="355"/>
    </row>
    <row r="256">
      <c r="A256" s="355"/>
      <c r="B256" s="355"/>
      <c r="F256" s="355"/>
    </row>
    <row r="257">
      <c r="A257" s="355"/>
      <c r="B257" s="355"/>
      <c r="F257" s="355"/>
    </row>
    <row r="258">
      <c r="A258" s="355"/>
      <c r="B258" s="355"/>
      <c r="F258" s="355"/>
    </row>
    <row r="259">
      <c r="A259" s="355"/>
      <c r="B259" s="355"/>
      <c r="F259" s="355"/>
    </row>
    <row r="260">
      <c r="A260" s="355"/>
      <c r="B260" s="355"/>
      <c r="F260" s="355"/>
    </row>
    <row r="261">
      <c r="A261" s="355"/>
      <c r="B261" s="355"/>
      <c r="F261" s="355"/>
    </row>
    <row r="262">
      <c r="A262" s="355"/>
      <c r="B262" s="355"/>
      <c r="F262" s="355"/>
    </row>
    <row r="263">
      <c r="A263" s="355"/>
      <c r="B263" s="355"/>
      <c r="F263" s="355"/>
    </row>
    <row r="264">
      <c r="A264" s="355"/>
      <c r="B264" s="355"/>
      <c r="F264" s="355"/>
    </row>
    <row r="265">
      <c r="A265" s="355"/>
      <c r="B265" s="355"/>
      <c r="F265" s="355"/>
    </row>
    <row r="266">
      <c r="A266" s="355"/>
      <c r="B266" s="355"/>
      <c r="F266" s="355"/>
    </row>
    <row r="267">
      <c r="A267" s="355"/>
      <c r="B267" s="355"/>
      <c r="F267" s="355"/>
    </row>
    <row r="268">
      <c r="A268" s="355"/>
      <c r="B268" s="355"/>
      <c r="F268" s="355"/>
    </row>
    <row r="269">
      <c r="A269" s="355"/>
      <c r="B269" s="355"/>
      <c r="F269" s="355"/>
    </row>
    <row r="270">
      <c r="A270" s="355"/>
      <c r="B270" s="355"/>
      <c r="F270" s="355"/>
    </row>
    <row r="271">
      <c r="A271" s="355"/>
      <c r="B271" s="355"/>
      <c r="F271" s="355"/>
    </row>
    <row r="272">
      <c r="A272" s="355"/>
      <c r="B272" s="355"/>
      <c r="F272" s="355"/>
    </row>
    <row r="273">
      <c r="A273" s="355"/>
      <c r="B273" s="355"/>
      <c r="F273" s="355"/>
    </row>
    <row r="274">
      <c r="A274" s="355"/>
      <c r="B274" s="355"/>
      <c r="F274" s="355"/>
    </row>
    <row r="275">
      <c r="A275" s="355"/>
      <c r="B275" s="355"/>
      <c r="F275" s="355"/>
    </row>
    <row r="276">
      <c r="A276" s="355"/>
      <c r="B276" s="355"/>
      <c r="F276" s="355"/>
    </row>
    <row r="277">
      <c r="A277" s="355"/>
      <c r="B277" s="355"/>
      <c r="F277" s="355"/>
    </row>
    <row r="278">
      <c r="A278" s="355"/>
      <c r="B278" s="355"/>
      <c r="F278" s="355"/>
    </row>
    <row r="279">
      <c r="A279" s="355"/>
      <c r="B279" s="355"/>
      <c r="F279" s="355"/>
    </row>
    <row r="280">
      <c r="A280" s="355"/>
      <c r="B280" s="355"/>
      <c r="F280" s="355"/>
    </row>
    <row r="281">
      <c r="A281" s="355"/>
      <c r="B281" s="355"/>
      <c r="F281" s="355"/>
    </row>
    <row r="282">
      <c r="A282" s="355"/>
      <c r="B282" s="355"/>
      <c r="F282" s="355"/>
    </row>
    <row r="283">
      <c r="A283" s="355"/>
      <c r="B283" s="355"/>
      <c r="F283" s="355"/>
    </row>
    <row r="284">
      <c r="A284" s="355"/>
      <c r="B284" s="355"/>
      <c r="F284" s="355"/>
    </row>
    <row r="285">
      <c r="A285" s="355"/>
      <c r="B285" s="355"/>
      <c r="F285" s="355"/>
    </row>
    <row r="286">
      <c r="A286" s="355"/>
      <c r="B286" s="355"/>
      <c r="F286" s="355"/>
    </row>
    <row r="287">
      <c r="A287" s="355"/>
      <c r="B287" s="355"/>
      <c r="F287" s="355"/>
    </row>
    <row r="288">
      <c r="A288" s="355"/>
      <c r="B288" s="355"/>
      <c r="F288" s="355"/>
    </row>
    <row r="289">
      <c r="A289" s="355"/>
      <c r="B289" s="355"/>
      <c r="F289" s="355"/>
    </row>
    <row r="290">
      <c r="A290" s="355"/>
      <c r="B290" s="355"/>
      <c r="F290" s="355"/>
    </row>
    <row r="291">
      <c r="A291" s="355"/>
      <c r="B291" s="355"/>
      <c r="F291" s="355"/>
    </row>
    <row r="292">
      <c r="A292" s="355"/>
      <c r="B292" s="355"/>
      <c r="F292" s="355"/>
    </row>
    <row r="293">
      <c r="A293" s="355"/>
      <c r="B293" s="355"/>
      <c r="F293" s="355"/>
    </row>
    <row r="294">
      <c r="A294" s="355"/>
      <c r="B294" s="355"/>
      <c r="F294" s="355"/>
    </row>
    <row r="295">
      <c r="A295" s="355"/>
      <c r="B295" s="355"/>
      <c r="F295" s="355"/>
    </row>
    <row r="296">
      <c r="A296" s="355"/>
      <c r="B296" s="355"/>
      <c r="F296" s="355"/>
    </row>
    <row r="297">
      <c r="A297" s="355"/>
      <c r="B297" s="355"/>
      <c r="F297" s="355"/>
    </row>
    <row r="298">
      <c r="A298" s="355"/>
      <c r="B298" s="355"/>
      <c r="F298" s="355"/>
    </row>
    <row r="299">
      <c r="A299" s="355"/>
      <c r="B299" s="355"/>
      <c r="F299" s="355"/>
    </row>
    <row r="300">
      <c r="A300" s="355"/>
      <c r="B300" s="355"/>
      <c r="F300" s="355"/>
    </row>
    <row r="301">
      <c r="A301" s="355"/>
      <c r="B301" s="355"/>
      <c r="F301" s="355"/>
    </row>
    <row r="302">
      <c r="A302" s="355"/>
      <c r="B302" s="355"/>
      <c r="F302" s="355"/>
    </row>
    <row r="303">
      <c r="A303" s="355"/>
      <c r="B303" s="355"/>
      <c r="F303" s="355"/>
    </row>
    <row r="304">
      <c r="A304" s="355"/>
      <c r="B304" s="355"/>
      <c r="F304" s="355"/>
    </row>
    <row r="305">
      <c r="A305" s="355"/>
      <c r="B305" s="355"/>
      <c r="F305" s="355"/>
    </row>
    <row r="306">
      <c r="A306" s="355"/>
      <c r="B306" s="355"/>
      <c r="F306" s="355"/>
    </row>
    <row r="307">
      <c r="A307" s="355"/>
      <c r="B307" s="355"/>
      <c r="F307" s="355"/>
    </row>
    <row r="308">
      <c r="A308" s="355"/>
      <c r="B308" s="355"/>
      <c r="F308" s="355"/>
    </row>
    <row r="309">
      <c r="A309" s="355"/>
      <c r="B309" s="355"/>
      <c r="F309" s="355"/>
    </row>
    <row r="310">
      <c r="A310" s="355"/>
      <c r="B310" s="355"/>
      <c r="F310" s="355"/>
    </row>
    <row r="311">
      <c r="A311" s="355"/>
      <c r="B311" s="355"/>
      <c r="F311" s="355"/>
    </row>
    <row r="312">
      <c r="A312" s="355"/>
      <c r="B312" s="355"/>
      <c r="F312" s="355"/>
    </row>
    <row r="313">
      <c r="A313" s="355"/>
      <c r="B313" s="355"/>
      <c r="F313" s="355"/>
    </row>
    <row r="314">
      <c r="A314" s="355"/>
      <c r="B314" s="355"/>
      <c r="F314" s="355"/>
    </row>
    <row r="315">
      <c r="A315" s="355"/>
      <c r="B315" s="355"/>
      <c r="F315" s="355"/>
    </row>
    <row r="316">
      <c r="A316" s="355"/>
      <c r="B316" s="355"/>
      <c r="F316" s="355"/>
    </row>
    <row r="317">
      <c r="A317" s="355"/>
      <c r="B317" s="355"/>
      <c r="F317" s="355"/>
    </row>
    <row r="318">
      <c r="A318" s="355"/>
      <c r="B318" s="355"/>
      <c r="F318" s="355"/>
    </row>
    <row r="319">
      <c r="A319" s="355"/>
      <c r="B319" s="355"/>
      <c r="F319" s="355"/>
    </row>
    <row r="320">
      <c r="A320" s="355"/>
      <c r="B320" s="355"/>
      <c r="F320" s="355"/>
    </row>
    <row r="321">
      <c r="A321" s="355"/>
      <c r="B321" s="355"/>
      <c r="F321" s="355"/>
    </row>
    <row r="322">
      <c r="A322" s="355"/>
      <c r="B322" s="355"/>
      <c r="F322" s="355"/>
    </row>
    <row r="323">
      <c r="A323" s="355"/>
      <c r="B323" s="355"/>
      <c r="F323" s="355"/>
    </row>
    <row r="324">
      <c r="A324" s="355"/>
      <c r="B324" s="355"/>
      <c r="F324" s="355"/>
    </row>
    <row r="325">
      <c r="A325" s="355"/>
      <c r="B325" s="355"/>
      <c r="F325" s="355"/>
    </row>
    <row r="326">
      <c r="A326" s="355"/>
      <c r="B326" s="355"/>
      <c r="F326" s="355"/>
    </row>
    <row r="327">
      <c r="A327" s="355"/>
      <c r="B327" s="355"/>
      <c r="F327" s="355"/>
    </row>
    <row r="328">
      <c r="A328" s="355"/>
      <c r="B328" s="355"/>
      <c r="F328" s="355"/>
    </row>
    <row r="329">
      <c r="A329" s="355"/>
      <c r="B329" s="355"/>
      <c r="F329" s="355"/>
    </row>
    <row r="330">
      <c r="A330" s="355"/>
      <c r="B330" s="355"/>
      <c r="F330" s="355"/>
    </row>
    <row r="331">
      <c r="A331" s="355"/>
      <c r="B331" s="355"/>
      <c r="F331" s="355"/>
    </row>
    <row r="332">
      <c r="A332" s="355"/>
      <c r="B332" s="355"/>
      <c r="F332" s="355"/>
    </row>
    <row r="333">
      <c r="A333" s="355"/>
      <c r="B333" s="355"/>
      <c r="F333" s="355"/>
    </row>
    <row r="334">
      <c r="A334" s="355"/>
      <c r="B334" s="355"/>
      <c r="F334" s="355"/>
    </row>
    <row r="335">
      <c r="A335" s="355"/>
      <c r="B335" s="355"/>
      <c r="F335" s="355"/>
    </row>
    <row r="336">
      <c r="A336" s="355"/>
      <c r="B336" s="355"/>
      <c r="F336" s="355"/>
    </row>
    <row r="337">
      <c r="A337" s="355"/>
      <c r="B337" s="355"/>
      <c r="F337" s="355"/>
    </row>
    <row r="338">
      <c r="A338" s="355"/>
      <c r="B338" s="355"/>
      <c r="F338" s="355"/>
    </row>
    <row r="339">
      <c r="A339" s="355"/>
      <c r="B339" s="355"/>
      <c r="F339" s="355"/>
    </row>
    <row r="340">
      <c r="A340" s="355"/>
      <c r="B340" s="355"/>
      <c r="F340" s="355"/>
    </row>
    <row r="341">
      <c r="A341" s="355"/>
      <c r="B341" s="355"/>
      <c r="F341" s="355"/>
    </row>
    <row r="342">
      <c r="A342" s="355"/>
      <c r="B342" s="355"/>
      <c r="F342" s="355"/>
    </row>
    <row r="343">
      <c r="A343" s="355"/>
      <c r="B343" s="355"/>
      <c r="F343" s="355"/>
    </row>
    <row r="344">
      <c r="A344" s="355"/>
      <c r="B344" s="355"/>
      <c r="F344" s="355"/>
    </row>
    <row r="345">
      <c r="A345" s="355"/>
      <c r="B345" s="355"/>
      <c r="F345" s="355"/>
    </row>
    <row r="346">
      <c r="A346" s="355"/>
      <c r="B346" s="355"/>
      <c r="F346" s="355"/>
    </row>
    <row r="347">
      <c r="A347" s="355"/>
      <c r="B347" s="355"/>
      <c r="F347" s="355"/>
    </row>
    <row r="348">
      <c r="A348" s="355"/>
      <c r="B348" s="355"/>
      <c r="F348" s="355"/>
    </row>
    <row r="349">
      <c r="A349" s="355"/>
      <c r="B349" s="355"/>
      <c r="F349" s="355"/>
    </row>
    <row r="350">
      <c r="A350" s="355"/>
      <c r="B350" s="355"/>
      <c r="F350" s="355"/>
    </row>
    <row r="351">
      <c r="A351" s="355"/>
      <c r="B351" s="355"/>
      <c r="F351" s="355"/>
    </row>
    <row r="352">
      <c r="A352" s="355"/>
      <c r="B352" s="355"/>
      <c r="F352" s="355"/>
    </row>
    <row r="353">
      <c r="A353" s="355"/>
      <c r="B353" s="355"/>
      <c r="F353" s="355"/>
    </row>
    <row r="354">
      <c r="A354" s="355"/>
      <c r="B354" s="355"/>
      <c r="F354" s="355"/>
    </row>
    <row r="355">
      <c r="A355" s="355"/>
      <c r="B355" s="355"/>
      <c r="F355" s="355"/>
    </row>
    <row r="356">
      <c r="A356" s="355"/>
      <c r="B356" s="355"/>
      <c r="F356" s="355"/>
    </row>
    <row r="357">
      <c r="A357" s="355"/>
      <c r="B357" s="355"/>
      <c r="F357" s="355"/>
    </row>
    <row r="358">
      <c r="A358" s="355"/>
      <c r="B358" s="355"/>
      <c r="F358" s="355"/>
    </row>
    <row r="359">
      <c r="A359" s="355"/>
      <c r="B359" s="355"/>
      <c r="F359" s="355"/>
    </row>
    <row r="360">
      <c r="A360" s="355"/>
      <c r="B360" s="355"/>
      <c r="F360" s="355"/>
    </row>
    <row r="361">
      <c r="A361" s="355"/>
      <c r="B361" s="355"/>
      <c r="F361" s="355"/>
    </row>
    <row r="362">
      <c r="A362" s="355"/>
      <c r="B362" s="355"/>
      <c r="F362" s="355"/>
    </row>
    <row r="363">
      <c r="A363" s="355"/>
      <c r="B363" s="355"/>
      <c r="F363" s="355"/>
    </row>
    <row r="364">
      <c r="A364" s="355"/>
      <c r="B364" s="355"/>
      <c r="F364" s="355"/>
    </row>
    <row r="365">
      <c r="A365" s="355"/>
      <c r="B365" s="355"/>
      <c r="F365" s="355"/>
    </row>
    <row r="366">
      <c r="A366" s="355"/>
      <c r="B366" s="355"/>
      <c r="F366" s="355"/>
    </row>
    <row r="367">
      <c r="A367" s="355"/>
      <c r="B367" s="355"/>
      <c r="F367" s="355"/>
    </row>
    <row r="368">
      <c r="A368" s="355"/>
      <c r="B368" s="355"/>
      <c r="F368" s="355"/>
    </row>
    <row r="369">
      <c r="A369" s="355"/>
      <c r="B369" s="355"/>
      <c r="F369" s="355"/>
    </row>
    <row r="370">
      <c r="A370" s="355"/>
      <c r="B370" s="355"/>
      <c r="F370" s="355"/>
    </row>
    <row r="371">
      <c r="A371" s="355"/>
      <c r="B371" s="355"/>
      <c r="F371" s="355"/>
    </row>
    <row r="372">
      <c r="A372" s="355"/>
      <c r="B372" s="355"/>
      <c r="F372" s="355"/>
    </row>
    <row r="373">
      <c r="A373" s="355"/>
      <c r="B373" s="355"/>
      <c r="F373" s="355"/>
    </row>
    <row r="374">
      <c r="A374" s="355"/>
      <c r="B374" s="355"/>
      <c r="F374" s="355"/>
    </row>
    <row r="375">
      <c r="A375" s="355"/>
      <c r="B375" s="355"/>
      <c r="F375" s="355"/>
    </row>
    <row r="376">
      <c r="A376" s="355"/>
      <c r="B376" s="355"/>
      <c r="F376" s="355"/>
    </row>
    <row r="377">
      <c r="A377" s="355"/>
      <c r="B377" s="355"/>
      <c r="F377" s="355"/>
    </row>
    <row r="378">
      <c r="A378" s="355"/>
      <c r="B378" s="355"/>
      <c r="F378" s="355"/>
    </row>
    <row r="379">
      <c r="A379" s="355"/>
      <c r="B379" s="355"/>
      <c r="F379" s="355"/>
    </row>
    <row r="380">
      <c r="A380" s="355"/>
      <c r="B380" s="355"/>
      <c r="F380" s="355"/>
    </row>
    <row r="381">
      <c r="A381" s="355"/>
      <c r="B381" s="355"/>
      <c r="F381" s="355"/>
    </row>
    <row r="382">
      <c r="A382" s="355"/>
      <c r="B382" s="355"/>
      <c r="F382" s="355"/>
    </row>
    <row r="383">
      <c r="A383" s="355"/>
      <c r="B383" s="355"/>
      <c r="F383" s="355"/>
    </row>
    <row r="384">
      <c r="A384" s="355"/>
      <c r="B384" s="355"/>
      <c r="F384" s="355"/>
    </row>
    <row r="385">
      <c r="A385" s="355"/>
      <c r="B385" s="355"/>
      <c r="F385" s="355"/>
    </row>
    <row r="386">
      <c r="A386" s="355"/>
      <c r="B386" s="355"/>
      <c r="F386" s="355"/>
    </row>
    <row r="387">
      <c r="A387" s="355"/>
      <c r="B387" s="355"/>
      <c r="F387" s="355"/>
    </row>
    <row r="388">
      <c r="A388" s="355"/>
      <c r="B388" s="355"/>
      <c r="F388" s="355"/>
    </row>
    <row r="389">
      <c r="A389" s="355"/>
      <c r="B389" s="355"/>
      <c r="F389" s="355"/>
    </row>
    <row r="390">
      <c r="A390" s="355"/>
      <c r="B390" s="355"/>
      <c r="F390" s="355"/>
    </row>
    <row r="391">
      <c r="A391" s="355"/>
      <c r="B391" s="355"/>
      <c r="F391" s="355"/>
    </row>
    <row r="392">
      <c r="A392" s="355"/>
      <c r="B392" s="355"/>
      <c r="F392" s="355"/>
    </row>
    <row r="393">
      <c r="A393" s="355"/>
      <c r="B393" s="355"/>
      <c r="F393" s="355"/>
    </row>
    <row r="394">
      <c r="A394" s="355"/>
      <c r="B394" s="355"/>
      <c r="F394" s="355"/>
    </row>
    <row r="395">
      <c r="A395" s="355"/>
      <c r="B395" s="355"/>
      <c r="F395" s="355"/>
    </row>
    <row r="396">
      <c r="A396" s="355"/>
      <c r="B396" s="355"/>
      <c r="F396" s="355"/>
    </row>
    <row r="397">
      <c r="A397" s="355"/>
      <c r="B397" s="355"/>
      <c r="F397" s="355"/>
    </row>
    <row r="398">
      <c r="A398" s="355"/>
      <c r="B398" s="355"/>
      <c r="F398" s="355"/>
    </row>
    <row r="399">
      <c r="A399" s="355"/>
      <c r="B399" s="355"/>
      <c r="F399" s="355"/>
    </row>
    <row r="400">
      <c r="A400" s="355"/>
      <c r="B400" s="355"/>
      <c r="F400" s="355"/>
    </row>
    <row r="401">
      <c r="A401" s="355"/>
      <c r="B401" s="355"/>
      <c r="F401" s="355"/>
    </row>
    <row r="402">
      <c r="A402" s="355"/>
      <c r="B402" s="355"/>
      <c r="F402" s="355"/>
    </row>
    <row r="403">
      <c r="A403" s="355"/>
      <c r="B403" s="355"/>
      <c r="F403" s="355"/>
    </row>
    <row r="404">
      <c r="A404" s="355"/>
      <c r="B404" s="355"/>
      <c r="F404" s="355"/>
    </row>
    <row r="405">
      <c r="A405" s="355"/>
      <c r="B405" s="355"/>
      <c r="F405" s="355"/>
    </row>
    <row r="406">
      <c r="A406" s="355"/>
      <c r="B406" s="355"/>
      <c r="F406" s="355"/>
    </row>
    <row r="407">
      <c r="A407" s="355"/>
      <c r="B407" s="355"/>
      <c r="F407" s="355"/>
    </row>
    <row r="408">
      <c r="A408" s="355"/>
      <c r="B408" s="355"/>
      <c r="F408" s="355"/>
    </row>
    <row r="409">
      <c r="A409" s="355"/>
      <c r="B409" s="355"/>
      <c r="F409" s="355"/>
    </row>
    <row r="410">
      <c r="A410" s="355"/>
      <c r="B410" s="355"/>
      <c r="F410" s="355"/>
    </row>
    <row r="411">
      <c r="A411" s="355"/>
      <c r="B411" s="355"/>
      <c r="F411" s="355"/>
    </row>
    <row r="412">
      <c r="A412" s="355"/>
      <c r="B412" s="355"/>
      <c r="F412" s="355"/>
    </row>
    <row r="413">
      <c r="A413" s="355"/>
      <c r="B413" s="355"/>
      <c r="F413" s="355"/>
    </row>
    <row r="414">
      <c r="A414" s="355"/>
      <c r="B414" s="355"/>
      <c r="F414" s="355"/>
    </row>
    <row r="415">
      <c r="A415" s="355"/>
      <c r="B415" s="355"/>
      <c r="F415" s="355"/>
    </row>
    <row r="416">
      <c r="A416" s="355"/>
      <c r="B416" s="355"/>
      <c r="F416" s="355"/>
    </row>
    <row r="417">
      <c r="A417" s="355"/>
      <c r="B417" s="355"/>
      <c r="F417" s="355"/>
    </row>
    <row r="418">
      <c r="A418" s="355"/>
      <c r="B418" s="355"/>
      <c r="F418" s="355"/>
    </row>
    <row r="419">
      <c r="A419" s="355"/>
      <c r="B419" s="355"/>
      <c r="F419" s="355"/>
    </row>
    <row r="420">
      <c r="A420" s="355"/>
      <c r="B420" s="355"/>
      <c r="F420" s="355"/>
    </row>
    <row r="421">
      <c r="A421" s="355"/>
      <c r="B421" s="355"/>
      <c r="F421" s="355"/>
    </row>
    <row r="422">
      <c r="A422" s="355"/>
      <c r="B422" s="355"/>
      <c r="F422" s="355"/>
    </row>
    <row r="423">
      <c r="A423" s="355"/>
      <c r="B423" s="355"/>
      <c r="F423" s="355"/>
    </row>
    <row r="424">
      <c r="A424" s="355"/>
      <c r="B424" s="355"/>
      <c r="F424" s="355"/>
    </row>
    <row r="425">
      <c r="A425" s="355"/>
      <c r="B425" s="355"/>
      <c r="F425" s="355"/>
    </row>
    <row r="426">
      <c r="A426" s="355"/>
      <c r="B426" s="355"/>
      <c r="F426" s="355"/>
    </row>
    <row r="427">
      <c r="A427" s="355"/>
      <c r="B427" s="355"/>
      <c r="F427" s="355"/>
    </row>
    <row r="428">
      <c r="A428" s="355"/>
      <c r="B428" s="355"/>
      <c r="F428" s="355"/>
    </row>
    <row r="429">
      <c r="A429" s="355"/>
      <c r="B429" s="355"/>
      <c r="F429" s="355"/>
    </row>
    <row r="430">
      <c r="A430" s="355"/>
      <c r="B430" s="355"/>
      <c r="F430" s="355"/>
    </row>
    <row r="431">
      <c r="A431" s="355"/>
      <c r="B431" s="355"/>
      <c r="F431" s="355"/>
    </row>
    <row r="432">
      <c r="A432" s="355"/>
      <c r="B432" s="355"/>
      <c r="F432" s="355"/>
    </row>
    <row r="433">
      <c r="A433" s="355"/>
      <c r="B433" s="355"/>
      <c r="F433" s="355"/>
    </row>
    <row r="434">
      <c r="A434" s="355"/>
      <c r="B434" s="355"/>
      <c r="F434" s="355"/>
    </row>
    <row r="435">
      <c r="A435" s="355"/>
      <c r="B435" s="355"/>
      <c r="F435" s="355"/>
    </row>
    <row r="436">
      <c r="A436" s="355"/>
      <c r="B436" s="355"/>
      <c r="F436" s="355"/>
    </row>
    <row r="437">
      <c r="A437" s="355"/>
      <c r="B437" s="355"/>
      <c r="F437" s="355"/>
    </row>
    <row r="438">
      <c r="A438" s="355"/>
      <c r="B438" s="355"/>
      <c r="F438" s="355"/>
    </row>
    <row r="439">
      <c r="A439" s="355"/>
      <c r="B439" s="355"/>
      <c r="F439" s="355"/>
    </row>
    <row r="440">
      <c r="A440" s="355"/>
      <c r="B440" s="355"/>
      <c r="F440" s="355"/>
    </row>
    <row r="441">
      <c r="A441" s="355"/>
      <c r="B441" s="355"/>
      <c r="F441" s="355"/>
    </row>
    <row r="442">
      <c r="A442" s="355"/>
      <c r="B442" s="355"/>
      <c r="F442" s="355"/>
    </row>
    <row r="443">
      <c r="A443" s="355"/>
      <c r="B443" s="355"/>
      <c r="F443" s="355"/>
    </row>
    <row r="444">
      <c r="A444" s="355"/>
      <c r="B444" s="355"/>
      <c r="F444" s="355"/>
    </row>
    <row r="445">
      <c r="A445" s="355"/>
      <c r="B445" s="355"/>
      <c r="F445" s="355"/>
    </row>
    <row r="446">
      <c r="A446" s="355"/>
      <c r="B446" s="355"/>
      <c r="F446" s="355"/>
    </row>
    <row r="447">
      <c r="A447" s="355"/>
      <c r="B447" s="355"/>
      <c r="F447" s="355"/>
    </row>
    <row r="448">
      <c r="A448" s="355"/>
      <c r="B448" s="355"/>
      <c r="F448" s="355"/>
    </row>
    <row r="449">
      <c r="A449" s="355"/>
      <c r="B449" s="355"/>
      <c r="F449" s="355"/>
    </row>
    <row r="450">
      <c r="A450" s="355"/>
      <c r="B450" s="355"/>
      <c r="F450" s="355"/>
    </row>
    <row r="451">
      <c r="A451" s="355"/>
      <c r="B451" s="355"/>
      <c r="F451" s="355"/>
    </row>
    <row r="452">
      <c r="A452" s="355"/>
      <c r="B452" s="355"/>
      <c r="F452" s="355"/>
    </row>
    <row r="453">
      <c r="A453" s="355"/>
      <c r="B453" s="355"/>
      <c r="F453" s="355"/>
    </row>
    <row r="454">
      <c r="A454" s="355"/>
      <c r="B454" s="355"/>
      <c r="F454" s="355"/>
    </row>
    <row r="455">
      <c r="A455" s="355"/>
      <c r="B455" s="355"/>
      <c r="F455" s="355"/>
    </row>
    <row r="456">
      <c r="A456" s="355"/>
      <c r="B456" s="355"/>
      <c r="F456" s="355"/>
    </row>
    <row r="457">
      <c r="A457" s="355"/>
      <c r="B457" s="355"/>
      <c r="F457" s="355"/>
    </row>
    <row r="458">
      <c r="A458" s="355"/>
      <c r="B458" s="355"/>
      <c r="F458" s="355"/>
    </row>
    <row r="459">
      <c r="A459" s="355"/>
      <c r="B459" s="355"/>
      <c r="F459" s="355"/>
    </row>
    <row r="460">
      <c r="A460" s="355"/>
      <c r="B460" s="355"/>
      <c r="F460" s="355"/>
    </row>
    <row r="461">
      <c r="A461" s="355"/>
      <c r="B461" s="355"/>
      <c r="F461" s="355"/>
    </row>
    <row r="462">
      <c r="A462" s="355"/>
      <c r="B462" s="355"/>
      <c r="F462" s="355"/>
    </row>
    <row r="463">
      <c r="A463" s="355"/>
      <c r="B463" s="355"/>
      <c r="F463" s="355"/>
    </row>
    <row r="464">
      <c r="A464" s="355"/>
      <c r="B464" s="355"/>
      <c r="F464" s="355"/>
    </row>
    <row r="465">
      <c r="A465" s="355"/>
      <c r="B465" s="355"/>
      <c r="F465" s="355"/>
    </row>
    <row r="466">
      <c r="A466" s="355"/>
      <c r="B466" s="355"/>
      <c r="F466" s="355"/>
    </row>
    <row r="467">
      <c r="A467" s="355"/>
      <c r="B467" s="355"/>
      <c r="F467" s="355"/>
    </row>
    <row r="468">
      <c r="A468" s="355"/>
      <c r="B468" s="355"/>
      <c r="F468" s="355"/>
    </row>
    <row r="469">
      <c r="A469" s="355"/>
      <c r="B469" s="355"/>
      <c r="F469" s="355"/>
    </row>
    <row r="470">
      <c r="A470" s="355"/>
      <c r="B470" s="355"/>
      <c r="F470" s="355"/>
    </row>
    <row r="471">
      <c r="A471" s="355"/>
      <c r="B471" s="355"/>
      <c r="F471" s="355"/>
    </row>
    <row r="472">
      <c r="A472" s="355"/>
      <c r="B472" s="355"/>
      <c r="F472" s="355"/>
    </row>
    <row r="473">
      <c r="A473" s="355"/>
      <c r="B473" s="355"/>
      <c r="F473" s="355"/>
    </row>
    <row r="474">
      <c r="A474" s="355"/>
      <c r="B474" s="355"/>
      <c r="F474" s="355"/>
    </row>
    <row r="475">
      <c r="A475" s="355"/>
      <c r="B475" s="355"/>
      <c r="F475" s="355"/>
    </row>
    <row r="476">
      <c r="A476" s="355"/>
      <c r="B476" s="355"/>
      <c r="F476" s="355"/>
    </row>
    <row r="477">
      <c r="A477" s="355"/>
      <c r="B477" s="355"/>
      <c r="F477" s="355"/>
    </row>
    <row r="478">
      <c r="A478" s="355"/>
      <c r="B478" s="355"/>
      <c r="F478" s="355"/>
    </row>
    <row r="479">
      <c r="A479" s="355"/>
      <c r="B479" s="355"/>
      <c r="F479" s="355"/>
    </row>
    <row r="480">
      <c r="A480" s="355"/>
      <c r="B480" s="355"/>
      <c r="F480" s="355"/>
    </row>
    <row r="481">
      <c r="A481" s="355"/>
      <c r="B481" s="355"/>
      <c r="F481" s="355"/>
    </row>
    <row r="482">
      <c r="A482" s="355"/>
      <c r="B482" s="355"/>
      <c r="F482" s="355"/>
    </row>
    <row r="483">
      <c r="A483" s="355"/>
      <c r="B483" s="355"/>
      <c r="F483" s="355"/>
    </row>
    <row r="484">
      <c r="A484" s="355"/>
      <c r="B484" s="355"/>
      <c r="F484" s="355"/>
    </row>
    <row r="485">
      <c r="A485" s="355"/>
      <c r="B485" s="355"/>
      <c r="F485" s="355"/>
    </row>
    <row r="486">
      <c r="A486" s="355"/>
      <c r="B486" s="355"/>
      <c r="F486" s="355"/>
    </row>
    <row r="487">
      <c r="A487" s="355"/>
      <c r="B487" s="355"/>
      <c r="F487" s="355"/>
    </row>
    <row r="488">
      <c r="A488" s="355"/>
      <c r="B488" s="355"/>
      <c r="F488" s="355"/>
    </row>
    <row r="489">
      <c r="A489" s="355"/>
      <c r="B489" s="355"/>
      <c r="F489" s="355"/>
    </row>
    <row r="490">
      <c r="A490" s="355"/>
      <c r="B490" s="355"/>
      <c r="F490" s="355"/>
    </row>
    <row r="491">
      <c r="A491" s="355"/>
      <c r="B491" s="355"/>
      <c r="F491" s="355"/>
    </row>
    <row r="492">
      <c r="A492" s="355"/>
      <c r="B492" s="355"/>
      <c r="F492" s="355"/>
    </row>
    <row r="493">
      <c r="A493" s="355"/>
      <c r="B493" s="355"/>
      <c r="F493" s="355"/>
    </row>
    <row r="494">
      <c r="A494" s="355"/>
      <c r="B494" s="355"/>
      <c r="F494" s="355"/>
    </row>
    <row r="495">
      <c r="A495" s="355"/>
      <c r="B495" s="355"/>
      <c r="F495" s="355"/>
    </row>
    <row r="496">
      <c r="A496" s="355"/>
      <c r="B496" s="355"/>
      <c r="F496" s="355"/>
    </row>
    <row r="497">
      <c r="A497" s="355"/>
      <c r="B497" s="355"/>
      <c r="F497" s="355"/>
    </row>
    <row r="498">
      <c r="A498" s="355"/>
      <c r="B498" s="355"/>
      <c r="F498" s="355"/>
    </row>
    <row r="499">
      <c r="A499" s="355"/>
      <c r="B499" s="355"/>
      <c r="F499" s="355"/>
    </row>
    <row r="500">
      <c r="A500" s="355"/>
      <c r="B500" s="355"/>
      <c r="F500" s="355"/>
    </row>
    <row r="501">
      <c r="A501" s="355"/>
      <c r="B501" s="355"/>
      <c r="F501" s="355"/>
    </row>
    <row r="502">
      <c r="A502" s="355"/>
      <c r="B502" s="355"/>
      <c r="F502" s="355"/>
    </row>
    <row r="503">
      <c r="A503" s="355"/>
      <c r="B503" s="355"/>
      <c r="F503" s="355"/>
    </row>
    <row r="504">
      <c r="A504" s="355"/>
      <c r="B504" s="355"/>
      <c r="F504" s="355"/>
    </row>
    <row r="505">
      <c r="A505" s="355"/>
      <c r="B505" s="355"/>
      <c r="F505" s="355"/>
    </row>
    <row r="506">
      <c r="A506" s="355"/>
      <c r="B506" s="355"/>
      <c r="F506" s="355"/>
    </row>
    <row r="507">
      <c r="A507" s="355"/>
      <c r="B507" s="355"/>
      <c r="F507" s="355"/>
    </row>
    <row r="508">
      <c r="A508" s="355"/>
      <c r="B508" s="355"/>
      <c r="F508" s="355"/>
    </row>
    <row r="509">
      <c r="A509" s="355"/>
      <c r="B509" s="355"/>
      <c r="F509" s="355"/>
    </row>
    <row r="510">
      <c r="A510" s="355"/>
      <c r="B510" s="355"/>
      <c r="F510" s="355"/>
    </row>
    <row r="511">
      <c r="A511" s="355"/>
      <c r="B511" s="355"/>
      <c r="F511" s="355"/>
    </row>
    <row r="512">
      <c r="A512" s="355"/>
      <c r="B512" s="355"/>
      <c r="F512" s="355"/>
    </row>
    <row r="513">
      <c r="A513" s="355"/>
      <c r="B513" s="355"/>
      <c r="F513" s="355"/>
    </row>
    <row r="514">
      <c r="A514" s="355"/>
      <c r="B514" s="355"/>
      <c r="F514" s="355"/>
    </row>
    <row r="515">
      <c r="A515" s="355"/>
      <c r="B515" s="355"/>
      <c r="F515" s="355"/>
    </row>
    <row r="516">
      <c r="A516" s="355"/>
      <c r="B516" s="355"/>
      <c r="F516" s="355"/>
    </row>
    <row r="517">
      <c r="A517" s="355"/>
      <c r="B517" s="355"/>
      <c r="F517" s="355"/>
    </row>
    <row r="518">
      <c r="A518" s="355"/>
      <c r="B518" s="355"/>
      <c r="F518" s="355"/>
    </row>
    <row r="519">
      <c r="A519" s="355"/>
      <c r="B519" s="355"/>
      <c r="F519" s="355"/>
    </row>
    <row r="520">
      <c r="A520" s="355"/>
      <c r="B520" s="355"/>
      <c r="F520" s="355"/>
    </row>
    <row r="521">
      <c r="A521" s="355"/>
      <c r="B521" s="355"/>
      <c r="F521" s="355"/>
    </row>
    <row r="522">
      <c r="A522" s="355"/>
      <c r="B522" s="355"/>
      <c r="F522" s="355"/>
    </row>
    <row r="523">
      <c r="A523" s="355"/>
      <c r="B523" s="355"/>
      <c r="F523" s="355"/>
    </row>
    <row r="524">
      <c r="A524" s="355"/>
      <c r="B524" s="355"/>
      <c r="F524" s="355"/>
    </row>
    <row r="525">
      <c r="A525" s="355"/>
      <c r="B525" s="355"/>
      <c r="F525" s="355"/>
    </row>
    <row r="526">
      <c r="A526" s="355"/>
      <c r="B526" s="355"/>
      <c r="F526" s="355"/>
    </row>
    <row r="527">
      <c r="A527" s="355"/>
      <c r="B527" s="355"/>
      <c r="F527" s="355"/>
    </row>
    <row r="528">
      <c r="A528" s="355"/>
      <c r="B528" s="355"/>
      <c r="F528" s="355"/>
    </row>
    <row r="529">
      <c r="A529" s="355"/>
      <c r="B529" s="355"/>
      <c r="F529" s="355"/>
    </row>
    <row r="530">
      <c r="A530" s="355"/>
      <c r="B530" s="355"/>
      <c r="F530" s="355"/>
    </row>
    <row r="531">
      <c r="A531" s="355"/>
      <c r="B531" s="355"/>
      <c r="F531" s="355"/>
    </row>
    <row r="532">
      <c r="A532" s="355"/>
      <c r="B532" s="355"/>
      <c r="F532" s="355"/>
    </row>
    <row r="533">
      <c r="A533" s="355"/>
      <c r="B533" s="355"/>
      <c r="F533" s="355"/>
    </row>
    <row r="534">
      <c r="A534" s="355"/>
      <c r="B534" s="355"/>
      <c r="F534" s="355"/>
    </row>
    <row r="535">
      <c r="A535" s="355"/>
      <c r="B535" s="355"/>
      <c r="F535" s="355"/>
    </row>
    <row r="536">
      <c r="A536" s="355"/>
      <c r="B536" s="355"/>
      <c r="F536" s="355"/>
    </row>
    <row r="537">
      <c r="A537" s="355"/>
      <c r="B537" s="355"/>
      <c r="F537" s="355"/>
    </row>
    <row r="538">
      <c r="A538" s="355"/>
      <c r="B538" s="355"/>
      <c r="F538" s="355"/>
    </row>
    <row r="539">
      <c r="A539" s="355"/>
      <c r="B539" s="355"/>
      <c r="F539" s="355"/>
    </row>
    <row r="540">
      <c r="A540" s="355"/>
      <c r="B540" s="355"/>
      <c r="F540" s="355"/>
    </row>
    <row r="541">
      <c r="A541" s="355"/>
      <c r="B541" s="355"/>
      <c r="F541" s="355"/>
    </row>
    <row r="542">
      <c r="A542" s="355"/>
      <c r="B542" s="355"/>
      <c r="F542" s="355"/>
    </row>
    <row r="543">
      <c r="A543" s="355"/>
      <c r="B543" s="355"/>
      <c r="F543" s="355"/>
    </row>
    <row r="544">
      <c r="A544" s="355"/>
      <c r="B544" s="355"/>
      <c r="F544" s="355"/>
    </row>
    <row r="545">
      <c r="A545" s="355"/>
      <c r="B545" s="355"/>
      <c r="F545" s="355"/>
    </row>
    <row r="546">
      <c r="A546" s="355"/>
      <c r="B546" s="355"/>
      <c r="F546" s="355"/>
    </row>
    <row r="547">
      <c r="A547" s="355"/>
      <c r="B547" s="355"/>
      <c r="F547" s="355"/>
    </row>
    <row r="548">
      <c r="A548" s="355"/>
      <c r="B548" s="355"/>
      <c r="F548" s="355"/>
    </row>
    <row r="549">
      <c r="A549" s="355"/>
      <c r="B549" s="355"/>
      <c r="F549" s="355"/>
    </row>
    <row r="550">
      <c r="A550" s="355"/>
      <c r="B550" s="355"/>
      <c r="F550" s="355"/>
    </row>
    <row r="551">
      <c r="A551" s="355"/>
      <c r="B551" s="355"/>
      <c r="F551" s="355"/>
    </row>
    <row r="552">
      <c r="A552" s="355"/>
      <c r="B552" s="355"/>
      <c r="F552" s="355"/>
    </row>
    <row r="553">
      <c r="A553" s="355"/>
      <c r="B553" s="355"/>
      <c r="F553" s="355"/>
    </row>
    <row r="554">
      <c r="A554" s="355"/>
      <c r="B554" s="355"/>
      <c r="F554" s="355"/>
    </row>
    <row r="555">
      <c r="A555" s="355"/>
      <c r="B555" s="355"/>
      <c r="F555" s="355"/>
    </row>
    <row r="556">
      <c r="A556" s="355"/>
      <c r="B556" s="355"/>
      <c r="F556" s="355"/>
    </row>
    <row r="557">
      <c r="A557" s="355"/>
      <c r="B557" s="355"/>
      <c r="F557" s="355"/>
    </row>
    <row r="558">
      <c r="A558" s="355"/>
      <c r="B558" s="355"/>
      <c r="F558" s="355"/>
    </row>
    <row r="559">
      <c r="A559" s="355"/>
      <c r="B559" s="355"/>
      <c r="F559" s="355"/>
    </row>
    <row r="560">
      <c r="A560" s="355"/>
      <c r="B560" s="355"/>
      <c r="F560" s="355"/>
    </row>
    <row r="561">
      <c r="A561" s="355"/>
      <c r="B561" s="355"/>
      <c r="F561" s="355"/>
    </row>
    <row r="562">
      <c r="A562" s="355"/>
      <c r="B562" s="355"/>
      <c r="F562" s="355"/>
    </row>
    <row r="563">
      <c r="A563" s="355"/>
      <c r="B563" s="355"/>
      <c r="F563" s="355"/>
    </row>
    <row r="564">
      <c r="A564" s="355"/>
      <c r="B564" s="355"/>
      <c r="F564" s="355"/>
    </row>
    <row r="565">
      <c r="A565" s="355"/>
      <c r="B565" s="355"/>
      <c r="F565" s="355"/>
    </row>
    <row r="566">
      <c r="A566" s="355"/>
      <c r="B566" s="355"/>
      <c r="F566" s="355"/>
    </row>
    <row r="567">
      <c r="A567" s="355"/>
      <c r="B567" s="355"/>
      <c r="F567" s="355"/>
    </row>
    <row r="568">
      <c r="A568" s="355"/>
      <c r="B568" s="355"/>
      <c r="F568" s="355"/>
    </row>
    <row r="569">
      <c r="A569" s="355"/>
      <c r="B569" s="355"/>
      <c r="F569" s="355"/>
    </row>
    <row r="570">
      <c r="A570" s="355"/>
      <c r="B570" s="355"/>
      <c r="F570" s="355"/>
    </row>
    <row r="571">
      <c r="A571" s="355"/>
      <c r="B571" s="355"/>
      <c r="F571" s="355"/>
    </row>
    <row r="572">
      <c r="A572" s="355"/>
      <c r="B572" s="355"/>
      <c r="F572" s="355"/>
    </row>
    <row r="573">
      <c r="A573" s="355"/>
      <c r="B573" s="355"/>
      <c r="F573" s="355"/>
    </row>
    <row r="574">
      <c r="A574" s="355"/>
      <c r="B574" s="355"/>
      <c r="F574" s="355"/>
    </row>
    <row r="575">
      <c r="A575" s="355"/>
      <c r="B575" s="355"/>
      <c r="F575" s="355"/>
    </row>
    <row r="576">
      <c r="A576" s="355"/>
      <c r="B576" s="355"/>
      <c r="F576" s="355"/>
    </row>
    <row r="577">
      <c r="A577" s="355"/>
      <c r="B577" s="355"/>
      <c r="F577" s="355"/>
    </row>
    <row r="578">
      <c r="A578" s="355"/>
      <c r="B578" s="355"/>
      <c r="F578" s="355"/>
    </row>
    <row r="579">
      <c r="A579" s="355"/>
      <c r="B579" s="355"/>
      <c r="F579" s="355"/>
    </row>
    <row r="580">
      <c r="A580" s="355"/>
      <c r="B580" s="355"/>
      <c r="F580" s="355"/>
    </row>
    <row r="581">
      <c r="A581" s="355"/>
      <c r="B581" s="355"/>
      <c r="F581" s="355"/>
    </row>
    <row r="582">
      <c r="A582" s="355"/>
      <c r="B582" s="355"/>
      <c r="F582" s="355"/>
    </row>
    <row r="583">
      <c r="A583" s="355"/>
      <c r="B583" s="355"/>
      <c r="F583" s="355"/>
    </row>
    <row r="584">
      <c r="A584" s="355"/>
      <c r="B584" s="355"/>
      <c r="F584" s="355"/>
    </row>
    <row r="585">
      <c r="A585" s="355"/>
      <c r="B585" s="355"/>
      <c r="F585" s="355"/>
    </row>
    <row r="586">
      <c r="A586" s="355"/>
      <c r="B586" s="355"/>
      <c r="F586" s="355"/>
    </row>
    <row r="587">
      <c r="A587" s="355"/>
      <c r="B587" s="355"/>
      <c r="F587" s="355"/>
    </row>
    <row r="588">
      <c r="A588" s="355"/>
      <c r="B588" s="355"/>
      <c r="F588" s="355"/>
    </row>
    <row r="589">
      <c r="A589" s="355"/>
      <c r="B589" s="355"/>
      <c r="F589" s="355"/>
    </row>
    <row r="590">
      <c r="A590" s="355"/>
      <c r="B590" s="355"/>
      <c r="F590" s="355"/>
    </row>
    <row r="591">
      <c r="A591" s="355"/>
      <c r="B591" s="355"/>
      <c r="F591" s="355"/>
    </row>
    <row r="592">
      <c r="A592" s="355"/>
      <c r="B592" s="355"/>
      <c r="F592" s="355"/>
    </row>
    <row r="593">
      <c r="A593" s="355"/>
      <c r="B593" s="355"/>
      <c r="F593" s="355"/>
    </row>
    <row r="594">
      <c r="A594" s="355"/>
      <c r="B594" s="355"/>
      <c r="F594" s="355"/>
    </row>
    <row r="595">
      <c r="A595" s="355"/>
      <c r="B595" s="355"/>
      <c r="F595" s="355"/>
    </row>
    <row r="596">
      <c r="A596" s="355"/>
      <c r="B596" s="355"/>
      <c r="F596" s="355"/>
    </row>
    <row r="597">
      <c r="A597" s="355"/>
      <c r="B597" s="355"/>
      <c r="F597" s="355"/>
    </row>
    <row r="598">
      <c r="A598" s="355"/>
      <c r="B598" s="355"/>
      <c r="F598" s="355"/>
    </row>
    <row r="599">
      <c r="A599" s="355"/>
      <c r="B599" s="355"/>
      <c r="F599" s="355"/>
    </row>
    <row r="600">
      <c r="A600" s="355"/>
      <c r="B600" s="355"/>
      <c r="F600" s="355"/>
    </row>
    <row r="601">
      <c r="A601" s="355"/>
      <c r="B601" s="355"/>
      <c r="F601" s="355"/>
    </row>
    <row r="602">
      <c r="A602" s="355"/>
      <c r="B602" s="355"/>
      <c r="F602" s="355"/>
    </row>
    <row r="603">
      <c r="A603" s="355"/>
      <c r="B603" s="355"/>
      <c r="F603" s="355"/>
    </row>
    <row r="604">
      <c r="A604" s="355"/>
      <c r="B604" s="355"/>
      <c r="F604" s="355"/>
    </row>
    <row r="605">
      <c r="A605" s="355"/>
      <c r="B605" s="355"/>
      <c r="F605" s="355"/>
    </row>
    <row r="606">
      <c r="A606" s="355"/>
      <c r="B606" s="355"/>
      <c r="F606" s="355"/>
    </row>
    <row r="607">
      <c r="A607" s="355"/>
      <c r="B607" s="355"/>
      <c r="F607" s="355"/>
    </row>
    <row r="608">
      <c r="A608" s="355"/>
      <c r="B608" s="355"/>
      <c r="F608" s="355"/>
    </row>
    <row r="609">
      <c r="A609" s="355"/>
      <c r="B609" s="355"/>
      <c r="F609" s="355"/>
    </row>
    <row r="610">
      <c r="A610" s="355"/>
      <c r="B610" s="355"/>
      <c r="F610" s="355"/>
    </row>
    <row r="611">
      <c r="A611" s="355"/>
      <c r="B611" s="355"/>
      <c r="F611" s="355"/>
    </row>
    <row r="612">
      <c r="A612" s="355"/>
      <c r="B612" s="355"/>
      <c r="F612" s="355"/>
    </row>
    <row r="613">
      <c r="A613" s="355"/>
      <c r="B613" s="355"/>
      <c r="F613" s="355"/>
    </row>
    <row r="614">
      <c r="A614" s="355"/>
      <c r="B614" s="355"/>
      <c r="F614" s="355"/>
    </row>
    <row r="615">
      <c r="A615" s="355"/>
      <c r="B615" s="355"/>
      <c r="F615" s="355"/>
    </row>
    <row r="616">
      <c r="A616" s="355"/>
      <c r="B616" s="355"/>
      <c r="F616" s="355"/>
    </row>
    <row r="617">
      <c r="A617" s="355"/>
      <c r="B617" s="355"/>
      <c r="F617" s="355"/>
    </row>
    <row r="618">
      <c r="A618" s="355"/>
      <c r="B618" s="355"/>
      <c r="F618" s="355"/>
    </row>
    <row r="619">
      <c r="A619" s="355"/>
      <c r="B619" s="355"/>
      <c r="F619" s="355"/>
    </row>
    <row r="620">
      <c r="A620" s="355"/>
      <c r="B620" s="355"/>
      <c r="F620" s="355"/>
    </row>
    <row r="621">
      <c r="A621" s="355"/>
      <c r="B621" s="355"/>
      <c r="F621" s="355"/>
    </row>
    <row r="622">
      <c r="A622" s="355"/>
      <c r="B622" s="355"/>
      <c r="F622" s="355"/>
    </row>
    <row r="623">
      <c r="A623" s="355"/>
      <c r="B623" s="355"/>
      <c r="F623" s="355"/>
    </row>
    <row r="624">
      <c r="A624" s="355"/>
      <c r="B624" s="355"/>
      <c r="F624" s="355"/>
    </row>
    <row r="625">
      <c r="A625" s="355"/>
      <c r="B625" s="355"/>
      <c r="F625" s="355"/>
    </row>
    <row r="626">
      <c r="A626" s="355"/>
      <c r="B626" s="355"/>
      <c r="F626" s="355"/>
    </row>
    <row r="627">
      <c r="A627" s="355"/>
      <c r="B627" s="355"/>
      <c r="F627" s="355"/>
    </row>
    <row r="628">
      <c r="A628" s="355"/>
      <c r="B628" s="355"/>
      <c r="F628" s="355"/>
    </row>
    <row r="629">
      <c r="A629" s="355"/>
      <c r="B629" s="355"/>
      <c r="F629" s="355"/>
    </row>
    <row r="630">
      <c r="A630" s="355"/>
      <c r="B630" s="355"/>
      <c r="F630" s="355"/>
    </row>
    <row r="631">
      <c r="A631" s="355"/>
      <c r="B631" s="355"/>
      <c r="F631" s="355"/>
    </row>
    <row r="632">
      <c r="A632" s="355"/>
      <c r="B632" s="355"/>
      <c r="F632" s="355"/>
    </row>
    <row r="633">
      <c r="A633" s="355"/>
      <c r="B633" s="355"/>
      <c r="F633" s="355"/>
    </row>
    <row r="634">
      <c r="A634" s="355"/>
      <c r="B634" s="355"/>
      <c r="F634" s="355"/>
    </row>
    <row r="635">
      <c r="A635" s="355"/>
      <c r="B635" s="355"/>
      <c r="F635" s="355"/>
    </row>
    <row r="636">
      <c r="A636" s="355"/>
      <c r="B636" s="355"/>
      <c r="F636" s="355"/>
    </row>
    <row r="637">
      <c r="A637" s="355"/>
      <c r="B637" s="355"/>
      <c r="F637" s="355"/>
    </row>
    <row r="638">
      <c r="A638" s="355"/>
      <c r="B638" s="355"/>
      <c r="F638" s="355"/>
    </row>
    <row r="639">
      <c r="A639" s="355"/>
      <c r="B639" s="355"/>
      <c r="F639" s="355"/>
    </row>
    <row r="640">
      <c r="A640" s="355"/>
      <c r="B640" s="355"/>
      <c r="F640" s="355"/>
    </row>
    <row r="641">
      <c r="A641" s="355"/>
      <c r="B641" s="355"/>
      <c r="F641" s="355"/>
    </row>
    <row r="642">
      <c r="A642" s="355"/>
      <c r="B642" s="355"/>
      <c r="F642" s="355"/>
    </row>
    <row r="643">
      <c r="A643" s="355"/>
      <c r="B643" s="355"/>
      <c r="F643" s="355"/>
    </row>
    <row r="644">
      <c r="A644" s="355"/>
      <c r="B644" s="355"/>
      <c r="F644" s="355"/>
    </row>
    <row r="645">
      <c r="A645" s="355"/>
      <c r="B645" s="355"/>
      <c r="F645" s="355"/>
    </row>
    <row r="646">
      <c r="A646" s="355"/>
      <c r="B646" s="355"/>
      <c r="F646" s="355"/>
    </row>
    <row r="647">
      <c r="A647" s="355"/>
      <c r="B647" s="355"/>
      <c r="F647" s="355"/>
    </row>
    <row r="648">
      <c r="A648" s="355"/>
      <c r="B648" s="355"/>
      <c r="F648" s="355"/>
    </row>
    <row r="649">
      <c r="A649" s="355"/>
      <c r="B649" s="355"/>
      <c r="F649" s="355"/>
    </row>
    <row r="650">
      <c r="A650" s="355"/>
      <c r="B650" s="355"/>
      <c r="F650" s="355"/>
    </row>
    <row r="651">
      <c r="A651" s="355"/>
      <c r="B651" s="355"/>
      <c r="F651" s="355"/>
    </row>
    <row r="652">
      <c r="A652" s="355"/>
      <c r="B652" s="355"/>
      <c r="F652" s="355"/>
    </row>
    <row r="653">
      <c r="A653" s="355"/>
      <c r="B653" s="355"/>
      <c r="F653" s="355"/>
    </row>
    <row r="654">
      <c r="A654" s="355"/>
      <c r="B654" s="355"/>
      <c r="F654" s="355"/>
    </row>
    <row r="655">
      <c r="A655" s="355"/>
      <c r="B655" s="355"/>
      <c r="F655" s="355"/>
    </row>
    <row r="656">
      <c r="A656" s="355"/>
      <c r="B656" s="355"/>
      <c r="F656" s="355"/>
    </row>
    <row r="657">
      <c r="A657" s="355"/>
      <c r="B657" s="355"/>
      <c r="F657" s="355"/>
    </row>
    <row r="658">
      <c r="A658" s="355"/>
      <c r="B658" s="355"/>
      <c r="F658" s="355"/>
    </row>
    <row r="659">
      <c r="A659" s="355"/>
      <c r="B659" s="355"/>
      <c r="F659" s="355"/>
    </row>
    <row r="660">
      <c r="A660" s="355"/>
      <c r="B660" s="355"/>
      <c r="F660" s="355"/>
    </row>
    <row r="661">
      <c r="A661" s="355"/>
      <c r="B661" s="355"/>
      <c r="F661" s="355"/>
    </row>
    <row r="662">
      <c r="A662" s="355"/>
      <c r="B662" s="355"/>
      <c r="F662" s="355"/>
    </row>
    <row r="663">
      <c r="A663" s="355"/>
      <c r="B663" s="355"/>
      <c r="F663" s="355"/>
    </row>
    <row r="664">
      <c r="A664" s="355"/>
      <c r="B664" s="355"/>
      <c r="F664" s="355"/>
    </row>
    <row r="665">
      <c r="A665" s="355"/>
      <c r="B665" s="355"/>
      <c r="F665" s="355"/>
    </row>
    <row r="666">
      <c r="A666" s="355"/>
      <c r="B666" s="355"/>
      <c r="F666" s="355"/>
    </row>
    <row r="667">
      <c r="A667" s="355"/>
      <c r="B667" s="355"/>
      <c r="F667" s="355"/>
    </row>
    <row r="668">
      <c r="A668" s="355"/>
      <c r="B668" s="355"/>
      <c r="F668" s="355"/>
    </row>
    <row r="669">
      <c r="A669" s="355"/>
      <c r="B669" s="355"/>
      <c r="F669" s="355"/>
    </row>
    <row r="670">
      <c r="A670" s="355"/>
      <c r="B670" s="355"/>
      <c r="F670" s="355"/>
    </row>
    <row r="671">
      <c r="A671" s="355"/>
      <c r="B671" s="355"/>
      <c r="F671" s="355"/>
    </row>
    <row r="672">
      <c r="A672" s="355"/>
      <c r="B672" s="355"/>
      <c r="F672" s="355"/>
    </row>
    <row r="673">
      <c r="A673" s="355"/>
      <c r="B673" s="355"/>
      <c r="F673" s="355"/>
    </row>
    <row r="674">
      <c r="A674" s="355"/>
      <c r="B674" s="355"/>
      <c r="F674" s="355"/>
    </row>
    <row r="675">
      <c r="A675" s="355"/>
      <c r="B675" s="355"/>
      <c r="F675" s="355"/>
    </row>
    <row r="676">
      <c r="A676" s="355"/>
      <c r="B676" s="355"/>
      <c r="F676" s="355"/>
    </row>
    <row r="677">
      <c r="A677" s="355"/>
      <c r="B677" s="355"/>
      <c r="F677" s="355"/>
    </row>
    <row r="678">
      <c r="A678" s="355"/>
      <c r="B678" s="355"/>
      <c r="F678" s="355"/>
    </row>
    <row r="679">
      <c r="A679" s="355"/>
      <c r="B679" s="355"/>
      <c r="F679" s="355"/>
    </row>
    <row r="680">
      <c r="A680" s="355"/>
      <c r="B680" s="355"/>
      <c r="F680" s="355"/>
    </row>
    <row r="681">
      <c r="A681" s="355"/>
      <c r="B681" s="355"/>
      <c r="F681" s="355"/>
    </row>
    <row r="682">
      <c r="A682" s="355"/>
      <c r="B682" s="355"/>
      <c r="F682" s="355"/>
    </row>
    <row r="683">
      <c r="A683" s="355"/>
      <c r="B683" s="355"/>
      <c r="F683" s="355"/>
    </row>
    <row r="684">
      <c r="A684" s="355"/>
      <c r="B684" s="355"/>
      <c r="F684" s="355"/>
    </row>
    <row r="685">
      <c r="A685" s="355"/>
      <c r="B685" s="355"/>
      <c r="F685" s="355"/>
    </row>
    <row r="686">
      <c r="A686" s="355"/>
      <c r="B686" s="355"/>
      <c r="F686" s="355"/>
    </row>
    <row r="687">
      <c r="A687" s="355"/>
      <c r="B687" s="355"/>
      <c r="F687" s="355"/>
    </row>
    <row r="688">
      <c r="A688" s="355"/>
      <c r="B688" s="355"/>
      <c r="F688" s="355"/>
    </row>
    <row r="689">
      <c r="A689" s="355"/>
      <c r="B689" s="355"/>
      <c r="F689" s="355"/>
    </row>
    <row r="690">
      <c r="A690" s="355"/>
      <c r="B690" s="355"/>
      <c r="F690" s="355"/>
    </row>
    <row r="691">
      <c r="A691" s="355"/>
      <c r="B691" s="355"/>
      <c r="F691" s="355"/>
    </row>
    <row r="692">
      <c r="A692" s="355"/>
      <c r="B692" s="355"/>
      <c r="F692" s="355"/>
    </row>
    <row r="693">
      <c r="A693" s="355"/>
      <c r="B693" s="355"/>
      <c r="F693" s="355"/>
    </row>
    <row r="694">
      <c r="A694" s="355"/>
      <c r="B694" s="355"/>
      <c r="F694" s="355"/>
    </row>
    <row r="695">
      <c r="A695" s="355"/>
      <c r="B695" s="355"/>
      <c r="F695" s="355"/>
    </row>
    <row r="696">
      <c r="A696" s="355"/>
      <c r="B696" s="355"/>
      <c r="F696" s="355"/>
    </row>
    <row r="697">
      <c r="A697" s="355"/>
      <c r="B697" s="355"/>
      <c r="F697" s="355"/>
    </row>
    <row r="698">
      <c r="A698" s="355"/>
      <c r="B698" s="355"/>
      <c r="F698" s="355"/>
    </row>
    <row r="699">
      <c r="A699" s="355"/>
      <c r="B699" s="355"/>
      <c r="F699" s="355"/>
    </row>
    <row r="700">
      <c r="A700" s="355"/>
      <c r="B700" s="355"/>
      <c r="F700" s="355"/>
    </row>
    <row r="701">
      <c r="A701" s="355"/>
      <c r="B701" s="355"/>
      <c r="F701" s="355"/>
    </row>
    <row r="702">
      <c r="A702" s="355"/>
      <c r="B702" s="355"/>
      <c r="F702" s="355"/>
    </row>
    <row r="703">
      <c r="A703" s="355"/>
      <c r="B703" s="355"/>
      <c r="F703" s="355"/>
    </row>
    <row r="704">
      <c r="A704" s="355"/>
      <c r="B704" s="355"/>
      <c r="F704" s="355"/>
    </row>
    <row r="705">
      <c r="A705" s="355"/>
      <c r="B705" s="355"/>
      <c r="F705" s="355"/>
    </row>
    <row r="706">
      <c r="A706" s="355"/>
      <c r="B706" s="355"/>
      <c r="F706" s="355"/>
    </row>
    <row r="707">
      <c r="A707" s="355"/>
      <c r="B707" s="355"/>
      <c r="F707" s="355"/>
    </row>
    <row r="708">
      <c r="A708" s="355"/>
      <c r="B708" s="355"/>
      <c r="F708" s="355"/>
    </row>
    <row r="709">
      <c r="A709" s="355"/>
      <c r="B709" s="355"/>
      <c r="F709" s="355"/>
    </row>
    <row r="710">
      <c r="A710" s="355"/>
      <c r="B710" s="355"/>
      <c r="F710" s="355"/>
    </row>
    <row r="711">
      <c r="A711" s="355"/>
      <c r="B711" s="355"/>
      <c r="F711" s="355"/>
    </row>
    <row r="712">
      <c r="A712" s="355"/>
      <c r="B712" s="355"/>
      <c r="F712" s="355"/>
    </row>
    <row r="713">
      <c r="A713" s="355"/>
      <c r="B713" s="355"/>
      <c r="F713" s="355"/>
    </row>
    <row r="714">
      <c r="A714" s="355"/>
      <c r="B714" s="355"/>
      <c r="F714" s="355"/>
    </row>
    <row r="715">
      <c r="A715" s="355"/>
      <c r="B715" s="355"/>
      <c r="F715" s="355"/>
    </row>
    <row r="716">
      <c r="A716" s="355"/>
      <c r="B716" s="355"/>
      <c r="F716" s="355"/>
    </row>
    <row r="717">
      <c r="A717" s="355"/>
      <c r="B717" s="355"/>
      <c r="F717" s="355"/>
    </row>
    <row r="718">
      <c r="A718" s="355"/>
      <c r="B718" s="355"/>
      <c r="F718" s="355"/>
    </row>
    <row r="719">
      <c r="A719" s="355"/>
      <c r="B719" s="355"/>
      <c r="F719" s="355"/>
    </row>
    <row r="720">
      <c r="A720" s="355"/>
      <c r="B720" s="355"/>
      <c r="F720" s="355"/>
    </row>
    <row r="721">
      <c r="A721" s="355"/>
      <c r="B721" s="355"/>
      <c r="F721" s="355"/>
    </row>
    <row r="722">
      <c r="A722" s="355"/>
      <c r="B722" s="355"/>
      <c r="F722" s="355"/>
    </row>
    <row r="723">
      <c r="A723" s="355"/>
      <c r="B723" s="355"/>
      <c r="F723" s="355"/>
    </row>
    <row r="724">
      <c r="A724" s="355"/>
      <c r="B724" s="355"/>
      <c r="F724" s="355"/>
    </row>
    <row r="725">
      <c r="A725" s="355"/>
      <c r="B725" s="355"/>
      <c r="F725" s="355"/>
    </row>
    <row r="726">
      <c r="A726" s="355"/>
      <c r="B726" s="355"/>
      <c r="F726" s="355"/>
    </row>
    <row r="727">
      <c r="A727" s="355"/>
      <c r="B727" s="355"/>
      <c r="F727" s="355"/>
    </row>
    <row r="728">
      <c r="A728" s="355"/>
      <c r="B728" s="355"/>
      <c r="F728" s="355"/>
    </row>
    <row r="729">
      <c r="A729" s="355"/>
      <c r="B729" s="355"/>
      <c r="F729" s="355"/>
    </row>
    <row r="730">
      <c r="A730" s="355"/>
      <c r="B730" s="355"/>
      <c r="F730" s="355"/>
    </row>
    <row r="731">
      <c r="A731" s="355"/>
      <c r="B731" s="355"/>
      <c r="F731" s="355"/>
    </row>
    <row r="732">
      <c r="A732" s="355"/>
      <c r="B732" s="355"/>
      <c r="F732" s="355"/>
    </row>
    <row r="733">
      <c r="A733" s="355"/>
      <c r="B733" s="355"/>
      <c r="F733" s="355"/>
    </row>
    <row r="734">
      <c r="A734" s="355"/>
      <c r="B734" s="355"/>
      <c r="F734" s="355"/>
    </row>
    <row r="735">
      <c r="A735" s="355"/>
      <c r="B735" s="355"/>
      <c r="F735" s="355"/>
    </row>
    <row r="736">
      <c r="A736" s="355"/>
      <c r="B736" s="355"/>
      <c r="F736" s="355"/>
    </row>
    <row r="737">
      <c r="A737" s="355"/>
      <c r="B737" s="355"/>
      <c r="F737" s="355"/>
    </row>
    <row r="738">
      <c r="A738" s="355"/>
      <c r="B738" s="355"/>
      <c r="F738" s="355"/>
    </row>
    <row r="739">
      <c r="A739" s="355"/>
      <c r="B739" s="355"/>
      <c r="F739" s="355"/>
    </row>
    <row r="740">
      <c r="A740" s="355"/>
      <c r="B740" s="355"/>
      <c r="F740" s="355"/>
    </row>
    <row r="741">
      <c r="A741" s="355"/>
      <c r="B741" s="355"/>
      <c r="F741" s="355"/>
    </row>
    <row r="742">
      <c r="A742" s="355"/>
      <c r="B742" s="355"/>
      <c r="F742" s="355"/>
    </row>
    <row r="743">
      <c r="A743" s="355"/>
      <c r="B743" s="355"/>
      <c r="F743" s="355"/>
    </row>
    <row r="744">
      <c r="A744" s="355"/>
      <c r="B744" s="355"/>
      <c r="F744" s="355"/>
    </row>
    <row r="745">
      <c r="A745" s="355"/>
      <c r="B745" s="355"/>
      <c r="F745" s="355"/>
    </row>
    <row r="746">
      <c r="A746" s="355"/>
      <c r="B746" s="355"/>
      <c r="F746" s="355"/>
    </row>
    <row r="747">
      <c r="A747" s="355"/>
      <c r="B747" s="355"/>
      <c r="F747" s="355"/>
    </row>
    <row r="748">
      <c r="A748" s="355"/>
      <c r="B748" s="355"/>
      <c r="F748" s="355"/>
    </row>
    <row r="749">
      <c r="A749" s="355"/>
      <c r="B749" s="355"/>
      <c r="F749" s="355"/>
    </row>
    <row r="750">
      <c r="A750" s="355"/>
      <c r="B750" s="355"/>
      <c r="F750" s="355"/>
    </row>
    <row r="751">
      <c r="A751" s="355"/>
      <c r="B751" s="355"/>
      <c r="F751" s="355"/>
    </row>
    <row r="752">
      <c r="A752" s="355"/>
      <c r="B752" s="355"/>
      <c r="F752" s="355"/>
    </row>
    <row r="753">
      <c r="A753" s="355"/>
      <c r="B753" s="355"/>
      <c r="F753" s="355"/>
    </row>
    <row r="754">
      <c r="A754" s="355"/>
      <c r="B754" s="355"/>
      <c r="F754" s="355"/>
    </row>
    <row r="755">
      <c r="A755" s="355"/>
      <c r="B755" s="355"/>
      <c r="F755" s="355"/>
    </row>
    <row r="756">
      <c r="A756" s="355"/>
      <c r="B756" s="355"/>
      <c r="F756" s="355"/>
    </row>
    <row r="757">
      <c r="A757" s="355"/>
      <c r="B757" s="355"/>
      <c r="F757" s="355"/>
    </row>
    <row r="758">
      <c r="A758" s="355"/>
      <c r="B758" s="355"/>
      <c r="F758" s="355"/>
    </row>
    <row r="759">
      <c r="A759" s="355"/>
      <c r="B759" s="355"/>
      <c r="F759" s="355"/>
    </row>
    <row r="760">
      <c r="A760" s="355"/>
      <c r="B760" s="355"/>
      <c r="F760" s="355"/>
    </row>
    <row r="761">
      <c r="A761" s="355"/>
      <c r="B761" s="355"/>
      <c r="F761" s="355"/>
    </row>
    <row r="762">
      <c r="A762" s="355"/>
      <c r="B762" s="355"/>
      <c r="F762" s="355"/>
    </row>
    <row r="763">
      <c r="A763" s="355"/>
      <c r="B763" s="355"/>
      <c r="F763" s="355"/>
    </row>
    <row r="764">
      <c r="A764" s="355"/>
      <c r="B764" s="355"/>
      <c r="F764" s="355"/>
    </row>
    <row r="765">
      <c r="A765" s="355"/>
      <c r="B765" s="355"/>
      <c r="F765" s="355"/>
    </row>
    <row r="766">
      <c r="A766" s="355"/>
      <c r="B766" s="355"/>
      <c r="F766" s="355"/>
    </row>
    <row r="767">
      <c r="A767" s="355"/>
      <c r="B767" s="355"/>
      <c r="F767" s="355"/>
    </row>
    <row r="768">
      <c r="A768" s="355"/>
      <c r="B768" s="355"/>
      <c r="F768" s="355"/>
    </row>
    <row r="769">
      <c r="A769" s="355"/>
      <c r="B769" s="355"/>
      <c r="F769" s="355"/>
    </row>
    <row r="770">
      <c r="A770" s="355"/>
      <c r="B770" s="355"/>
      <c r="F770" s="355"/>
    </row>
    <row r="771">
      <c r="A771" s="355"/>
      <c r="B771" s="355"/>
      <c r="F771" s="355"/>
    </row>
    <row r="772">
      <c r="A772" s="355"/>
      <c r="B772" s="355"/>
      <c r="F772" s="355"/>
    </row>
    <row r="773">
      <c r="A773" s="355"/>
      <c r="B773" s="355"/>
      <c r="F773" s="355"/>
    </row>
    <row r="774">
      <c r="A774" s="355"/>
      <c r="B774" s="355"/>
      <c r="F774" s="355"/>
    </row>
    <row r="775">
      <c r="A775" s="355"/>
      <c r="B775" s="355"/>
      <c r="F775" s="355"/>
    </row>
    <row r="776">
      <c r="A776" s="355"/>
      <c r="B776" s="355"/>
      <c r="F776" s="355"/>
    </row>
    <row r="777">
      <c r="A777" s="355"/>
      <c r="B777" s="355"/>
      <c r="F777" s="355"/>
    </row>
    <row r="778">
      <c r="A778" s="355"/>
      <c r="B778" s="355"/>
      <c r="F778" s="355"/>
    </row>
    <row r="779">
      <c r="A779" s="355"/>
      <c r="B779" s="355"/>
      <c r="F779" s="355"/>
    </row>
    <row r="780">
      <c r="A780" s="355"/>
      <c r="B780" s="355"/>
      <c r="F780" s="355"/>
    </row>
    <row r="781">
      <c r="A781" s="355"/>
      <c r="B781" s="355"/>
      <c r="F781" s="355"/>
    </row>
    <row r="782">
      <c r="A782" s="355"/>
      <c r="B782" s="355"/>
      <c r="F782" s="355"/>
    </row>
    <row r="783">
      <c r="A783" s="355"/>
      <c r="B783" s="355"/>
      <c r="F783" s="355"/>
    </row>
    <row r="784">
      <c r="A784" s="355"/>
      <c r="B784" s="355"/>
      <c r="F784" s="355"/>
    </row>
    <row r="785">
      <c r="A785" s="355"/>
      <c r="B785" s="355"/>
      <c r="F785" s="355"/>
    </row>
    <row r="786">
      <c r="A786" s="355"/>
      <c r="B786" s="355"/>
      <c r="F786" s="355"/>
    </row>
    <row r="787">
      <c r="A787" s="355"/>
      <c r="B787" s="355"/>
      <c r="F787" s="355"/>
    </row>
    <row r="788">
      <c r="A788" s="355"/>
      <c r="B788" s="355"/>
      <c r="F788" s="355"/>
    </row>
    <row r="789">
      <c r="A789" s="355"/>
      <c r="B789" s="355"/>
      <c r="F789" s="355"/>
    </row>
    <row r="790">
      <c r="A790" s="355"/>
      <c r="B790" s="355"/>
      <c r="F790" s="355"/>
    </row>
    <row r="791">
      <c r="A791" s="355"/>
      <c r="B791" s="355"/>
      <c r="F791" s="355"/>
    </row>
    <row r="792">
      <c r="A792" s="355"/>
      <c r="B792" s="355"/>
      <c r="F792" s="355"/>
    </row>
    <row r="793">
      <c r="A793" s="355"/>
      <c r="B793" s="355"/>
      <c r="F793" s="355"/>
    </row>
    <row r="794">
      <c r="A794" s="355"/>
      <c r="B794" s="355"/>
      <c r="F794" s="355"/>
    </row>
    <row r="795">
      <c r="A795" s="355"/>
      <c r="B795" s="355"/>
      <c r="F795" s="355"/>
    </row>
    <row r="796">
      <c r="A796" s="355"/>
      <c r="B796" s="355"/>
      <c r="F796" s="355"/>
    </row>
    <row r="797">
      <c r="A797" s="355"/>
      <c r="B797" s="355"/>
      <c r="F797" s="355"/>
    </row>
    <row r="798">
      <c r="A798" s="355"/>
      <c r="B798" s="355"/>
      <c r="F798" s="355"/>
    </row>
    <row r="799">
      <c r="A799" s="355"/>
      <c r="B799" s="355"/>
      <c r="F799" s="355"/>
    </row>
    <row r="800">
      <c r="A800" s="355"/>
      <c r="B800" s="355"/>
      <c r="F800" s="355"/>
    </row>
    <row r="801">
      <c r="A801" s="355"/>
      <c r="B801" s="355"/>
      <c r="F801" s="355"/>
    </row>
    <row r="802">
      <c r="A802" s="355"/>
      <c r="B802" s="355"/>
      <c r="F802" s="355"/>
    </row>
    <row r="803">
      <c r="A803" s="355"/>
      <c r="B803" s="355"/>
      <c r="F803" s="355"/>
    </row>
    <row r="804">
      <c r="A804" s="355"/>
      <c r="B804" s="355"/>
      <c r="F804" s="355"/>
    </row>
    <row r="805">
      <c r="A805" s="355"/>
      <c r="B805" s="355"/>
      <c r="F805" s="355"/>
    </row>
    <row r="806">
      <c r="A806" s="355"/>
      <c r="B806" s="355"/>
      <c r="F806" s="355"/>
    </row>
    <row r="807">
      <c r="A807" s="355"/>
      <c r="B807" s="355"/>
      <c r="F807" s="355"/>
    </row>
    <row r="808">
      <c r="A808" s="355"/>
      <c r="B808" s="355"/>
      <c r="F808" s="355"/>
    </row>
    <row r="809">
      <c r="A809" s="355"/>
      <c r="B809" s="355"/>
      <c r="F809" s="355"/>
    </row>
    <row r="810">
      <c r="A810" s="355"/>
      <c r="B810" s="355"/>
      <c r="F810" s="355"/>
    </row>
    <row r="811">
      <c r="A811" s="355"/>
      <c r="B811" s="355"/>
      <c r="F811" s="355"/>
    </row>
    <row r="812">
      <c r="A812" s="355"/>
      <c r="B812" s="355"/>
      <c r="F812" s="355"/>
    </row>
    <row r="813">
      <c r="A813" s="355"/>
      <c r="B813" s="355"/>
      <c r="F813" s="355"/>
    </row>
    <row r="814">
      <c r="A814" s="355"/>
      <c r="B814" s="355"/>
      <c r="F814" s="355"/>
    </row>
    <row r="815">
      <c r="A815" s="355"/>
      <c r="B815" s="355"/>
      <c r="F815" s="355"/>
    </row>
    <row r="816">
      <c r="A816" s="355"/>
      <c r="B816" s="355"/>
      <c r="F816" s="355"/>
    </row>
    <row r="817">
      <c r="A817" s="355"/>
      <c r="B817" s="355"/>
      <c r="F817" s="355"/>
    </row>
    <row r="818">
      <c r="A818" s="355"/>
      <c r="B818" s="355"/>
      <c r="F818" s="355"/>
    </row>
    <row r="819">
      <c r="A819" s="355"/>
      <c r="B819" s="355"/>
      <c r="F819" s="355"/>
    </row>
    <row r="820">
      <c r="A820" s="355"/>
      <c r="B820" s="355"/>
      <c r="F820" s="355"/>
    </row>
    <row r="821">
      <c r="A821" s="355"/>
      <c r="B821" s="355"/>
      <c r="F821" s="355"/>
    </row>
    <row r="822">
      <c r="A822" s="355"/>
      <c r="B822" s="355"/>
      <c r="F822" s="355"/>
    </row>
    <row r="823">
      <c r="A823" s="355"/>
      <c r="B823" s="355"/>
      <c r="F823" s="355"/>
    </row>
    <row r="824">
      <c r="A824" s="355"/>
      <c r="B824" s="355"/>
      <c r="F824" s="355"/>
    </row>
    <row r="825">
      <c r="A825" s="355"/>
      <c r="B825" s="355"/>
      <c r="F825" s="355"/>
    </row>
    <row r="826">
      <c r="A826" s="355"/>
      <c r="B826" s="355"/>
      <c r="F826" s="355"/>
    </row>
    <row r="827">
      <c r="A827" s="355"/>
      <c r="B827" s="355"/>
      <c r="F827" s="355"/>
    </row>
    <row r="828">
      <c r="A828" s="355"/>
      <c r="B828" s="355"/>
      <c r="F828" s="355"/>
    </row>
    <row r="829">
      <c r="A829" s="355"/>
      <c r="B829" s="355"/>
      <c r="F829" s="355"/>
    </row>
    <row r="830">
      <c r="A830" s="355"/>
      <c r="B830" s="355"/>
      <c r="F830" s="355"/>
    </row>
    <row r="831">
      <c r="A831" s="355"/>
      <c r="B831" s="355"/>
      <c r="F831" s="355"/>
    </row>
    <row r="832">
      <c r="A832" s="355"/>
      <c r="B832" s="355"/>
      <c r="F832" s="355"/>
    </row>
    <row r="833">
      <c r="A833" s="355"/>
      <c r="B833" s="355"/>
      <c r="F833" s="355"/>
    </row>
    <row r="834">
      <c r="A834" s="355"/>
      <c r="B834" s="355"/>
      <c r="F834" s="355"/>
    </row>
    <row r="835">
      <c r="A835" s="355"/>
      <c r="B835" s="355"/>
      <c r="F835" s="355"/>
    </row>
    <row r="836">
      <c r="A836" s="355"/>
      <c r="B836" s="355"/>
      <c r="F836" s="355"/>
    </row>
    <row r="837">
      <c r="A837" s="355"/>
      <c r="B837" s="355"/>
      <c r="F837" s="355"/>
    </row>
    <row r="838">
      <c r="A838" s="355"/>
      <c r="B838" s="355"/>
      <c r="F838" s="355"/>
    </row>
    <row r="839">
      <c r="A839" s="355"/>
      <c r="B839" s="355"/>
      <c r="F839" s="355"/>
    </row>
    <row r="840">
      <c r="A840" s="355"/>
      <c r="B840" s="355"/>
      <c r="F840" s="355"/>
    </row>
    <row r="841">
      <c r="A841" s="355"/>
      <c r="B841" s="355"/>
      <c r="F841" s="355"/>
    </row>
    <row r="842">
      <c r="A842" s="355"/>
      <c r="B842" s="355"/>
      <c r="F842" s="355"/>
    </row>
    <row r="843">
      <c r="A843" s="355"/>
      <c r="B843" s="355"/>
      <c r="F843" s="355"/>
    </row>
    <row r="844">
      <c r="A844" s="355"/>
      <c r="B844" s="355"/>
      <c r="F844" s="355"/>
    </row>
    <row r="845">
      <c r="A845" s="355"/>
      <c r="B845" s="355"/>
      <c r="F845" s="355"/>
    </row>
    <row r="846">
      <c r="A846" s="355"/>
      <c r="B846" s="355"/>
      <c r="F846" s="355"/>
    </row>
    <row r="847">
      <c r="A847" s="355"/>
      <c r="B847" s="355"/>
      <c r="F847" s="355"/>
    </row>
    <row r="848">
      <c r="A848" s="355"/>
      <c r="B848" s="355"/>
      <c r="F848" s="355"/>
    </row>
    <row r="849">
      <c r="A849" s="355"/>
      <c r="B849" s="355"/>
      <c r="F849" s="355"/>
    </row>
    <row r="850">
      <c r="A850" s="355"/>
      <c r="B850" s="355"/>
      <c r="F850" s="355"/>
    </row>
    <row r="851">
      <c r="A851" s="355"/>
      <c r="B851" s="355"/>
      <c r="F851" s="355"/>
    </row>
    <row r="852">
      <c r="A852" s="355"/>
      <c r="B852" s="355"/>
      <c r="F852" s="355"/>
    </row>
    <row r="853">
      <c r="A853" s="355"/>
      <c r="B853" s="355"/>
      <c r="F853" s="355"/>
    </row>
    <row r="854">
      <c r="A854" s="355"/>
      <c r="B854" s="355"/>
      <c r="F854" s="355"/>
    </row>
    <row r="855">
      <c r="A855" s="355"/>
      <c r="B855" s="355"/>
      <c r="F855" s="355"/>
    </row>
    <row r="856">
      <c r="A856" s="355"/>
      <c r="B856" s="355"/>
      <c r="F856" s="355"/>
    </row>
    <row r="857">
      <c r="A857" s="355"/>
      <c r="B857" s="355"/>
      <c r="F857" s="355"/>
    </row>
    <row r="858">
      <c r="A858" s="355"/>
      <c r="B858" s="355"/>
      <c r="F858" s="355"/>
    </row>
    <row r="859">
      <c r="A859" s="355"/>
      <c r="B859" s="355"/>
      <c r="F859" s="355"/>
    </row>
    <row r="860">
      <c r="A860" s="355"/>
      <c r="B860" s="355"/>
      <c r="F860" s="355"/>
    </row>
    <row r="861">
      <c r="A861" s="355"/>
      <c r="B861" s="355"/>
      <c r="F861" s="355"/>
    </row>
    <row r="862">
      <c r="A862" s="355"/>
      <c r="B862" s="355"/>
      <c r="F862" s="355"/>
    </row>
    <row r="863">
      <c r="A863" s="355"/>
      <c r="B863" s="355"/>
      <c r="F863" s="355"/>
    </row>
    <row r="864">
      <c r="A864" s="355"/>
      <c r="B864" s="355"/>
      <c r="F864" s="355"/>
    </row>
    <row r="865">
      <c r="A865" s="355"/>
      <c r="B865" s="355"/>
      <c r="F865" s="355"/>
    </row>
    <row r="866">
      <c r="A866" s="355"/>
      <c r="B866" s="355"/>
      <c r="F866" s="355"/>
    </row>
    <row r="867">
      <c r="A867" s="355"/>
      <c r="B867" s="355"/>
      <c r="F867" s="355"/>
    </row>
    <row r="868">
      <c r="A868" s="355"/>
      <c r="B868" s="355"/>
      <c r="F868" s="355"/>
    </row>
    <row r="869">
      <c r="A869" s="355"/>
      <c r="B869" s="355"/>
      <c r="F869" s="355"/>
    </row>
    <row r="870">
      <c r="A870" s="355"/>
      <c r="B870" s="355"/>
      <c r="F870" s="355"/>
    </row>
    <row r="871">
      <c r="A871" s="355"/>
      <c r="B871" s="355"/>
      <c r="F871" s="355"/>
    </row>
    <row r="872">
      <c r="A872" s="355"/>
      <c r="B872" s="355"/>
      <c r="F872" s="355"/>
    </row>
    <row r="873">
      <c r="A873" s="355"/>
      <c r="B873" s="355"/>
      <c r="F873" s="355"/>
    </row>
    <row r="874">
      <c r="A874" s="355"/>
      <c r="B874" s="355"/>
      <c r="F874" s="355"/>
    </row>
    <row r="875">
      <c r="A875" s="355"/>
      <c r="B875" s="355"/>
      <c r="F875" s="355"/>
    </row>
    <row r="876">
      <c r="A876" s="355"/>
      <c r="B876" s="355"/>
      <c r="F876" s="355"/>
    </row>
    <row r="877">
      <c r="A877" s="355"/>
      <c r="B877" s="355"/>
      <c r="F877" s="355"/>
    </row>
    <row r="878">
      <c r="A878" s="355"/>
      <c r="B878" s="355"/>
      <c r="F878" s="355"/>
    </row>
    <row r="879">
      <c r="A879" s="355"/>
      <c r="B879" s="355"/>
      <c r="F879" s="355"/>
    </row>
    <row r="880">
      <c r="A880" s="355"/>
      <c r="B880" s="355"/>
      <c r="F880" s="355"/>
    </row>
    <row r="881">
      <c r="A881" s="355"/>
      <c r="B881" s="355"/>
      <c r="F881" s="355"/>
    </row>
    <row r="882">
      <c r="A882" s="355"/>
      <c r="B882" s="355"/>
      <c r="F882" s="355"/>
    </row>
    <row r="883">
      <c r="A883" s="355"/>
      <c r="B883" s="355"/>
      <c r="F883" s="355"/>
    </row>
    <row r="884">
      <c r="A884" s="355"/>
      <c r="B884" s="355"/>
      <c r="F884" s="355"/>
    </row>
    <row r="885">
      <c r="A885" s="355"/>
      <c r="B885" s="355"/>
      <c r="F885" s="355"/>
    </row>
    <row r="886">
      <c r="A886" s="355"/>
      <c r="B886" s="355"/>
      <c r="F886" s="355"/>
    </row>
    <row r="887">
      <c r="A887" s="355"/>
      <c r="B887" s="355"/>
      <c r="F887" s="355"/>
    </row>
    <row r="888">
      <c r="A888" s="355"/>
      <c r="B888" s="355"/>
      <c r="F888" s="355"/>
    </row>
    <row r="889">
      <c r="A889" s="355"/>
      <c r="B889" s="355"/>
      <c r="F889" s="355"/>
    </row>
    <row r="890">
      <c r="A890" s="355"/>
      <c r="B890" s="355"/>
      <c r="F890" s="355"/>
    </row>
    <row r="891">
      <c r="A891" s="355"/>
      <c r="B891" s="355"/>
      <c r="F891" s="355"/>
    </row>
    <row r="892">
      <c r="A892" s="355"/>
      <c r="B892" s="355"/>
      <c r="F892" s="355"/>
    </row>
    <row r="893">
      <c r="A893" s="355"/>
      <c r="B893" s="355"/>
      <c r="F893" s="355"/>
    </row>
    <row r="894">
      <c r="A894" s="355"/>
      <c r="B894" s="355"/>
      <c r="F894" s="355"/>
    </row>
    <row r="895">
      <c r="A895" s="355"/>
      <c r="B895" s="355"/>
      <c r="F895" s="355"/>
    </row>
    <row r="896">
      <c r="A896" s="355"/>
      <c r="B896" s="355"/>
      <c r="F896" s="355"/>
    </row>
    <row r="897">
      <c r="A897" s="355"/>
      <c r="B897" s="355"/>
      <c r="F897" s="355"/>
    </row>
    <row r="898">
      <c r="A898" s="355"/>
      <c r="B898" s="355"/>
      <c r="F898" s="355"/>
    </row>
    <row r="899">
      <c r="A899" s="355"/>
      <c r="B899" s="355"/>
      <c r="F899" s="355"/>
    </row>
    <row r="900">
      <c r="A900" s="355"/>
      <c r="B900" s="355"/>
      <c r="F900" s="355"/>
    </row>
    <row r="901">
      <c r="A901" s="355"/>
      <c r="B901" s="355"/>
      <c r="F901" s="355"/>
    </row>
    <row r="902">
      <c r="A902" s="355"/>
      <c r="B902" s="355"/>
      <c r="F902" s="355"/>
    </row>
    <row r="903">
      <c r="A903" s="355"/>
      <c r="B903" s="355"/>
      <c r="F903" s="355"/>
    </row>
    <row r="904">
      <c r="A904" s="355"/>
      <c r="B904" s="355"/>
      <c r="F904" s="355"/>
    </row>
    <row r="905">
      <c r="A905" s="355"/>
      <c r="B905" s="355"/>
      <c r="F905" s="355"/>
    </row>
    <row r="906">
      <c r="A906" s="355"/>
      <c r="B906" s="355"/>
      <c r="F906" s="355"/>
    </row>
    <row r="907">
      <c r="A907" s="355"/>
      <c r="B907" s="355"/>
      <c r="F907" s="355"/>
    </row>
    <row r="908">
      <c r="A908" s="355"/>
      <c r="B908" s="355"/>
      <c r="F908" s="355"/>
    </row>
    <row r="909">
      <c r="A909" s="355"/>
      <c r="B909" s="355"/>
      <c r="F909" s="355"/>
    </row>
    <row r="910">
      <c r="A910" s="355"/>
      <c r="B910" s="355"/>
      <c r="F910" s="355"/>
    </row>
    <row r="911">
      <c r="A911" s="355"/>
      <c r="B911" s="355"/>
      <c r="F911" s="355"/>
    </row>
    <row r="912">
      <c r="A912" s="355"/>
      <c r="B912" s="355"/>
      <c r="F912" s="355"/>
    </row>
    <row r="913">
      <c r="A913" s="355"/>
      <c r="B913" s="355"/>
      <c r="F913" s="355"/>
    </row>
    <row r="914">
      <c r="A914" s="355"/>
      <c r="B914" s="355"/>
      <c r="F914" s="355"/>
    </row>
    <row r="915">
      <c r="A915" s="355"/>
      <c r="B915" s="355"/>
      <c r="F915" s="355"/>
    </row>
    <row r="916">
      <c r="A916" s="355"/>
      <c r="B916" s="355"/>
      <c r="F916" s="355"/>
    </row>
    <row r="917">
      <c r="A917" s="355"/>
      <c r="B917" s="355"/>
      <c r="F917" s="355"/>
    </row>
    <row r="918">
      <c r="A918" s="355"/>
      <c r="B918" s="355"/>
      <c r="F918" s="355"/>
    </row>
    <row r="919">
      <c r="A919" s="355"/>
      <c r="B919" s="355"/>
      <c r="F919" s="355"/>
    </row>
    <row r="920">
      <c r="A920" s="355"/>
      <c r="B920" s="355"/>
      <c r="F920" s="355"/>
    </row>
    <row r="921">
      <c r="A921" s="355"/>
      <c r="B921" s="355"/>
      <c r="F921" s="355"/>
    </row>
    <row r="922">
      <c r="A922" s="355"/>
      <c r="B922" s="355"/>
      <c r="F922" s="355"/>
    </row>
    <row r="923">
      <c r="A923" s="355"/>
      <c r="B923" s="355"/>
      <c r="F923" s="355"/>
    </row>
    <row r="924">
      <c r="A924" s="355"/>
      <c r="B924" s="355"/>
      <c r="F924" s="355"/>
    </row>
    <row r="925">
      <c r="A925" s="355"/>
      <c r="B925" s="355"/>
      <c r="F925" s="355"/>
    </row>
    <row r="926">
      <c r="A926" s="355"/>
      <c r="B926" s="355"/>
      <c r="F926" s="355"/>
    </row>
    <row r="927">
      <c r="A927" s="355"/>
      <c r="B927" s="355"/>
      <c r="F927" s="355"/>
    </row>
    <row r="928">
      <c r="A928" s="355"/>
      <c r="B928" s="355"/>
      <c r="F928" s="355"/>
    </row>
    <row r="929">
      <c r="A929" s="355"/>
      <c r="B929" s="355"/>
      <c r="F929" s="355"/>
    </row>
    <row r="930">
      <c r="A930" s="355"/>
      <c r="B930" s="355"/>
      <c r="F930" s="355"/>
    </row>
    <row r="931">
      <c r="A931" s="355"/>
      <c r="B931" s="355"/>
      <c r="F931" s="355"/>
    </row>
    <row r="932">
      <c r="A932" s="355"/>
      <c r="B932" s="355"/>
      <c r="F932" s="355"/>
    </row>
    <row r="933">
      <c r="A933" s="355"/>
      <c r="B933" s="355"/>
      <c r="F933" s="355"/>
    </row>
    <row r="934">
      <c r="A934" s="355"/>
      <c r="B934" s="355"/>
      <c r="F934" s="355"/>
    </row>
    <row r="935">
      <c r="A935" s="355"/>
      <c r="B935" s="355"/>
      <c r="F935" s="355"/>
    </row>
    <row r="936">
      <c r="A936" s="355"/>
      <c r="B936" s="355"/>
      <c r="F936" s="355"/>
    </row>
    <row r="937">
      <c r="A937" s="355"/>
      <c r="B937" s="355"/>
      <c r="F937" s="355"/>
    </row>
    <row r="938">
      <c r="A938" s="355"/>
      <c r="B938" s="355"/>
      <c r="F938" s="355"/>
    </row>
    <row r="939">
      <c r="A939" s="355"/>
      <c r="B939" s="355"/>
      <c r="F939" s="355"/>
    </row>
    <row r="940">
      <c r="A940" s="355"/>
      <c r="B940" s="355"/>
      <c r="F940" s="355"/>
    </row>
    <row r="941">
      <c r="A941" s="355"/>
      <c r="B941" s="355"/>
      <c r="F941" s="355"/>
    </row>
    <row r="942">
      <c r="A942" s="355"/>
      <c r="B942" s="355"/>
      <c r="F942" s="355"/>
    </row>
    <row r="943">
      <c r="A943" s="355"/>
      <c r="B943" s="355"/>
      <c r="F943" s="355"/>
    </row>
    <row r="944">
      <c r="A944" s="355"/>
      <c r="B944" s="355"/>
      <c r="F944" s="355"/>
    </row>
    <row r="945">
      <c r="A945" s="355"/>
      <c r="B945" s="355"/>
      <c r="F945" s="355"/>
    </row>
    <row r="946">
      <c r="A946" s="355"/>
      <c r="B946" s="355"/>
      <c r="F946" s="355"/>
    </row>
    <row r="947">
      <c r="A947" s="355"/>
      <c r="B947" s="355"/>
      <c r="F947" s="355"/>
    </row>
    <row r="948">
      <c r="A948" s="355"/>
      <c r="B948" s="355"/>
      <c r="F948" s="355"/>
    </row>
    <row r="949">
      <c r="A949" s="355"/>
      <c r="B949" s="355"/>
      <c r="F949" s="355"/>
    </row>
    <row r="950">
      <c r="A950" s="355"/>
      <c r="B950" s="355"/>
      <c r="F950" s="355"/>
    </row>
    <row r="951">
      <c r="A951" s="355"/>
      <c r="B951" s="355"/>
      <c r="F951" s="355"/>
    </row>
    <row r="952">
      <c r="A952" s="355"/>
      <c r="B952" s="355"/>
      <c r="F952" s="355"/>
    </row>
    <row r="953">
      <c r="A953" s="355"/>
      <c r="B953" s="355"/>
      <c r="F953" s="355"/>
    </row>
    <row r="954">
      <c r="A954" s="355"/>
      <c r="B954" s="355"/>
      <c r="F954" s="355"/>
    </row>
    <row r="955">
      <c r="A955" s="355"/>
      <c r="B955" s="355"/>
      <c r="F955" s="355"/>
    </row>
    <row r="956">
      <c r="A956" s="355"/>
      <c r="B956" s="355"/>
      <c r="F956" s="355"/>
    </row>
    <row r="957">
      <c r="A957" s="355"/>
      <c r="B957" s="355"/>
      <c r="F957" s="355"/>
    </row>
    <row r="958">
      <c r="A958" s="355"/>
      <c r="B958" s="355"/>
      <c r="F958" s="355"/>
    </row>
    <row r="959">
      <c r="A959" s="355"/>
      <c r="B959" s="355"/>
      <c r="F959" s="355"/>
    </row>
    <row r="960">
      <c r="A960" s="355"/>
      <c r="B960" s="355"/>
      <c r="F960" s="355"/>
    </row>
    <row r="961">
      <c r="A961" s="355"/>
      <c r="B961" s="355"/>
      <c r="F961" s="355"/>
    </row>
    <row r="962">
      <c r="A962" s="355"/>
      <c r="B962" s="355"/>
      <c r="F962" s="355"/>
    </row>
    <row r="963">
      <c r="A963" s="355"/>
      <c r="B963" s="355"/>
      <c r="F963" s="355"/>
    </row>
    <row r="964">
      <c r="A964" s="355"/>
      <c r="B964" s="355"/>
      <c r="F964" s="355"/>
    </row>
    <row r="965">
      <c r="A965" s="355"/>
      <c r="B965" s="355"/>
      <c r="F965" s="355"/>
    </row>
    <row r="966">
      <c r="A966" s="355"/>
      <c r="B966" s="355"/>
      <c r="F966" s="355"/>
    </row>
    <row r="967">
      <c r="A967" s="355"/>
      <c r="B967" s="355"/>
      <c r="F967" s="355"/>
    </row>
    <row r="968">
      <c r="A968" s="355"/>
      <c r="B968" s="355"/>
      <c r="F968" s="355"/>
    </row>
    <row r="969">
      <c r="A969" s="355"/>
      <c r="B969" s="355"/>
      <c r="F969" s="355"/>
    </row>
    <row r="970">
      <c r="A970" s="355"/>
      <c r="B970" s="355"/>
      <c r="F970" s="355"/>
    </row>
    <row r="971">
      <c r="A971" s="355"/>
      <c r="B971" s="355"/>
      <c r="F971" s="355"/>
    </row>
    <row r="972">
      <c r="A972" s="355"/>
      <c r="B972" s="355"/>
      <c r="F972" s="355"/>
    </row>
    <row r="973">
      <c r="A973" s="355"/>
      <c r="B973" s="355"/>
      <c r="F973" s="355"/>
    </row>
    <row r="974">
      <c r="A974" s="355"/>
      <c r="B974" s="355"/>
      <c r="F974" s="355"/>
    </row>
    <row r="975">
      <c r="A975" s="355"/>
      <c r="B975" s="355"/>
      <c r="F975" s="355"/>
    </row>
    <row r="976">
      <c r="A976" s="355"/>
      <c r="B976" s="355"/>
      <c r="F976" s="355"/>
    </row>
    <row r="977">
      <c r="A977" s="355"/>
      <c r="B977" s="355"/>
      <c r="F977" s="355"/>
    </row>
    <row r="978">
      <c r="A978" s="355"/>
      <c r="B978" s="355"/>
      <c r="F978" s="355"/>
    </row>
    <row r="979">
      <c r="A979" s="355"/>
      <c r="B979" s="355"/>
      <c r="F979" s="355"/>
    </row>
    <row r="980">
      <c r="A980" s="355"/>
      <c r="B980" s="355"/>
      <c r="F980" s="355"/>
    </row>
    <row r="981">
      <c r="A981" s="355"/>
      <c r="B981" s="355"/>
      <c r="F981" s="355"/>
    </row>
    <row r="982">
      <c r="A982" s="355"/>
      <c r="B982" s="355"/>
      <c r="F982" s="355"/>
    </row>
    <row r="983">
      <c r="A983" s="355"/>
      <c r="B983" s="355"/>
      <c r="F983" s="355"/>
    </row>
    <row r="984">
      <c r="A984" s="355"/>
      <c r="B984" s="355"/>
      <c r="F984" s="355"/>
    </row>
    <row r="985">
      <c r="A985" s="355"/>
      <c r="B985" s="355"/>
      <c r="F985" s="355"/>
    </row>
    <row r="986">
      <c r="A986" s="355"/>
      <c r="B986" s="355"/>
      <c r="F986" s="355"/>
    </row>
    <row r="987">
      <c r="A987" s="355"/>
      <c r="B987" s="355"/>
      <c r="F987" s="355"/>
    </row>
    <row r="988">
      <c r="A988" s="355"/>
      <c r="B988" s="355"/>
      <c r="F988" s="355"/>
    </row>
    <row r="989">
      <c r="A989" s="355"/>
      <c r="B989" s="355"/>
      <c r="F989" s="355"/>
    </row>
    <row r="990">
      <c r="A990" s="355"/>
      <c r="B990" s="355"/>
      <c r="F990" s="355"/>
    </row>
    <row r="991">
      <c r="A991" s="355"/>
      <c r="B991" s="355"/>
      <c r="F991" s="355"/>
    </row>
    <row r="992">
      <c r="A992" s="355"/>
      <c r="B992" s="355"/>
      <c r="F992" s="355"/>
    </row>
  </sheetData>
  <mergeCells count="7">
    <mergeCell ref="B3:F3"/>
    <mergeCell ref="B9:F9"/>
    <mergeCell ref="B15:F15"/>
    <mergeCell ref="B17:F17"/>
    <mergeCell ref="B25:F25"/>
    <mergeCell ref="B26:F26"/>
    <mergeCell ref="B49:F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 ht="47.25" customHeight="1">
      <c r="A3" s="366"/>
      <c r="B3" s="366" t="s">
        <v>345</v>
      </c>
      <c r="C3" s="366" t="s">
        <v>346</v>
      </c>
      <c r="D3" s="366"/>
    </row>
    <row r="4" ht="47.25" customHeight="1">
      <c r="A4" s="366" t="s">
        <v>347</v>
      </c>
      <c r="B4" s="366">
        <v>2.0</v>
      </c>
      <c r="C4" s="366"/>
      <c r="D4" s="366"/>
    </row>
    <row r="5">
      <c r="A5" s="366" t="s">
        <v>348</v>
      </c>
      <c r="B5" s="366">
        <v>2.0</v>
      </c>
      <c r="C5" s="366"/>
      <c r="D5" s="366"/>
    </row>
    <row r="6" ht="48.0" customHeight="1">
      <c r="A6" s="366" t="s">
        <v>349</v>
      </c>
      <c r="B6" s="366">
        <v>2.0</v>
      </c>
      <c r="C6" s="366"/>
      <c r="D6" s="366"/>
    </row>
    <row r="7" ht="41.25" customHeight="1">
      <c r="A7" s="366" t="s">
        <v>350</v>
      </c>
      <c r="B7" s="366">
        <v>2.0</v>
      </c>
      <c r="C7" s="366"/>
      <c r="D7" s="366"/>
    </row>
    <row r="8">
      <c r="A8" s="366" t="s">
        <v>351</v>
      </c>
      <c r="B8" s="366">
        <v>2.0</v>
      </c>
      <c r="C8" s="366"/>
      <c r="D8" s="366"/>
    </row>
    <row r="9" ht="45.75" customHeight="1">
      <c r="A9" s="366" t="s">
        <v>352</v>
      </c>
      <c r="B9" s="366">
        <v>2.0</v>
      </c>
      <c r="C9" s="366"/>
      <c r="D9" s="366"/>
    </row>
    <row r="10" ht="45.75" customHeight="1">
      <c r="A10" s="366" t="s">
        <v>353</v>
      </c>
      <c r="B10" s="366" t="s">
        <v>354</v>
      </c>
      <c r="C10" s="366"/>
      <c r="D10" s="366"/>
    </row>
    <row r="11">
      <c r="A11" s="366" t="s">
        <v>355</v>
      </c>
      <c r="B11" s="366">
        <v>2.0</v>
      </c>
      <c r="C11" s="366"/>
      <c r="D11" s="36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57"/>
    <col customWidth="1" min="3" max="3" width="10.14"/>
    <col customWidth="1" min="4" max="10" width="7.57"/>
    <col customWidth="1" min="11" max="11" width="9.29"/>
    <col customWidth="1" min="12" max="12" width="13.14"/>
    <col customWidth="1" min="13" max="13" width="10.86"/>
    <col customWidth="1" min="14" max="15" width="7.57"/>
    <col customWidth="1" min="16" max="16" width="10.29"/>
    <col customWidth="1" min="17" max="19" width="7.57"/>
    <col customWidth="1" min="20" max="20" width="19.14"/>
    <col customWidth="1" min="21" max="21" width="11.0"/>
    <col customWidth="1" min="22" max="22" width="9.14"/>
    <col customWidth="1" min="23" max="23" width="7.57"/>
    <col customWidth="1" min="24" max="30" width="5.71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356</v>
      </c>
      <c r="X1" s="141"/>
      <c r="Y1" s="142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9.5" customHeight="1">
      <c r="A2" s="5" t="s">
        <v>357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7"/>
      <c r="AN2" s="6"/>
      <c r="AO2" s="6"/>
      <c r="AP2" s="6"/>
    </row>
    <row r="3" ht="19.5" customHeight="1">
      <c r="A3" s="8"/>
      <c r="B3" s="8"/>
      <c r="C3" s="8"/>
      <c r="D3" s="8"/>
      <c r="E3" s="8"/>
      <c r="F3" s="8"/>
      <c r="G3" s="8"/>
      <c r="H3" s="8"/>
      <c r="I3" s="8"/>
      <c r="J3" s="9" t="s">
        <v>358</v>
      </c>
      <c r="K3" s="10"/>
      <c r="L3" s="10"/>
      <c r="M3" s="10"/>
      <c r="N3" s="10"/>
      <c r="O3" s="8"/>
      <c r="P3" s="8"/>
      <c r="Q3" s="8"/>
      <c r="R3" s="8"/>
      <c r="S3" s="8"/>
      <c r="T3" s="8"/>
      <c r="U3" s="8"/>
      <c r="V3" s="8"/>
      <c r="W3" s="8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/>
      <c r="AM3" s="7"/>
      <c r="AN3" s="6"/>
      <c r="AO3" s="6"/>
      <c r="AP3" s="6"/>
    </row>
    <row r="4" ht="19.5" customHeight="1">
      <c r="A4" s="11"/>
      <c r="B4" s="12" t="s">
        <v>3</v>
      </c>
      <c r="C4" s="13"/>
      <c r="D4" s="16" t="s">
        <v>4</v>
      </c>
      <c r="E4" s="17"/>
      <c r="F4" s="12" t="s">
        <v>5</v>
      </c>
      <c r="G4" s="19"/>
      <c r="H4" s="12" t="s">
        <v>6</v>
      </c>
      <c r="I4" s="13"/>
      <c r="J4" s="12" t="s">
        <v>7</v>
      </c>
      <c r="K4" s="13"/>
      <c r="L4" s="16" t="s">
        <v>8</v>
      </c>
      <c r="M4" s="17"/>
      <c r="N4" s="16" t="s">
        <v>9</v>
      </c>
      <c r="O4" s="17"/>
      <c r="P4" s="16" t="s">
        <v>10</v>
      </c>
      <c r="Q4" s="29"/>
      <c r="R4" s="16" t="s">
        <v>11</v>
      </c>
      <c r="S4" s="29"/>
      <c r="T4" s="16" t="s">
        <v>12</v>
      </c>
      <c r="U4" s="17"/>
      <c r="V4" s="12" t="s">
        <v>13</v>
      </c>
      <c r="W4" s="13"/>
      <c r="X4" s="143"/>
      <c r="Z4" s="21"/>
      <c r="AB4" s="21"/>
      <c r="AD4" s="22"/>
      <c r="AE4" s="22"/>
      <c r="AF4" s="6"/>
      <c r="AG4" s="6"/>
      <c r="AH4" s="6"/>
      <c r="AI4" s="6"/>
      <c r="AJ4" s="6"/>
      <c r="AK4" s="6"/>
      <c r="AL4" s="7"/>
      <c r="AM4" s="7"/>
      <c r="AN4" s="6"/>
      <c r="AO4" s="6"/>
      <c r="AP4" s="6"/>
    </row>
    <row r="5" ht="28.5" customHeight="1">
      <c r="A5" s="23" t="s">
        <v>14</v>
      </c>
      <c r="B5" s="328"/>
      <c r="C5" s="329"/>
      <c r="H5" s="367" t="s">
        <v>359</v>
      </c>
      <c r="I5" s="27"/>
      <c r="J5" s="29"/>
      <c r="K5" s="30"/>
      <c r="L5" s="368" t="s">
        <v>360</v>
      </c>
      <c r="M5" s="27"/>
      <c r="N5" s="29"/>
      <c r="O5" s="369" t="s">
        <v>361</v>
      </c>
      <c r="P5" s="27"/>
      <c r="Q5" s="29"/>
      <c r="R5" s="369" t="s">
        <v>362</v>
      </c>
      <c r="S5" s="27"/>
      <c r="T5" s="29"/>
      <c r="U5" s="25"/>
      <c r="V5" s="32"/>
      <c r="W5" s="33"/>
      <c r="X5" s="150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6"/>
      <c r="AO5" s="6"/>
      <c r="AP5" s="6"/>
    </row>
    <row r="6" ht="28.5" customHeight="1">
      <c r="A6" s="48"/>
      <c r="B6" s="331"/>
      <c r="C6" s="251"/>
      <c r="D6" s="52"/>
      <c r="H6" s="37"/>
      <c r="I6" s="10"/>
      <c r="J6" s="38"/>
      <c r="K6" s="39"/>
      <c r="L6" s="37"/>
      <c r="M6" s="10"/>
      <c r="N6" s="38"/>
      <c r="O6" s="37"/>
      <c r="P6" s="10"/>
      <c r="Q6" s="38"/>
      <c r="R6" s="37"/>
      <c r="S6" s="10"/>
      <c r="T6" s="38"/>
      <c r="U6" s="36"/>
      <c r="V6" s="40"/>
      <c r="W6" s="41"/>
      <c r="X6" s="150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7"/>
      <c r="AM6" s="7"/>
      <c r="AN6" s="6"/>
      <c r="AO6" s="6"/>
      <c r="AP6" s="6"/>
    </row>
    <row r="7" ht="28.5" customHeight="1">
      <c r="A7" s="48"/>
      <c r="B7" s="370"/>
      <c r="C7" s="250"/>
      <c r="D7" s="250"/>
      <c r="J7" s="247"/>
      <c r="K7" s="134"/>
      <c r="L7" s="371"/>
      <c r="R7" s="147"/>
      <c r="S7" s="147"/>
      <c r="T7" s="147"/>
      <c r="U7" s="147"/>
      <c r="V7" s="248"/>
      <c r="W7" s="372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7"/>
      <c r="AM7" s="7"/>
      <c r="AN7" s="6"/>
      <c r="AO7" s="6"/>
      <c r="AP7" s="6"/>
    </row>
    <row r="8" ht="28.5" customHeight="1">
      <c r="A8" s="35"/>
      <c r="B8" s="331"/>
      <c r="C8" s="251"/>
      <c r="D8" s="251"/>
      <c r="J8" s="247"/>
      <c r="K8" s="39"/>
      <c r="L8" s="371"/>
      <c r="R8" s="36"/>
      <c r="S8" s="36"/>
      <c r="T8" s="36"/>
      <c r="U8" s="36"/>
      <c r="V8" s="40"/>
      <c r="W8" s="41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6"/>
    </row>
    <row r="9" ht="28.5" customHeight="1">
      <c r="A9" s="42" t="s">
        <v>19</v>
      </c>
      <c r="E9" s="373" t="s">
        <v>363</v>
      </c>
      <c r="F9" s="27"/>
      <c r="G9" s="29"/>
      <c r="H9" s="374" t="s">
        <v>364</v>
      </c>
      <c r="J9" s="375"/>
      <c r="K9" s="33"/>
      <c r="L9" s="376" t="s">
        <v>365</v>
      </c>
      <c r="M9" s="29"/>
      <c r="N9" s="377" t="s">
        <v>366</v>
      </c>
      <c r="O9" s="27"/>
      <c r="P9" s="27"/>
      <c r="Q9" s="27"/>
      <c r="R9" s="27"/>
      <c r="S9" s="27"/>
      <c r="T9" s="27"/>
      <c r="U9" s="29"/>
      <c r="V9" s="134"/>
      <c r="W9" s="57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6"/>
    </row>
    <row r="10" ht="48.75" customHeight="1">
      <c r="A10" s="35"/>
      <c r="E10" s="37"/>
      <c r="F10" s="10"/>
      <c r="G10" s="38"/>
      <c r="H10" s="37"/>
      <c r="I10" s="10"/>
      <c r="J10" s="38"/>
      <c r="K10" s="41"/>
      <c r="L10" s="37"/>
      <c r="M10" s="38"/>
      <c r="N10" s="37"/>
      <c r="O10" s="10"/>
      <c r="P10" s="10"/>
      <c r="Q10" s="10"/>
      <c r="R10" s="10"/>
      <c r="S10" s="10"/>
      <c r="T10" s="10"/>
      <c r="U10" s="38"/>
      <c r="V10" s="39"/>
      <c r="W10" s="53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7"/>
      <c r="AM10" s="7"/>
      <c r="AN10" s="6"/>
      <c r="AO10" s="6"/>
      <c r="AP10" s="6"/>
    </row>
    <row r="11" ht="28.5" customHeight="1">
      <c r="A11" s="61" t="s">
        <v>23</v>
      </c>
      <c r="B11" s="62"/>
      <c r="C11" s="32"/>
      <c r="D11" s="32"/>
      <c r="E11" s="32"/>
      <c r="F11" s="32"/>
      <c r="G11" s="32"/>
      <c r="H11" s="248"/>
      <c r="I11" s="248"/>
      <c r="J11" s="248"/>
      <c r="K11" s="32"/>
      <c r="L11" s="371"/>
      <c r="V11" s="32"/>
      <c r="W11" s="33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6"/>
    </row>
    <row r="12" ht="28.5" customHeight="1">
      <c r="A12" s="35"/>
      <c r="B12" s="64"/>
      <c r="C12" s="40"/>
      <c r="D12" s="40"/>
      <c r="E12" s="40"/>
      <c r="F12" s="40"/>
      <c r="G12" s="40"/>
      <c r="H12" s="40"/>
      <c r="I12" s="40"/>
      <c r="J12" s="40"/>
      <c r="K12" s="40"/>
      <c r="L12" s="371"/>
      <c r="V12" s="248"/>
      <c r="W12" s="41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6"/>
    </row>
    <row r="13" ht="28.5" customHeight="1">
      <c r="A13" s="65" t="s">
        <v>24</v>
      </c>
      <c r="B13" s="378"/>
      <c r="C13" s="379"/>
      <c r="H13" s="367" t="s">
        <v>367</v>
      </c>
      <c r="I13" s="27"/>
      <c r="J13" s="29"/>
      <c r="K13" s="32"/>
      <c r="L13" s="368" t="s">
        <v>368</v>
      </c>
      <c r="M13" s="27"/>
      <c r="N13" s="29"/>
      <c r="O13" s="156"/>
      <c r="P13" s="156"/>
      <c r="Q13" s="156"/>
      <c r="R13" s="329"/>
      <c r="S13" s="329"/>
      <c r="T13" s="329"/>
      <c r="U13" s="329"/>
      <c r="V13" s="66"/>
      <c r="W13" s="67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6"/>
    </row>
    <row r="14" ht="28.5" customHeight="1">
      <c r="A14" s="48"/>
      <c r="B14" s="380"/>
      <c r="C14" s="43"/>
      <c r="H14" s="37"/>
      <c r="I14" s="10"/>
      <c r="J14" s="38"/>
      <c r="K14" s="40"/>
      <c r="L14" s="37"/>
      <c r="M14" s="10"/>
      <c r="N14" s="38"/>
      <c r="O14" s="52"/>
      <c r="P14" s="52"/>
      <c r="Q14" s="52"/>
      <c r="R14" s="251"/>
      <c r="S14" s="251"/>
      <c r="T14" s="251"/>
      <c r="U14" s="251"/>
      <c r="V14" s="51"/>
      <c r="W14" s="68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6"/>
    </row>
    <row r="15" ht="28.5" customHeight="1">
      <c r="A15" s="48"/>
      <c r="B15" s="380"/>
      <c r="C15" s="43"/>
      <c r="D15" s="250"/>
      <c r="H15" s="248"/>
      <c r="I15" s="248"/>
      <c r="J15" s="248"/>
      <c r="K15" s="248"/>
      <c r="L15" s="371"/>
      <c r="R15" s="250"/>
      <c r="S15" s="250"/>
      <c r="T15" s="250"/>
      <c r="U15" s="250"/>
      <c r="V15" s="55"/>
      <c r="W15" s="259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6"/>
    </row>
    <row r="16" ht="28.5" customHeight="1">
      <c r="A16" s="35"/>
      <c r="B16" s="381"/>
      <c r="C16" s="49"/>
      <c r="D16" s="251"/>
      <c r="H16" s="40"/>
      <c r="I16" s="40"/>
      <c r="J16" s="40"/>
      <c r="K16" s="40"/>
      <c r="L16" s="371"/>
      <c r="R16" s="251"/>
      <c r="S16" s="251"/>
      <c r="T16" s="251"/>
      <c r="U16" s="251"/>
      <c r="V16" s="51"/>
      <c r="W16" s="68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7"/>
      <c r="AM16" s="7"/>
      <c r="AN16" s="6"/>
      <c r="AO16" s="6"/>
      <c r="AP16" s="6"/>
    </row>
    <row r="17" ht="28.5" customHeight="1">
      <c r="A17" s="382" t="s">
        <v>27</v>
      </c>
      <c r="B17" s="383"/>
      <c r="E17" s="28" t="s">
        <v>369</v>
      </c>
      <c r="F17" s="27"/>
      <c r="G17" s="29"/>
      <c r="H17" s="384" t="s">
        <v>370</v>
      </c>
      <c r="I17" s="27"/>
      <c r="J17" s="29"/>
      <c r="K17" s="24"/>
      <c r="L17" s="376" t="s">
        <v>371</v>
      </c>
      <c r="M17" s="29"/>
      <c r="N17" s="377" t="s">
        <v>372</v>
      </c>
      <c r="O17" s="27"/>
      <c r="P17" s="27"/>
      <c r="Q17" s="27"/>
      <c r="R17" s="27"/>
      <c r="S17" s="27"/>
      <c r="T17" s="27"/>
      <c r="U17" s="29"/>
      <c r="V17" s="66"/>
      <c r="W17" s="67"/>
      <c r="X17" s="159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7"/>
      <c r="AM17" s="7"/>
      <c r="AN17" s="6"/>
      <c r="AO17" s="6"/>
      <c r="AP17" s="6"/>
    </row>
    <row r="18" ht="41.25" customHeight="1">
      <c r="A18" s="385"/>
      <c r="B18" s="254"/>
      <c r="C18" s="52"/>
      <c r="E18" s="37"/>
      <c r="F18" s="10"/>
      <c r="G18" s="38"/>
      <c r="H18" s="37"/>
      <c r="I18" s="10"/>
      <c r="J18" s="38"/>
      <c r="K18" s="36"/>
      <c r="L18" s="37"/>
      <c r="M18" s="38"/>
      <c r="N18" s="37"/>
      <c r="O18" s="10"/>
      <c r="P18" s="10"/>
      <c r="Q18" s="10"/>
      <c r="R18" s="10"/>
      <c r="S18" s="10"/>
      <c r="T18" s="10"/>
      <c r="U18" s="38"/>
      <c r="V18" s="51"/>
      <c r="W18" s="68"/>
      <c r="X18" s="159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7"/>
      <c r="AM18" s="7"/>
      <c r="AN18" s="6"/>
      <c r="AO18" s="6"/>
      <c r="AP18" s="6"/>
    </row>
    <row r="19" ht="41.25" customHeight="1">
      <c r="A19" s="385"/>
      <c r="B19" s="75"/>
      <c r="C19" s="60"/>
      <c r="D19" s="386"/>
      <c r="E19" s="52"/>
      <c r="F19" s="52"/>
      <c r="G19" s="52"/>
      <c r="H19" s="52"/>
      <c r="I19" s="52"/>
      <c r="J19" s="52"/>
      <c r="K19" s="36"/>
      <c r="L19" s="387"/>
      <c r="M19" s="251"/>
      <c r="N19" s="251"/>
      <c r="O19" s="59"/>
      <c r="P19" s="59"/>
      <c r="Q19" s="60"/>
      <c r="R19" s="60"/>
      <c r="S19" s="60"/>
      <c r="T19" s="39"/>
      <c r="U19" s="51"/>
      <c r="V19" s="51"/>
      <c r="W19" s="68"/>
      <c r="X19" s="159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7"/>
      <c r="AN19" s="6"/>
      <c r="AO19" s="6"/>
      <c r="AP19" s="6"/>
    </row>
    <row r="20" ht="41.25" customHeight="1">
      <c r="A20" s="37"/>
      <c r="B20" s="75"/>
      <c r="C20" s="60"/>
      <c r="D20" s="386"/>
      <c r="H20" s="52"/>
      <c r="I20" s="52"/>
      <c r="J20" s="52"/>
      <c r="K20" s="36"/>
      <c r="L20" s="387"/>
      <c r="M20" s="251"/>
      <c r="N20" s="251"/>
      <c r="O20" s="59"/>
      <c r="P20" s="59"/>
      <c r="Q20" s="60"/>
      <c r="R20" s="60"/>
      <c r="S20" s="60"/>
      <c r="T20" s="39"/>
      <c r="U20" s="51"/>
      <c r="V20" s="51"/>
      <c r="W20" s="68"/>
      <c r="X20" s="159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7"/>
      <c r="AM20" s="7"/>
      <c r="AN20" s="6"/>
      <c r="AO20" s="6"/>
      <c r="AP20" s="6"/>
    </row>
    <row r="21" ht="19.5" customHeight="1">
      <c r="A21" s="76" t="s">
        <v>32</v>
      </c>
      <c r="B21" s="77"/>
      <c r="C21" s="78"/>
      <c r="D21" s="78"/>
      <c r="E21" s="78"/>
      <c r="F21" s="78"/>
      <c r="G21" s="78"/>
      <c r="H21" s="78"/>
      <c r="I21" s="78"/>
      <c r="J21" s="78"/>
      <c r="K21" s="8"/>
      <c r="L21" s="388"/>
      <c r="M21" s="8"/>
      <c r="N21" s="8"/>
      <c r="O21" s="8"/>
      <c r="P21" s="8"/>
      <c r="Q21" s="8"/>
      <c r="R21" s="8"/>
      <c r="S21" s="8"/>
      <c r="T21" s="8"/>
      <c r="U21" s="8"/>
      <c r="V21" s="78"/>
      <c r="W21" s="79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7"/>
      <c r="AM21" s="7"/>
      <c r="AN21" s="6"/>
      <c r="AO21" s="6"/>
      <c r="AP21" s="6"/>
    </row>
    <row r="22" ht="19.5" customHeight="1">
      <c r="A22" s="76" t="s">
        <v>33</v>
      </c>
      <c r="B22" s="77"/>
      <c r="C22" s="78"/>
      <c r="D22" s="78"/>
      <c r="E22" s="78"/>
      <c r="F22" s="78"/>
      <c r="G22" s="78"/>
      <c r="H22" s="78"/>
      <c r="I22" s="78"/>
      <c r="J22" s="78"/>
      <c r="K22" s="78"/>
      <c r="L22" s="389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9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7"/>
      <c r="AM22" s="7"/>
      <c r="AN22" s="6"/>
      <c r="AO22" s="6"/>
      <c r="AP22" s="6"/>
    </row>
    <row r="23" ht="14.2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390"/>
      <c r="M23" s="80"/>
      <c r="P23" s="361" t="s">
        <v>373</v>
      </c>
      <c r="Q23" s="391" t="s">
        <v>35</v>
      </c>
      <c r="S23" s="361" t="s">
        <v>374</v>
      </c>
      <c r="T23" s="392" t="s">
        <v>375</v>
      </c>
      <c r="U23" s="2"/>
      <c r="V23" s="393" t="s">
        <v>36</v>
      </c>
      <c r="W23" s="2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7"/>
      <c r="AM23" s="7"/>
      <c r="AN23" s="6"/>
      <c r="AO23" s="6"/>
      <c r="AP23" s="6"/>
    </row>
    <row r="24" ht="30.0" customHeight="1">
      <c r="A24" s="394"/>
      <c r="B24" s="395" t="s">
        <v>44</v>
      </c>
      <c r="K24" s="395" t="s">
        <v>45</v>
      </c>
      <c r="L24" s="396" t="s">
        <v>376</v>
      </c>
      <c r="M24" s="397" t="s">
        <v>47</v>
      </c>
      <c r="N24" s="398" t="s">
        <v>377</v>
      </c>
      <c r="Q24" s="399" t="s">
        <v>378</v>
      </c>
      <c r="R24" s="399" t="s">
        <v>379</v>
      </c>
      <c r="S24" s="394"/>
      <c r="T24" s="400"/>
      <c r="U24" s="394"/>
      <c r="V24" s="393"/>
      <c r="W24" s="401"/>
      <c r="X24" s="395" t="s">
        <v>48</v>
      </c>
      <c r="Z24" s="402"/>
      <c r="AA24" s="402"/>
      <c r="AB24" s="402"/>
      <c r="AC24" s="402"/>
      <c r="AD24" s="402"/>
      <c r="AE24" s="402"/>
      <c r="AF24" s="402"/>
      <c r="AG24" s="402"/>
      <c r="AH24" s="402"/>
      <c r="AI24" s="402"/>
      <c r="AJ24" s="402"/>
      <c r="AK24" s="402"/>
      <c r="AL24" s="402"/>
      <c r="AM24" s="402"/>
      <c r="AN24" s="402"/>
      <c r="AO24" s="402"/>
      <c r="AP24" s="402"/>
    </row>
    <row r="25" ht="19.5" customHeight="1">
      <c r="A25" s="127"/>
      <c r="B25" s="403">
        <v>1.0</v>
      </c>
      <c r="C25" s="404">
        <v>958322.0</v>
      </c>
      <c r="D25" s="405" t="s">
        <v>265</v>
      </c>
      <c r="K25" s="406">
        <v>3.0</v>
      </c>
      <c r="L25" s="407" t="s">
        <v>380</v>
      </c>
      <c r="M25" s="122" t="s">
        <v>381</v>
      </c>
      <c r="R25" s="103"/>
      <c r="S25" s="103"/>
      <c r="T25" s="103"/>
      <c r="U25" s="103"/>
      <c r="V25" s="90"/>
      <c r="W25" s="90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</row>
    <row r="26" ht="18.75" customHeight="1">
      <c r="A26" s="134"/>
      <c r="B26" s="408">
        <v>2.0</v>
      </c>
      <c r="C26" s="409">
        <v>958421.0</v>
      </c>
      <c r="D26" s="410" t="s">
        <v>269</v>
      </c>
      <c r="K26" s="411">
        <v>3.0</v>
      </c>
      <c r="L26" s="412" t="s">
        <v>382</v>
      </c>
      <c r="M26" s="413">
        <v>112.0</v>
      </c>
      <c r="N26" s="103"/>
      <c r="O26" s="103"/>
      <c r="P26" s="103"/>
      <c r="Q26" s="103"/>
      <c r="R26" s="103"/>
      <c r="S26" s="103"/>
      <c r="T26" s="90"/>
      <c r="U26" s="90"/>
      <c r="V26" s="90"/>
      <c r="W26" s="90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</row>
    <row r="27" ht="18.75" customHeight="1">
      <c r="A27" s="134"/>
      <c r="B27" s="414">
        <v>3.0</v>
      </c>
      <c r="C27" s="415">
        <v>958453.0</v>
      </c>
      <c r="D27" s="416" t="s">
        <v>383</v>
      </c>
      <c r="K27" s="417">
        <v>3.0</v>
      </c>
      <c r="L27" s="407" t="s">
        <v>91</v>
      </c>
      <c r="M27" s="413">
        <v>114.0</v>
      </c>
      <c r="N27" s="418" t="s">
        <v>384</v>
      </c>
      <c r="O27" s="418"/>
      <c r="P27" s="418" t="s">
        <v>385</v>
      </c>
      <c r="Q27" s="418"/>
      <c r="R27" s="418"/>
      <c r="S27" s="418"/>
      <c r="T27" s="419" t="s">
        <v>386</v>
      </c>
      <c r="U27" s="418"/>
      <c r="V27" s="418"/>
      <c r="W27" s="418"/>
      <c r="X27" s="418"/>
      <c r="Y27" s="418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</row>
    <row r="28" ht="18.75" customHeight="1">
      <c r="A28" s="134" t="s">
        <v>100</v>
      </c>
      <c r="B28" s="134"/>
      <c r="C28" s="420" t="s">
        <v>99</v>
      </c>
      <c r="D28" s="147"/>
      <c r="K28" s="421">
        <v>6.0</v>
      </c>
      <c r="L28" s="422"/>
      <c r="M28" s="103"/>
      <c r="N28" s="103"/>
      <c r="O28" s="103"/>
      <c r="P28" s="103"/>
      <c r="Q28" s="103"/>
      <c r="R28" s="103"/>
      <c r="S28" s="103"/>
      <c r="T28" s="90"/>
      <c r="U28" s="90"/>
      <c r="V28" s="90"/>
      <c r="W28" s="90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</row>
    <row r="29" ht="18.75" customHeight="1">
      <c r="A29" s="134"/>
      <c r="C29" s="87">
        <v>951301.0</v>
      </c>
      <c r="D29" s="86" t="s">
        <v>303</v>
      </c>
      <c r="L29" s="37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</row>
    <row r="30" ht="18.75" customHeight="1">
      <c r="A30" s="127"/>
      <c r="B30" s="127"/>
      <c r="C30" s="87">
        <v>951412.0</v>
      </c>
      <c r="D30" s="86" t="s">
        <v>307</v>
      </c>
      <c r="K30" s="127"/>
      <c r="L30" s="423"/>
      <c r="M30" s="90"/>
      <c r="N30" s="90"/>
      <c r="O30" s="90"/>
      <c r="P30" s="90"/>
      <c r="Q30" s="103"/>
      <c r="R30" s="103"/>
      <c r="S30" s="103"/>
      <c r="T30" s="90"/>
      <c r="U30" s="90"/>
      <c r="V30" s="90"/>
      <c r="W30" s="90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</row>
    <row r="31" ht="18.75" customHeight="1">
      <c r="A31" s="127"/>
      <c r="B31" s="424">
        <v>4.0</v>
      </c>
      <c r="C31" s="425">
        <v>958372.0</v>
      </c>
      <c r="D31" s="424" t="s">
        <v>387</v>
      </c>
      <c r="K31" s="127"/>
      <c r="L31" s="412" t="s">
        <v>388</v>
      </c>
      <c r="M31" s="412">
        <v>114.0</v>
      </c>
      <c r="N31" s="426" t="s">
        <v>389</v>
      </c>
      <c r="O31" s="90"/>
      <c r="P31" s="90"/>
      <c r="Q31" s="103"/>
      <c r="R31" s="103"/>
      <c r="S31" s="103"/>
      <c r="T31" s="426" t="s">
        <v>390</v>
      </c>
      <c r="U31" s="426" t="s">
        <v>391</v>
      </c>
      <c r="V31" s="90"/>
      <c r="W31" s="90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</row>
    <row r="32" ht="18.75" customHeight="1">
      <c r="A32" s="127"/>
      <c r="B32" s="427">
        <v>5.0</v>
      </c>
      <c r="C32" s="428">
        <v>958482.0</v>
      </c>
      <c r="D32" s="427" t="s">
        <v>392</v>
      </c>
      <c r="K32" s="127"/>
      <c r="L32" s="407" t="s">
        <v>380</v>
      </c>
      <c r="M32" s="412" t="s">
        <v>381</v>
      </c>
      <c r="N32" s="426" t="s">
        <v>389</v>
      </c>
      <c r="O32" s="90"/>
      <c r="P32" s="90"/>
      <c r="Q32" s="103"/>
      <c r="R32" s="103"/>
      <c r="S32" s="103"/>
      <c r="T32" s="426" t="s">
        <v>390</v>
      </c>
      <c r="U32" s="426" t="s">
        <v>391</v>
      </c>
      <c r="V32" s="90"/>
      <c r="W32" s="90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</row>
    <row r="33" ht="18.75" customHeight="1">
      <c r="A33" s="127"/>
      <c r="B33" s="427">
        <v>6.0</v>
      </c>
      <c r="C33" s="428">
        <v>958482.0</v>
      </c>
      <c r="D33" s="427" t="s">
        <v>393</v>
      </c>
      <c r="K33" s="127"/>
      <c r="L33" s="407" t="s">
        <v>394</v>
      </c>
      <c r="M33" s="412"/>
      <c r="N33" s="426"/>
      <c r="O33" s="90"/>
      <c r="P33" s="90"/>
      <c r="Q33" s="103"/>
      <c r="R33" s="103"/>
      <c r="S33" s="103"/>
      <c r="T33" s="426"/>
      <c r="U33" s="426"/>
      <c r="V33" s="90"/>
      <c r="W33" s="90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</row>
    <row r="34" ht="18.75" customHeight="1">
      <c r="A34" s="127"/>
      <c r="B34" s="429">
        <v>7.0</v>
      </c>
      <c r="C34" s="430" t="s">
        <v>285</v>
      </c>
      <c r="D34" s="431" t="s">
        <v>395</v>
      </c>
      <c r="K34" s="127"/>
      <c r="L34" s="412" t="s">
        <v>382</v>
      </c>
      <c r="M34" s="412" t="s">
        <v>396</v>
      </c>
      <c r="N34" s="426" t="s">
        <v>389</v>
      </c>
      <c r="O34" s="90"/>
      <c r="P34" s="90"/>
      <c r="Q34" s="103"/>
      <c r="R34" s="103"/>
      <c r="S34" s="103"/>
      <c r="T34" s="426" t="s">
        <v>390</v>
      </c>
      <c r="U34" s="426" t="s">
        <v>391</v>
      </c>
      <c r="V34" s="90"/>
      <c r="W34" s="90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</row>
    <row r="35" ht="18.75" customHeight="1">
      <c r="A35" s="127"/>
      <c r="B35" s="432">
        <v>8.0</v>
      </c>
      <c r="C35" s="433">
        <v>958333.0</v>
      </c>
      <c r="D35" s="434" t="s">
        <v>397</v>
      </c>
      <c r="K35" s="127"/>
      <c r="L35" s="435" t="s">
        <v>398</v>
      </c>
      <c r="M35" s="90"/>
      <c r="N35" s="90"/>
      <c r="O35" s="90"/>
      <c r="P35" s="90"/>
      <c r="Q35" s="103"/>
      <c r="R35" s="103"/>
      <c r="S35" s="103"/>
      <c r="T35" s="90"/>
      <c r="U35" s="90"/>
      <c r="V35" s="426" t="s">
        <v>399</v>
      </c>
      <c r="W35" s="90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</row>
    <row r="36" ht="18.75" customHeight="1">
      <c r="A36" s="127"/>
      <c r="B36" s="432">
        <v>9.0</v>
      </c>
      <c r="C36" s="433">
        <v>958451.0</v>
      </c>
      <c r="D36" s="434" t="s">
        <v>400</v>
      </c>
      <c r="K36" s="127"/>
      <c r="L36" s="435" t="s">
        <v>401</v>
      </c>
      <c r="M36" s="90"/>
      <c r="N36" s="90"/>
      <c r="O36" s="90"/>
      <c r="P36" s="90"/>
      <c r="Q36" s="103"/>
      <c r="R36" s="103"/>
      <c r="S36" s="103"/>
      <c r="T36" s="90"/>
      <c r="U36" s="90"/>
      <c r="V36" s="90"/>
      <c r="W36" s="90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</row>
    <row r="37" ht="18.75" customHeight="1">
      <c r="A37" s="127"/>
      <c r="B37" s="96"/>
      <c r="C37" s="436"/>
      <c r="D37" s="421"/>
      <c r="E37" s="421"/>
      <c r="F37" s="421"/>
      <c r="G37" s="421"/>
      <c r="H37" s="421"/>
      <c r="I37" s="421"/>
      <c r="J37" s="421"/>
      <c r="K37" s="421"/>
      <c r="L37" s="423"/>
      <c r="M37" s="90"/>
      <c r="N37" s="90"/>
      <c r="O37" s="90"/>
      <c r="P37" s="90"/>
      <c r="Q37" s="103"/>
      <c r="R37" s="103"/>
      <c r="S37" s="103"/>
      <c r="T37" s="90"/>
      <c r="U37" s="90"/>
      <c r="V37" s="90"/>
      <c r="W37" s="90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</row>
    <row r="38" ht="18.75" customHeight="1">
      <c r="A38" s="127"/>
      <c r="B38" s="96" t="s">
        <v>402</v>
      </c>
      <c r="C38" s="436" t="s">
        <v>403</v>
      </c>
      <c r="D38" s="421" t="s">
        <v>404</v>
      </c>
      <c r="K38" s="421">
        <v>3.0</v>
      </c>
      <c r="L38" s="423"/>
      <c r="M38" s="90"/>
      <c r="N38" s="90"/>
      <c r="O38" s="90"/>
      <c r="P38" s="90"/>
      <c r="Q38" s="103"/>
      <c r="R38" s="103"/>
      <c r="S38" s="103"/>
      <c r="T38" s="90"/>
      <c r="U38" s="90"/>
      <c r="V38" s="90"/>
      <c r="W38" s="90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ht="18.75" customHeight="1">
      <c r="A39" s="127"/>
      <c r="B39" s="134"/>
      <c r="C39" s="136" t="s">
        <v>68</v>
      </c>
      <c r="D39" s="236"/>
      <c r="K39" s="138">
        <f>SUM(K25:K38)</f>
        <v>18</v>
      </c>
      <c r="L39" s="422"/>
      <c r="M39" s="90"/>
      <c r="N39" s="90"/>
      <c r="O39" s="90"/>
      <c r="P39" s="90"/>
      <c r="Q39" s="103"/>
      <c r="R39" s="103"/>
      <c r="S39" s="103"/>
      <c r="T39" s="90"/>
      <c r="U39" s="90"/>
      <c r="V39" s="90"/>
      <c r="W39" s="9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</row>
    <row r="40" ht="18.75" customHeight="1">
      <c r="A40" s="127"/>
      <c r="L40" s="422"/>
      <c r="M40" s="90"/>
      <c r="N40" s="90"/>
      <c r="O40" s="90"/>
      <c r="P40" s="90"/>
      <c r="Q40" s="103"/>
      <c r="R40" s="103"/>
      <c r="S40" s="103"/>
      <c r="T40" s="90"/>
      <c r="U40" s="90"/>
      <c r="V40" s="90"/>
      <c r="W40" s="9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</row>
    <row r="41" ht="18.75" customHeight="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423"/>
      <c r="M41" s="90"/>
      <c r="N41" s="90"/>
      <c r="O41" s="90"/>
      <c r="P41" s="90"/>
      <c r="Q41" s="103"/>
      <c r="R41" s="103"/>
      <c r="S41" s="103"/>
      <c r="T41" s="90"/>
      <c r="U41" s="90"/>
      <c r="V41" s="90"/>
      <c r="W41" s="9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</row>
    <row r="42" ht="18.75" customHeight="1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423"/>
      <c r="M42" s="90"/>
      <c r="N42" s="90"/>
      <c r="O42" s="90"/>
      <c r="P42" s="90"/>
      <c r="Q42" s="103"/>
      <c r="R42" s="103"/>
      <c r="S42" s="103"/>
      <c r="T42" s="90"/>
      <c r="U42" s="90"/>
      <c r="V42" s="90"/>
      <c r="W42" s="9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</row>
    <row r="43" ht="18.75" customHeight="1">
      <c r="A43" s="134"/>
      <c r="L43" s="371"/>
      <c r="M43" s="103"/>
      <c r="N43" s="103"/>
      <c r="O43" s="103"/>
      <c r="P43" s="103"/>
      <c r="Q43" s="103"/>
      <c r="R43" s="103"/>
      <c r="S43" s="90"/>
      <c r="T43" s="90"/>
      <c r="U43" s="90"/>
      <c r="V43" s="90"/>
      <c r="W43" s="9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ht="18.75" customHeight="1">
      <c r="A44" s="134"/>
      <c r="L44" s="371"/>
      <c r="M44" s="103"/>
      <c r="N44" s="103"/>
      <c r="O44" s="103"/>
      <c r="P44" s="103"/>
      <c r="Q44" s="103"/>
      <c r="R44" s="103"/>
      <c r="S44" s="103"/>
      <c r="T44" s="90"/>
      <c r="U44" s="90"/>
      <c r="V44" s="90"/>
      <c r="W44" s="9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</row>
    <row r="45" ht="15.75" customHeight="1">
      <c r="A45" s="134"/>
      <c r="B45" s="134"/>
      <c r="C45" s="239" t="s">
        <v>106</v>
      </c>
      <c r="H45" s="220"/>
      <c r="I45" s="220"/>
      <c r="J45" s="134"/>
      <c r="K45" s="134"/>
      <c r="L45" s="423"/>
      <c r="M45" s="90"/>
      <c r="N45" s="90"/>
      <c r="O45" s="90"/>
      <c r="P45" s="90"/>
      <c r="Q45" s="103"/>
      <c r="R45" s="103"/>
      <c r="S45" s="103"/>
      <c r="T45" s="90"/>
      <c r="U45" s="90"/>
      <c r="V45" s="90"/>
      <c r="W45" s="90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</row>
    <row r="46" ht="18.75" customHeight="1">
      <c r="A46" s="134"/>
      <c r="B46" s="134"/>
      <c r="C46" s="147"/>
      <c r="D46" s="147"/>
      <c r="E46" s="147"/>
      <c r="F46" s="147"/>
      <c r="G46" s="147"/>
      <c r="H46" s="147"/>
      <c r="I46" s="220"/>
      <c r="J46" s="134"/>
      <c r="K46" s="134"/>
      <c r="L46" s="423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</row>
    <row r="47" ht="18.75" customHeight="1">
      <c r="A47" s="22"/>
      <c r="B47" s="22"/>
      <c r="C47" s="240"/>
      <c r="D47" s="437" t="s">
        <v>405</v>
      </c>
      <c r="E47" s="240"/>
      <c r="F47" s="240"/>
      <c r="G47" s="240"/>
      <c r="H47" s="240"/>
      <c r="I47" s="240"/>
      <c r="J47" s="22"/>
      <c r="K47" s="22"/>
      <c r="L47" s="371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</row>
    <row r="48" ht="18.75" customHeight="1">
      <c r="A48" s="6"/>
      <c r="B48" s="6"/>
      <c r="C48" s="438"/>
      <c r="D48" s="438"/>
      <c r="E48" s="140"/>
      <c r="F48" s="140"/>
      <c r="G48" s="140"/>
      <c r="H48" s="140"/>
      <c r="I48" s="6"/>
      <c r="J48" s="22"/>
      <c r="K48" s="22"/>
      <c r="L48" s="371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</row>
    <row r="49" ht="18.75" customHeight="1">
      <c r="A49" s="22"/>
      <c r="B49" s="6"/>
      <c r="C49" s="54"/>
      <c r="D49" s="54"/>
      <c r="E49" s="6"/>
      <c r="F49" s="6"/>
      <c r="G49" s="6"/>
      <c r="H49" s="6"/>
      <c r="I49" s="6"/>
      <c r="J49" s="22"/>
      <c r="K49" s="22"/>
      <c r="L49" s="240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</row>
    <row r="50" ht="14.25" customHeight="1">
      <c r="A50" s="241"/>
      <c r="B50" s="241"/>
      <c r="C50" s="241"/>
      <c r="D50" s="241"/>
      <c r="E50" s="241"/>
      <c r="F50" s="241"/>
      <c r="G50" s="241"/>
      <c r="H50" s="241"/>
      <c r="I50" s="241"/>
      <c r="J50" s="22"/>
      <c r="K50" s="22"/>
      <c r="L50" s="240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</row>
    <row r="51" ht="14.25" customHeight="1">
      <c r="A51" s="241"/>
      <c r="B51" s="241"/>
      <c r="C51" s="241"/>
      <c r="D51" s="241"/>
      <c r="E51" s="241"/>
      <c r="F51" s="241"/>
      <c r="G51" s="241"/>
      <c r="H51" s="241"/>
      <c r="I51" s="241"/>
      <c r="J51" s="22"/>
      <c r="K51" s="22"/>
      <c r="L51" s="240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</row>
    <row r="52" ht="14.25" customHeight="1">
      <c r="A52" s="241"/>
      <c r="B52" s="241"/>
      <c r="C52" s="241"/>
      <c r="D52" s="241"/>
      <c r="E52" s="241"/>
      <c r="F52" s="241"/>
      <c r="G52" s="241"/>
      <c r="H52" s="241"/>
      <c r="I52" s="241"/>
      <c r="J52" s="22"/>
      <c r="K52" s="22"/>
      <c r="L52" s="240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22"/>
      <c r="K53" s="22"/>
      <c r="L53" s="240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22"/>
      <c r="K54" s="22"/>
      <c r="L54" s="240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22"/>
      <c r="K55" s="22"/>
      <c r="L55" s="240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22"/>
      <c r="K56" s="22"/>
      <c r="L56" s="240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22"/>
      <c r="K57" s="22"/>
      <c r="L57" s="240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22"/>
      <c r="K58" s="22"/>
      <c r="L58" s="240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22"/>
      <c r="K59" s="22"/>
      <c r="L59" s="240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22"/>
      <c r="K60" s="22"/>
      <c r="L60" s="240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22"/>
      <c r="K61" s="22"/>
      <c r="L61" s="240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22"/>
      <c r="K62" s="22"/>
      <c r="L62" s="240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22"/>
      <c r="K63" s="22"/>
      <c r="L63" s="240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22"/>
      <c r="K64" s="22"/>
      <c r="L64" s="240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22"/>
      <c r="K65" s="22"/>
      <c r="L65" s="240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22"/>
      <c r="K66" s="22"/>
      <c r="L66" s="240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22"/>
      <c r="K67" s="22"/>
      <c r="L67" s="240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22"/>
      <c r="K68" s="22"/>
      <c r="L68" s="240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22"/>
      <c r="K69" s="22"/>
      <c r="L69" s="240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22"/>
      <c r="K70" s="22"/>
      <c r="L70" s="240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22"/>
      <c r="K71" s="22"/>
      <c r="L71" s="240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22"/>
      <c r="K72" s="22"/>
      <c r="L72" s="240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22"/>
      <c r="K73" s="22"/>
      <c r="L73" s="240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22"/>
      <c r="K74" s="22"/>
      <c r="L74" s="240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22"/>
      <c r="K75" s="22"/>
      <c r="L75" s="240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22"/>
      <c r="K76" s="22"/>
      <c r="L76" s="240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22"/>
      <c r="K77" s="22"/>
      <c r="L77" s="240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22"/>
      <c r="K78" s="22"/>
      <c r="L78" s="240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22"/>
      <c r="K79" s="22"/>
      <c r="L79" s="240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22"/>
      <c r="K80" s="22"/>
      <c r="L80" s="240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22"/>
      <c r="K81" s="22"/>
      <c r="L81" s="240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22"/>
      <c r="K82" s="22"/>
      <c r="L82" s="240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22"/>
      <c r="K83" s="22"/>
      <c r="L83" s="240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</row>
    <row r="84" ht="15.75" customHeight="1">
      <c r="A84" s="140"/>
      <c r="B84" s="140"/>
      <c r="C84" s="140"/>
      <c r="D84" s="140"/>
      <c r="E84" s="140"/>
      <c r="F84" s="140"/>
      <c r="G84" s="140"/>
      <c r="H84" s="140"/>
      <c r="I84" s="140"/>
      <c r="J84" s="22"/>
      <c r="K84" s="22"/>
      <c r="L84" s="240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</row>
    <row r="85" ht="15.75" customHeight="1">
      <c r="A85" s="140"/>
      <c r="B85" s="140"/>
      <c r="C85" s="140"/>
      <c r="D85" s="140"/>
      <c r="E85" s="140"/>
      <c r="F85" s="140"/>
      <c r="G85" s="140"/>
      <c r="H85" s="140"/>
      <c r="I85" s="140"/>
      <c r="J85" s="22"/>
      <c r="K85" s="22"/>
      <c r="L85" s="240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</row>
    <row r="86" ht="15.75" customHeight="1">
      <c r="A86" s="140"/>
      <c r="B86" s="140"/>
      <c r="C86" s="140"/>
      <c r="D86" s="140"/>
      <c r="E86" s="140"/>
      <c r="F86" s="140"/>
      <c r="G86" s="140"/>
      <c r="H86" s="140"/>
      <c r="I86" s="140"/>
      <c r="J86" s="22"/>
      <c r="K86" s="22"/>
      <c r="L86" s="240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</row>
    <row r="87" ht="15.75" customHeight="1">
      <c r="A87" s="140"/>
      <c r="B87" s="140"/>
      <c r="C87" s="140"/>
      <c r="D87" s="140"/>
      <c r="E87" s="140"/>
      <c r="F87" s="140"/>
      <c r="G87" s="140"/>
      <c r="H87" s="140"/>
      <c r="I87" s="140"/>
      <c r="J87" s="22"/>
      <c r="K87" s="22"/>
      <c r="L87" s="240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</row>
    <row r="88" ht="15.75" customHeight="1">
      <c r="A88" s="140"/>
      <c r="B88" s="140"/>
      <c r="C88" s="140"/>
      <c r="D88" s="140"/>
      <c r="E88" s="140"/>
      <c r="F88" s="140"/>
      <c r="G88" s="140"/>
      <c r="H88" s="140"/>
      <c r="I88" s="140"/>
      <c r="J88" s="22"/>
      <c r="K88" s="22"/>
      <c r="L88" s="240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</row>
    <row r="89" ht="15.75" customHeight="1">
      <c r="A89" s="140"/>
      <c r="B89" s="140"/>
      <c r="C89" s="140"/>
      <c r="D89" s="140"/>
      <c r="E89" s="140"/>
      <c r="F89" s="140"/>
      <c r="G89" s="140"/>
      <c r="H89" s="140"/>
      <c r="I89" s="140"/>
      <c r="J89" s="22"/>
      <c r="K89" s="22"/>
      <c r="L89" s="240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</row>
    <row r="90" ht="15.75" customHeight="1">
      <c r="A90" s="140"/>
      <c r="B90" s="140"/>
      <c r="C90" s="140"/>
      <c r="D90" s="140"/>
      <c r="E90" s="140"/>
      <c r="F90" s="140"/>
      <c r="G90" s="140"/>
      <c r="H90" s="140"/>
      <c r="I90" s="140"/>
      <c r="J90" s="22"/>
      <c r="K90" s="22"/>
      <c r="L90" s="240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</row>
    <row r="91" ht="15.75" customHeight="1">
      <c r="A91" s="140"/>
      <c r="B91" s="140"/>
      <c r="C91" s="140"/>
      <c r="D91" s="140"/>
      <c r="E91" s="140"/>
      <c r="F91" s="140"/>
      <c r="G91" s="140"/>
      <c r="H91" s="140"/>
      <c r="I91" s="140"/>
      <c r="J91" s="22"/>
      <c r="K91" s="22"/>
      <c r="L91" s="240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</row>
    <row r="92" ht="15.75" customHeight="1">
      <c r="A92" s="140"/>
      <c r="B92" s="140"/>
      <c r="C92" s="140"/>
      <c r="D92" s="140"/>
      <c r="E92" s="140"/>
      <c r="F92" s="140"/>
      <c r="G92" s="140"/>
      <c r="H92" s="140"/>
      <c r="I92" s="140"/>
      <c r="J92" s="22"/>
      <c r="K92" s="22"/>
      <c r="L92" s="240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</row>
    <row r="93" ht="15.75" customHeight="1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439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</row>
    <row r="94" ht="15.75" customHeight="1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439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</row>
    <row r="95" ht="15.75" customHeight="1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439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</row>
    <row r="96" ht="15.75" customHeight="1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439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</row>
    <row r="97" ht="15.75" customHeight="1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439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</row>
    <row r="98" ht="15.75" customHeight="1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439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</row>
    <row r="99" ht="15.75" customHeight="1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439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</row>
    <row r="100" ht="15.75" customHeight="1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439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</row>
    <row r="101" ht="15.75" customHeight="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439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</row>
    <row r="102" ht="15.7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439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</row>
    <row r="103" ht="15.75" customHeight="1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439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</row>
    <row r="104" ht="15.75" customHeight="1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439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</row>
    <row r="105" ht="15.75" customHeight="1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439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</row>
    <row r="106" ht="15.75" customHeight="1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439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</row>
    <row r="107" ht="15.75" customHeight="1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439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</row>
    <row r="108" ht="15.75" customHeight="1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439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</row>
    <row r="109" ht="15.75" customHeight="1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439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</row>
    <row r="110" ht="15.75" customHeight="1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439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</row>
    <row r="111" ht="15.75" customHeight="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439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</row>
    <row r="112" ht="15.75" customHeight="1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439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</row>
    <row r="113" ht="15.75" customHeight="1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439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</row>
    <row r="114" ht="15.75" customHeight="1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439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</row>
    <row r="115" ht="15.75" customHeight="1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439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</row>
    <row r="116" ht="15.75" customHeight="1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439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</row>
    <row r="117" ht="15.75" customHeight="1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439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</row>
    <row r="118" ht="15.75" customHeight="1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439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</row>
    <row r="119" ht="15.75" customHeight="1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439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</row>
    <row r="120" ht="15.75" customHeight="1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439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</row>
    <row r="121" ht="15.75" customHeight="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439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</row>
    <row r="122" ht="15.75" customHeight="1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439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</row>
    <row r="123" ht="15.75" customHeight="1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439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</row>
    <row r="124" ht="15.75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439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</row>
    <row r="125" ht="15.75" customHeight="1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439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</row>
    <row r="126" ht="15.75" customHeight="1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439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</row>
    <row r="127" ht="15.75" customHeight="1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439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</row>
    <row r="128" ht="15.7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439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</row>
    <row r="129" ht="15.75" customHeight="1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439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</row>
    <row r="130" ht="15.75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439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</row>
    <row r="131" ht="15.75" customHeight="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439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</row>
    <row r="132" ht="15.75" customHeight="1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439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</row>
    <row r="133" ht="15.75" customHeight="1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439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</row>
    <row r="134" ht="15.75" customHeight="1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439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</row>
    <row r="135" ht="15.75" customHeight="1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439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</row>
    <row r="136" ht="15.75" customHeight="1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439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</row>
    <row r="137" ht="15.75" customHeight="1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439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</row>
    <row r="138" ht="15.75" customHeight="1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439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</row>
    <row r="139" ht="15.75" customHeight="1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439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</row>
    <row r="140" ht="15.75" customHeight="1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439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</row>
    <row r="141" ht="15.75" customHeight="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439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</row>
    <row r="142" ht="15.75" customHeight="1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439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</row>
    <row r="143" ht="15.75" customHeight="1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439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</row>
    <row r="144" ht="15.75" customHeight="1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439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</row>
    <row r="145" ht="15.75" customHeight="1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439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</row>
    <row r="146" ht="15.75" customHeight="1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439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</row>
    <row r="147" ht="15.75" customHeight="1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439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</row>
    <row r="148" ht="15.75" customHeight="1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439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</row>
    <row r="149" ht="15.75" customHeight="1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439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</row>
    <row r="150" ht="15.75" customHeight="1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439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</row>
    <row r="151" ht="15.75" customHeight="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439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</row>
    <row r="152" ht="15.75" customHeight="1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439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</row>
    <row r="153" ht="15.75" customHeight="1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439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</row>
    <row r="154" ht="15.75" customHeight="1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439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</row>
    <row r="155" ht="15.75" customHeight="1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439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</row>
    <row r="156" ht="15.75" customHeight="1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439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</row>
    <row r="157" ht="15.75" customHeight="1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439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</row>
    <row r="158" ht="15.75" customHeight="1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439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</row>
    <row r="159" ht="15.75" customHeight="1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439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</row>
    <row r="160" ht="15.75" customHeight="1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439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</row>
    <row r="161" ht="15.75" customHeight="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439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</row>
    <row r="162" ht="15.75" customHeight="1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439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</row>
    <row r="163" ht="15.75" customHeight="1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439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</row>
    <row r="164" ht="15.75" customHeight="1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439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</row>
    <row r="165" ht="15.7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439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</row>
    <row r="166" ht="15.75" customHeight="1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439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</row>
    <row r="167" ht="15.75" customHeight="1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439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</row>
    <row r="168" ht="15.75" customHeight="1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439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</row>
    <row r="169" ht="15.75" customHeight="1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439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</row>
    <row r="170" ht="15.75" customHeight="1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439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</row>
    <row r="171" ht="15.75" customHeight="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439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</row>
    <row r="172" ht="15.75" customHeight="1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439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</row>
    <row r="173" ht="15.75" customHeight="1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439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</row>
    <row r="174" ht="15.75" customHeight="1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439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</row>
    <row r="175" ht="15.75" customHeight="1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439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</row>
    <row r="176" ht="15.75" customHeight="1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439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</row>
    <row r="177" ht="15.75" customHeight="1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439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</row>
    <row r="178" ht="15.75" customHeight="1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439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</row>
    <row r="179" ht="15.75" customHeight="1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439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140"/>
    </row>
    <row r="180" ht="15.75" customHeight="1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439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140"/>
    </row>
    <row r="181" ht="15.75" customHeight="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439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140"/>
    </row>
    <row r="182" ht="15.75" customHeight="1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439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140"/>
    </row>
    <row r="183" ht="15.75" customHeight="1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439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140"/>
    </row>
    <row r="184" ht="15.75" customHeight="1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439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140"/>
    </row>
    <row r="185" ht="15.75" customHeight="1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439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</row>
    <row r="186" ht="15.75" customHeight="1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439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</row>
    <row r="187" ht="15.75" customHeight="1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439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140"/>
    </row>
    <row r="188" ht="15.75" customHeight="1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439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140"/>
    </row>
    <row r="189" ht="15.75" customHeight="1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439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ht="15.75" customHeight="1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439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ht="15.75" customHeight="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439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</row>
    <row r="192" ht="15.75" customHeight="1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439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</row>
    <row r="193" ht="15.75" customHeight="1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439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</row>
    <row r="194" ht="15.75" customHeight="1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439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</row>
    <row r="195" ht="15.75" customHeight="1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439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</row>
    <row r="196" ht="15.75" customHeight="1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439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</row>
    <row r="197" ht="15.75" customHeight="1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439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</row>
    <row r="198" ht="15.75" customHeight="1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439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</row>
    <row r="199" ht="15.75" customHeight="1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439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</row>
    <row r="200" ht="15.75" customHeight="1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439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</row>
    <row r="201" ht="15.75" customHeight="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439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140"/>
    </row>
    <row r="202" ht="15.75" customHeight="1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439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140"/>
    </row>
    <row r="203" ht="15.75" customHeight="1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439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</row>
    <row r="204" ht="15.75" customHeight="1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439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  <c r="AJ204" s="140"/>
      <c r="AK204" s="140"/>
      <c r="AL204" s="140"/>
      <c r="AM204" s="140"/>
      <c r="AN204" s="140"/>
      <c r="AO204" s="140"/>
      <c r="AP204" s="140"/>
    </row>
    <row r="205" ht="15.75" customHeight="1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439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  <c r="AJ205" s="140"/>
      <c r="AK205" s="140"/>
      <c r="AL205" s="140"/>
      <c r="AM205" s="140"/>
      <c r="AN205" s="140"/>
      <c r="AO205" s="140"/>
      <c r="AP205" s="140"/>
    </row>
    <row r="206" ht="15.75" customHeight="1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439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  <c r="AJ206" s="140"/>
      <c r="AK206" s="140"/>
      <c r="AL206" s="140"/>
      <c r="AM206" s="140"/>
      <c r="AN206" s="140"/>
      <c r="AO206" s="140"/>
      <c r="AP206" s="140"/>
    </row>
    <row r="207" ht="15.75" customHeight="1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439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140"/>
    </row>
    <row r="208" ht="15.75" customHeight="1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439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140"/>
    </row>
    <row r="209" ht="15.75" customHeight="1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439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  <c r="AJ209" s="140"/>
      <c r="AK209" s="140"/>
      <c r="AL209" s="140"/>
      <c r="AM209" s="140"/>
      <c r="AN209" s="140"/>
      <c r="AO209" s="140"/>
      <c r="AP209" s="140"/>
    </row>
    <row r="210" ht="15.75" customHeight="1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439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140"/>
    </row>
    <row r="211" ht="15.75" customHeight="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439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  <c r="AJ211" s="140"/>
      <c r="AK211" s="140"/>
      <c r="AL211" s="140"/>
      <c r="AM211" s="140"/>
      <c r="AN211" s="140"/>
      <c r="AO211" s="140"/>
      <c r="AP211" s="140"/>
    </row>
    <row r="212" ht="15.75" customHeight="1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439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  <c r="AJ212" s="140"/>
      <c r="AK212" s="140"/>
      <c r="AL212" s="140"/>
      <c r="AM212" s="140"/>
      <c r="AN212" s="140"/>
      <c r="AO212" s="140"/>
      <c r="AP212" s="140"/>
    </row>
    <row r="213" ht="15.75" customHeight="1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439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140"/>
    </row>
    <row r="214" ht="15.75" customHeight="1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439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  <c r="AJ214" s="140"/>
      <c r="AK214" s="140"/>
      <c r="AL214" s="140"/>
      <c r="AM214" s="140"/>
      <c r="AN214" s="140"/>
      <c r="AO214" s="140"/>
      <c r="AP214" s="140"/>
    </row>
    <row r="215" ht="15.75" customHeight="1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439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140"/>
    </row>
    <row r="216" ht="15.75" customHeight="1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439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140"/>
    </row>
    <row r="217" ht="15.7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439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140"/>
    </row>
    <row r="218" ht="15.75" customHeight="1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439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140"/>
    </row>
    <row r="219" ht="15.7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439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40"/>
      <c r="AP219" s="140"/>
    </row>
    <row r="220" ht="15.75" customHeight="1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439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  <c r="AJ220" s="140"/>
      <c r="AK220" s="140"/>
      <c r="AL220" s="140"/>
      <c r="AM220" s="140"/>
      <c r="AN220" s="140"/>
      <c r="AO220" s="140"/>
      <c r="AP220" s="140"/>
    </row>
    <row r="221" ht="15.75" customHeight="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439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140"/>
    </row>
    <row r="222" ht="15.75" customHeight="1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439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40"/>
      <c r="AP222" s="140"/>
    </row>
    <row r="223" ht="15.75" customHeight="1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439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  <c r="AJ223" s="140"/>
      <c r="AK223" s="140"/>
      <c r="AL223" s="140"/>
      <c r="AM223" s="140"/>
      <c r="AN223" s="140"/>
      <c r="AO223" s="140"/>
      <c r="AP223" s="140"/>
    </row>
    <row r="224" ht="15.7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439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140"/>
    </row>
    <row r="225" ht="15.75" customHeight="1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439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140"/>
    </row>
    <row r="226" ht="15.75" customHeight="1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439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140"/>
    </row>
    <row r="227" ht="15.75" customHeight="1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439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140"/>
    </row>
    <row r="228" ht="15.75" customHeight="1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439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40"/>
      <c r="AH228" s="140"/>
      <c r="AI228" s="140"/>
      <c r="AJ228" s="140"/>
      <c r="AK228" s="140"/>
      <c r="AL228" s="140"/>
      <c r="AM228" s="140"/>
      <c r="AN228" s="140"/>
      <c r="AO228" s="140"/>
      <c r="AP228" s="140"/>
    </row>
    <row r="229" ht="15.75" customHeight="1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439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</row>
    <row r="230" ht="15.75" customHeight="1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439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  <c r="AJ230" s="140"/>
      <c r="AK230" s="140"/>
      <c r="AL230" s="140"/>
      <c r="AM230" s="140"/>
      <c r="AN230" s="140"/>
      <c r="AO230" s="140"/>
      <c r="AP230" s="140"/>
    </row>
    <row r="231" ht="15.75" customHeight="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439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40"/>
      <c r="AH231" s="140"/>
      <c r="AI231" s="140"/>
      <c r="AJ231" s="140"/>
      <c r="AK231" s="140"/>
      <c r="AL231" s="140"/>
      <c r="AM231" s="140"/>
      <c r="AN231" s="140"/>
      <c r="AO231" s="140"/>
      <c r="AP231" s="140"/>
    </row>
    <row r="232" ht="15.75" customHeight="1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439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0"/>
      <c r="AD232" s="140"/>
      <c r="AE232" s="140"/>
      <c r="AF232" s="140"/>
      <c r="AG232" s="140"/>
      <c r="AH232" s="140"/>
      <c r="AI232" s="140"/>
      <c r="AJ232" s="140"/>
      <c r="AK232" s="140"/>
      <c r="AL232" s="140"/>
      <c r="AM232" s="140"/>
      <c r="AN232" s="140"/>
      <c r="AO232" s="140"/>
      <c r="AP232" s="140"/>
    </row>
    <row r="233" ht="15.75" customHeight="1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439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140"/>
    </row>
    <row r="234" ht="15.75" customHeight="1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439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  <c r="AA234" s="140"/>
      <c r="AB234" s="140"/>
      <c r="AC234" s="140"/>
      <c r="AD234" s="140"/>
      <c r="AE234" s="140"/>
      <c r="AF234" s="140"/>
      <c r="AG234" s="140"/>
      <c r="AH234" s="140"/>
      <c r="AI234" s="140"/>
      <c r="AJ234" s="140"/>
      <c r="AK234" s="140"/>
      <c r="AL234" s="140"/>
      <c r="AM234" s="140"/>
      <c r="AN234" s="140"/>
      <c r="AO234" s="140"/>
      <c r="AP234" s="140"/>
    </row>
    <row r="235" ht="15.75" customHeight="1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439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  <c r="AA235" s="140"/>
      <c r="AB235" s="140"/>
      <c r="AC235" s="140"/>
      <c r="AD235" s="140"/>
      <c r="AE235" s="140"/>
      <c r="AF235" s="140"/>
      <c r="AG235" s="140"/>
      <c r="AH235" s="140"/>
      <c r="AI235" s="140"/>
      <c r="AJ235" s="140"/>
      <c r="AK235" s="140"/>
      <c r="AL235" s="140"/>
      <c r="AM235" s="140"/>
      <c r="AN235" s="140"/>
      <c r="AO235" s="140"/>
      <c r="AP235" s="140"/>
    </row>
    <row r="236" ht="15.75" customHeight="1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439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  <c r="AA236" s="140"/>
      <c r="AB236" s="140"/>
      <c r="AC236" s="140"/>
      <c r="AD236" s="140"/>
      <c r="AE236" s="140"/>
      <c r="AF236" s="140"/>
      <c r="AG236" s="140"/>
      <c r="AH236" s="140"/>
      <c r="AI236" s="140"/>
      <c r="AJ236" s="140"/>
      <c r="AK236" s="140"/>
      <c r="AL236" s="140"/>
      <c r="AM236" s="140"/>
      <c r="AN236" s="140"/>
      <c r="AO236" s="140"/>
      <c r="AP236" s="140"/>
    </row>
    <row r="237" ht="15.75" customHeight="1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439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  <c r="AA237" s="140"/>
      <c r="AB237" s="140"/>
      <c r="AC237" s="140"/>
      <c r="AD237" s="140"/>
      <c r="AE237" s="140"/>
      <c r="AF237" s="140"/>
      <c r="AG237" s="140"/>
      <c r="AH237" s="140"/>
      <c r="AI237" s="140"/>
      <c r="AJ237" s="140"/>
      <c r="AK237" s="140"/>
      <c r="AL237" s="140"/>
      <c r="AM237" s="140"/>
      <c r="AN237" s="140"/>
      <c r="AO237" s="140"/>
      <c r="AP237" s="140"/>
    </row>
    <row r="238" ht="15.75" customHeight="1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439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40"/>
      <c r="AH238" s="140"/>
      <c r="AI238" s="140"/>
      <c r="AJ238" s="140"/>
      <c r="AK238" s="140"/>
      <c r="AL238" s="140"/>
      <c r="AM238" s="140"/>
      <c r="AN238" s="140"/>
      <c r="AO238" s="140"/>
      <c r="AP238" s="140"/>
    </row>
    <row r="239" ht="15.75" customHeight="1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439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  <c r="AA239" s="140"/>
      <c r="AB239" s="140"/>
      <c r="AC239" s="140"/>
      <c r="AD239" s="140"/>
      <c r="AE239" s="140"/>
      <c r="AF239" s="140"/>
      <c r="AG239" s="140"/>
      <c r="AH239" s="140"/>
      <c r="AI239" s="140"/>
      <c r="AJ239" s="140"/>
      <c r="AK239" s="140"/>
      <c r="AL239" s="140"/>
      <c r="AM239" s="140"/>
      <c r="AN239" s="140"/>
      <c r="AO239" s="140"/>
      <c r="AP239" s="140"/>
    </row>
    <row r="240" ht="15.75" customHeight="1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439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  <c r="AA240" s="140"/>
      <c r="AB240" s="140"/>
      <c r="AC240" s="140"/>
      <c r="AD240" s="140"/>
      <c r="AE240" s="140"/>
      <c r="AF240" s="140"/>
      <c r="AG240" s="140"/>
      <c r="AH240" s="140"/>
      <c r="AI240" s="140"/>
      <c r="AJ240" s="140"/>
      <c r="AK240" s="140"/>
      <c r="AL240" s="140"/>
      <c r="AM240" s="140"/>
      <c r="AN240" s="140"/>
      <c r="AO240" s="140"/>
      <c r="AP240" s="140"/>
    </row>
    <row r="241" ht="15.75" customHeight="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439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  <c r="AA241" s="140"/>
      <c r="AB241" s="140"/>
      <c r="AC241" s="140"/>
      <c r="AD241" s="140"/>
      <c r="AE241" s="140"/>
      <c r="AF241" s="140"/>
      <c r="AG241" s="140"/>
      <c r="AH241" s="140"/>
      <c r="AI241" s="140"/>
      <c r="AJ241" s="140"/>
      <c r="AK241" s="140"/>
      <c r="AL241" s="140"/>
      <c r="AM241" s="140"/>
      <c r="AN241" s="140"/>
      <c r="AO241" s="140"/>
      <c r="AP241" s="140"/>
    </row>
    <row r="242" ht="15.75" customHeight="1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439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  <c r="AA242" s="140"/>
      <c r="AB242" s="140"/>
      <c r="AC242" s="140"/>
      <c r="AD242" s="140"/>
      <c r="AE242" s="140"/>
      <c r="AF242" s="140"/>
      <c r="AG242" s="140"/>
      <c r="AH242" s="140"/>
      <c r="AI242" s="140"/>
      <c r="AJ242" s="140"/>
      <c r="AK242" s="140"/>
      <c r="AL242" s="140"/>
      <c r="AM242" s="140"/>
      <c r="AN242" s="140"/>
      <c r="AO242" s="140"/>
      <c r="AP242" s="140"/>
    </row>
    <row r="243" ht="15.75" customHeight="1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439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40"/>
      <c r="AH243" s="140"/>
      <c r="AI243" s="140"/>
      <c r="AJ243" s="140"/>
      <c r="AK243" s="140"/>
      <c r="AL243" s="140"/>
      <c r="AM243" s="140"/>
      <c r="AN243" s="140"/>
      <c r="AO243" s="140"/>
      <c r="AP243" s="140"/>
    </row>
    <row r="244" ht="15.75" customHeight="1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439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  <c r="AA244" s="140"/>
      <c r="AB244" s="140"/>
      <c r="AC244" s="140"/>
      <c r="AD244" s="140"/>
      <c r="AE244" s="140"/>
      <c r="AF244" s="140"/>
      <c r="AG244" s="140"/>
      <c r="AH244" s="140"/>
      <c r="AI244" s="140"/>
      <c r="AJ244" s="140"/>
      <c r="AK244" s="140"/>
      <c r="AL244" s="140"/>
      <c r="AM244" s="140"/>
      <c r="AN244" s="140"/>
      <c r="AO244" s="140"/>
      <c r="AP244" s="140"/>
    </row>
    <row r="245" ht="15.75" customHeight="1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439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40"/>
      <c r="AH245" s="140"/>
      <c r="AI245" s="140"/>
      <c r="AJ245" s="140"/>
      <c r="AK245" s="140"/>
      <c r="AL245" s="140"/>
      <c r="AM245" s="140"/>
      <c r="AN245" s="140"/>
      <c r="AO245" s="140"/>
      <c r="AP245" s="140"/>
    </row>
    <row r="246" ht="15.75" customHeight="1">
      <c r="L246" s="371"/>
    </row>
    <row r="247" ht="15.75" customHeight="1">
      <c r="L247" s="371"/>
    </row>
    <row r="248" ht="15.75" customHeight="1">
      <c r="L248" s="371"/>
    </row>
    <row r="249" ht="15.75" customHeight="1">
      <c r="L249" s="371"/>
    </row>
    <row r="250" ht="15.75" customHeight="1">
      <c r="L250" s="371"/>
    </row>
    <row r="251" ht="15.75" customHeight="1">
      <c r="L251" s="371"/>
    </row>
    <row r="252" ht="15.75" customHeight="1">
      <c r="L252" s="371"/>
    </row>
    <row r="253" ht="15.75" customHeight="1">
      <c r="L253" s="371"/>
    </row>
    <row r="254" ht="15.75" customHeight="1">
      <c r="L254" s="371"/>
    </row>
    <row r="255" ht="15.75" customHeight="1">
      <c r="L255" s="371"/>
    </row>
    <row r="256" ht="15.75" customHeight="1">
      <c r="L256" s="371"/>
    </row>
    <row r="257" ht="15.75" customHeight="1">
      <c r="L257" s="371"/>
    </row>
    <row r="258" ht="15.75" customHeight="1">
      <c r="L258" s="371"/>
    </row>
    <row r="259" ht="15.75" customHeight="1">
      <c r="L259" s="371"/>
    </row>
    <row r="260" ht="15.75" customHeight="1">
      <c r="L260" s="371"/>
    </row>
    <row r="261" ht="15.75" customHeight="1">
      <c r="L261" s="371"/>
    </row>
    <row r="262" ht="15.75" customHeight="1">
      <c r="L262" s="371"/>
    </row>
    <row r="263" ht="15.75" customHeight="1">
      <c r="L263" s="371"/>
    </row>
    <row r="264" ht="15.75" customHeight="1">
      <c r="L264" s="371"/>
    </row>
    <row r="265" ht="15.75" customHeight="1">
      <c r="L265" s="371"/>
    </row>
    <row r="266" ht="15.75" customHeight="1">
      <c r="L266" s="371"/>
    </row>
    <row r="267" ht="15.75" customHeight="1">
      <c r="L267" s="371"/>
    </row>
    <row r="268" ht="15.75" customHeight="1">
      <c r="L268" s="371"/>
    </row>
    <row r="269" ht="15.75" customHeight="1">
      <c r="L269" s="371"/>
    </row>
    <row r="270" ht="15.75" customHeight="1">
      <c r="L270" s="371"/>
    </row>
    <row r="271" ht="15.75" customHeight="1">
      <c r="L271" s="371"/>
    </row>
    <row r="272" ht="15.75" customHeight="1">
      <c r="L272" s="371"/>
    </row>
    <row r="273" ht="15.75" customHeight="1">
      <c r="L273" s="371"/>
    </row>
    <row r="274" ht="15.75" customHeight="1">
      <c r="L274" s="371"/>
    </row>
    <row r="275" ht="15.75" customHeight="1">
      <c r="L275" s="371"/>
    </row>
    <row r="276" ht="15.75" customHeight="1">
      <c r="L276" s="371"/>
    </row>
    <row r="277" ht="15.75" customHeight="1">
      <c r="L277" s="371"/>
    </row>
    <row r="278" ht="15.75" customHeight="1">
      <c r="L278" s="371"/>
    </row>
    <row r="279" ht="15.75" customHeight="1">
      <c r="L279" s="371"/>
    </row>
    <row r="280" ht="15.75" customHeight="1">
      <c r="L280" s="371"/>
    </row>
    <row r="281" ht="15.75" customHeight="1">
      <c r="L281" s="371"/>
    </row>
    <row r="282" ht="15.75" customHeight="1">
      <c r="L282" s="371"/>
    </row>
    <row r="283" ht="15.75" customHeight="1">
      <c r="L283" s="371"/>
    </row>
    <row r="284" ht="15.75" customHeight="1">
      <c r="L284" s="371"/>
    </row>
    <row r="285" ht="15.75" customHeight="1">
      <c r="L285" s="371"/>
    </row>
    <row r="286" ht="15.75" customHeight="1">
      <c r="L286" s="371"/>
    </row>
    <row r="287" ht="15.75" customHeight="1">
      <c r="L287" s="371"/>
    </row>
    <row r="288" ht="15.75" customHeight="1">
      <c r="L288" s="371"/>
    </row>
    <row r="289" ht="15.75" customHeight="1">
      <c r="L289" s="371"/>
    </row>
    <row r="290" ht="15.75" customHeight="1">
      <c r="L290" s="371"/>
    </row>
    <row r="291" ht="15.75" customHeight="1">
      <c r="L291" s="371"/>
    </row>
    <row r="292" ht="15.75" customHeight="1">
      <c r="L292" s="371"/>
    </row>
    <row r="293" ht="15.75" customHeight="1">
      <c r="L293" s="371"/>
    </row>
    <row r="294" ht="15.75" customHeight="1">
      <c r="L294" s="371"/>
    </row>
    <row r="295" ht="15.75" customHeight="1">
      <c r="L295" s="371"/>
    </row>
    <row r="296" ht="15.75" customHeight="1">
      <c r="L296" s="371"/>
    </row>
    <row r="297" ht="15.75" customHeight="1">
      <c r="L297" s="371"/>
    </row>
    <row r="298" ht="15.75" customHeight="1">
      <c r="L298" s="371"/>
    </row>
    <row r="299" ht="15.75" customHeight="1">
      <c r="L299" s="371"/>
    </row>
    <row r="300" ht="15.75" customHeight="1">
      <c r="L300" s="371"/>
    </row>
    <row r="301" ht="15.75" customHeight="1">
      <c r="L301" s="371"/>
    </row>
    <row r="302" ht="15.75" customHeight="1">
      <c r="L302" s="371"/>
    </row>
    <row r="303" ht="15.75" customHeight="1">
      <c r="L303" s="371"/>
    </row>
    <row r="304" ht="15.75" customHeight="1">
      <c r="L304" s="371"/>
    </row>
    <row r="305" ht="15.75" customHeight="1">
      <c r="L305" s="371"/>
    </row>
    <row r="306" ht="15.75" customHeight="1">
      <c r="L306" s="371"/>
    </row>
    <row r="307" ht="15.75" customHeight="1">
      <c r="L307" s="371"/>
    </row>
    <row r="308" ht="15.75" customHeight="1">
      <c r="L308" s="371"/>
    </row>
    <row r="309" ht="15.75" customHeight="1">
      <c r="L309" s="371"/>
    </row>
    <row r="310" ht="15.75" customHeight="1">
      <c r="L310" s="371"/>
    </row>
    <row r="311" ht="15.75" customHeight="1">
      <c r="L311" s="371"/>
    </row>
    <row r="312" ht="15.75" customHeight="1">
      <c r="L312" s="371"/>
    </row>
    <row r="313" ht="15.75" customHeight="1">
      <c r="L313" s="371"/>
    </row>
    <row r="314" ht="15.75" customHeight="1">
      <c r="L314" s="371"/>
    </row>
    <row r="315" ht="15.75" customHeight="1">
      <c r="L315" s="371"/>
    </row>
    <row r="316" ht="15.75" customHeight="1">
      <c r="L316" s="371"/>
    </row>
    <row r="317" ht="15.75" customHeight="1">
      <c r="L317" s="371"/>
    </row>
    <row r="318" ht="15.75" customHeight="1">
      <c r="L318" s="371"/>
    </row>
    <row r="319" ht="15.75" customHeight="1">
      <c r="L319" s="371"/>
    </row>
    <row r="320" ht="15.75" customHeight="1">
      <c r="L320" s="371"/>
    </row>
    <row r="321" ht="15.75" customHeight="1">
      <c r="L321" s="371"/>
    </row>
    <row r="322" ht="15.75" customHeight="1">
      <c r="L322" s="371"/>
    </row>
    <row r="323" ht="15.75" customHeight="1">
      <c r="L323" s="371"/>
    </row>
    <row r="324" ht="15.75" customHeight="1">
      <c r="L324" s="371"/>
    </row>
    <row r="325" ht="15.75" customHeight="1">
      <c r="L325" s="371"/>
    </row>
    <row r="326" ht="15.75" customHeight="1">
      <c r="L326" s="371"/>
    </row>
    <row r="327" ht="15.75" customHeight="1">
      <c r="L327" s="371"/>
    </row>
    <row r="328" ht="15.75" customHeight="1">
      <c r="L328" s="371"/>
    </row>
    <row r="329" ht="15.75" customHeight="1">
      <c r="L329" s="371"/>
    </row>
    <row r="330" ht="15.75" customHeight="1">
      <c r="L330" s="371"/>
    </row>
    <row r="331" ht="15.75" customHeight="1">
      <c r="L331" s="371"/>
    </row>
    <row r="332" ht="15.75" customHeight="1">
      <c r="L332" s="371"/>
    </row>
    <row r="333" ht="15.75" customHeight="1">
      <c r="L333" s="371"/>
    </row>
    <row r="334" ht="15.75" customHeight="1">
      <c r="L334" s="371"/>
    </row>
    <row r="335" ht="15.75" customHeight="1">
      <c r="L335" s="371"/>
    </row>
    <row r="336" ht="15.75" customHeight="1">
      <c r="L336" s="371"/>
    </row>
    <row r="337" ht="15.75" customHeight="1">
      <c r="L337" s="371"/>
    </row>
    <row r="338" ht="15.75" customHeight="1">
      <c r="L338" s="371"/>
    </row>
    <row r="339" ht="15.75" customHeight="1">
      <c r="L339" s="371"/>
    </row>
    <row r="340" ht="15.75" customHeight="1">
      <c r="L340" s="371"/>
    </row>
    <row r="341" ht="15.75" customHeight="1">
      <c r="L341" s="371"/>
    </row>
    <row r="342" ht="15.75" customHeight="1">
      <c r="L342" s="371"/>
    </row>
    <row r="343" ht="15.75" customHeight="1">
      <c r="L343" s="371"/>
    </row>
    <row r="344" ht="15.75" customHeight="1">
      <c r="L344" s="371"/>
    </row>
    <row r="345" ht="15.75" customHeight="1">
      <c r="L345" s="371"/>
    </row>
    <row r="346" ht="15.75" customHeight="1">
      <c r="L346" s="371"/>
    </row>
    <row r="347" ht="15.75" customHeight="1">
      <c r="L347" s="371"/>
    </row>
    <row r="348" ht="15.75" customHeight="1">
      <c r="L348" s="371"/>
    </row>
    <row r="349" ht="15.75" customHeight="1">
      <c r="L349" s="371"/>
    </row>
    <row r="350" ht="15.75" customHeight="1">
      <c r="L350" s="371"/>
    </row>
    <row r="351" ht="15.75" customHeight="1">
      <c r="L351" s="371"/>
    </row>
    <row r="352" ht="15.75" customHeight="1">
      <c r="L352" s="371"/>
    </row>
    <row r="353" ht="15.75" customHeight="1">
      <c r="L353" s="371"/>
    </row>
    <row r="354" ht="15.75" customHeight="1">
      <c r="L354" s="371"/>
    </row>
    <row r="355" ht="15.75" customHeight="1">
      <c r="L355" s="371"/>
    </row>
    <row r="356" ht="15.75" customHeight="1">
      <c r="L356" s="371"/>
    </row>
    <row r="357" ht="15.75" customHeight="1">
      <c r="L357" s="371"/>
    </row>
    <row r="358" ht="15.75" customHeight="1">
      <c r="L358" s="371"/>
    </row>
    <row r="359" ht="15.75" customHeight="1">
      <c r="L359" s="371"/>
    </row>
    <row r="360" ht="15.75" customHeight="1">
      <c r="L360" s="371"/>
    </row>
    <row r="361" ht="15.75" customHeight="1">
      <c r="L361" s="371"/>
    </row>
    <row r="362" ht="15.75" customHeight="1">
      <c r="L362" s="371"/>
    </row>
    <row r="363" ht="15.75" customHeight="1">
      <c r="L363" s="371"/>
    </row>
    <row r="364" ht="15.75" customHeight="1">
      <c r="L364" s="371"/>
    </row>
    <row r="365" ht="15.75" customHeight="1">
      <c r="L365" s="371"/>
    </row>
    <row r="366" ht="15.75" customHeight="1">
      <c r="L366" s="371"/>
    </row>
    <row r="367" ht="15.75" customHeight="1">
      <c r="L367" s="371"/>
    </row>
    <row r="368" ht="15.75" customHeight="1">
      <c r="L368" s="371"/>
    </row>
    <row r="369" ht="15.75" customHeight="1">
      <c r="L369" s="371"/>
    </row>
    <row r="370" ht="15.75" customHeight="1">
      <c r="L370" s="371"/>
    </row>
    <row r="371" ht="15.75" customHeight="1">
      <c r="L371" s="371"/>
    </row>
    <row r="372" ht="15.75" customHeight="1">
      <c r="L372" s="371"/>
    </row>
    <row r="373" ht="15.75" customHeight="1">
      <c r="L373" s="371"/>
    </row>
    <row r="374" ht="15.75" customHeight="1">
      <c r="L374" s="371"/>
    </row>
    <row r="375" ht="15.75" customHeight="1">
      <c r="L375" s="371"/>
    </row>
    <row r="376" ht="15.75" customHeight="1">
      <c r="L376" s="371"/>
    </row>
    <row r="377" ht="15.75" customHeight="1">
      <c r="L377" s="371"/>
    </row>
    <row r="378" ht="15.75" customHeight="1">
      <c r="L378" s="371"/>
    </row>
    <row r="379" ht="15.75" customHeight="1">
      <c r="L379" s="371"/>
    </row>
    <row r="380" ht="15.75" customHeight="1">
      <c r="L380" s="371"/>
    </row>
    <row r="381" ht="15.75" customHeight="1">
      <c r="L381" s="371"/>
    </row>
    <row r="382" ht="15.75" customHeight="1">
      <c r="L382" s="371"/>
    </row>
    <row r="383" ht="15.75" customHeight="1">
      <c r="L383" s="371"/>
    </row>
    <row r="384" ht="15.75" customHeight="1">
      <c r="L384" s="371"/>
    </row>
    <row r="385" ht="15.75" customHeight="1">
      <c r="L385" s="371"/>
    </row>
    <row r="386" ht="15.75" customHeight="1">
      <c r="L386" s="371"/>
    </row>
    <row r="387" ht="15.75" customHeight="1">
      <c r="L387" s="371"/>
    </row>
    <row r="388" ht="15.75" customHeight="1">
      <c r="L388" s="371"/>
    </row>
    <row r="389" ht="15.75" customHeight="1">
      <c r="L389" s="371"/>
    </row>
    <row r="390" ht="15.75" customHeight="1">
      <c r="L390" s="371"/>
    </row>
    <row r="391" ht="15.75" customHeight="1">
      <c r="L391" s="371"/>
    </row>
    <row r="392" ht="15.75" customHeight="1">
      <c r="L392" s="371"/>
    </row>
    <row r="393" ht="15.75" customHeight="1">
      <c r="L393" s="371"/>
    </row>
    <row r="394" ht="15.75" customHeight="1">
      <c r="L394" s="371"/>
    </row>
    <row r="395" ht="15.75" customHeight="1">
      <c r="L395" s="371"/>
    </row>
    <row r="396" ht="15.75" customHeight="1">
      <c r="L396" s="371"/>
    </row>
    <row r="397" ht="15.75" customHeight="1">
      <c r="L397" s="371"/>
    </row>
    <row r="398" ht="15.75" customHeight="1">
      <c r="L398" s="371"/>
    </row>
    <row r="399" ht="15.75" customHeight="1">
      <c r="L399" s="371"/>
    </row>
    <row r="400" ht="15.75" customHeight="1">
      <c r="L400" s="371"/>
    </row>
    <row r="401" ht="15.75" customHeight="1">
      <c r="L401" s="371"/>
    </row>
    <row r="402" ht="15.75" customHeight="1">
      <c r="L402" s="371"/>
    </row>
    <row r="403" ht="15.75" customHeight="1">
      <c r="L403" s="371"/>
    </row>
    <row r="404" ht="15.75" customHeight="1">
      <c r="L404" s="371"/>
    </row>
    <row r="405" ht="15.75" customHeight="1">
      <c r="L405" s="371"/>
    </row>
    <row r="406" ht="15.75" customHeight="1">
      <c r="L406" s="371"/>
    </row>
    <row r="407" ht="15.75" customHeight="1">
      <c r="L407" s="371"/>
    </row>
    <row r="408" ht="15.75" customHeight="1">
      <c r="L408" s="371"/>
    </row>
    <row r="409" ht="15.75" customHeight="1">
      <c r="L409" s="371"/>
    </row>
    <row r="410" ht="15.75" customHeight="1">
      <c r="L410" s="371"/>
    </row>
    <row r="411" ht="15.75" customHeight="1">
      <c r="L411" s="371"/>
    </row>
    <row r="412" ht="15.75" customHeight="1">
      <c r="L412" s="371"/>
    </row>
    <row r="413" ht="15.75" customHeight="1">
      <c r="L413" s="371"/>
    </row>
    <row r="414" ht="15.75" customHeight="1">
      <c r="L414" s="371"/>
    </row>
    <row r="415" ht="15.75" customHeight="1">
      <c r="L415" s="371"/>
    </row>
    <row r="416" ht="15.75" customHeight="1">
      <c r="L416" s="371"/>
    </row>
    <row r="417" ht="15.75" customHeight="1">
      <c r="L417" s="371"/>
    </row>
    <row r="418" ht="15.75" customHeight="1">
      <c r="L418" s="371"/>
    </row>
    <row r="419" ht="15.75" customHeight="1">
      <c r="L419" s="371"/>
    </row>
    <row r="420" ht="15.75" customHeight="1">
      <c r="L420" s="371"/>
    </row>
    <row r="421" ht="15.75" customHeight="1">
      <c r="L421" s="371"/>
    </row>
    <row r="422" ht="15.75" customHeight="1">
      <c r="L422" s="371"/>
    </row>
    <row r="423" ht="15.75" customHeight="1">
      <c r="L423" s="371"/>
    </row>
    <row r="424" ht="15.75" customHeight="1">
      <c r="L424" s="371"/>
    </row>
    <row r="425" ht="15.75" customHeight="1">
      <c r="L425" s="371"/>
    </row>
    <row r="426" ht="15.75" customHeight="1">
      <c r="L426" s="371"/>
    </row>
    <row r="427" ht="15.75" customHeight="1">
      <c r="L427" s="371"/>
    </row>
    <row r="428" ht="15.75" customHeight="1">
      <c r="L428" s="371"/>
    </row>
    <row r="429" ht="15.75" customHeight="1">
      <c r="L429" s="371"/>
    </row>
    <row r="430" ht="15.75" customHeight="1">
      <c r="L430" s="371"/>
    </row>
    <row r="431" ht="15.75" customHeight="1">
      <c r="L431" s="371"/>
    </row>
    <row r="432" ht="15.75" customHeight="1">
      <c r="L432" s="371"/>
    </row>
    <row r="433" ht="15.75" customHeight="1">
      <c r="L433" s="371"/>
    </row>
    <row r="434" ht="15.75" customHeight="1">
      <c r="L434" s="371"/>
    </row>
    <row r="435" ht="15.75" customHeight="1">
      <c r="L435" s="371"/>
    </row>
    <row r="436" ht="15.75" customHeight="1">
      <c r="L436" s="371"/>
    </row>
    <row r="437" ht="15.75" customHeight="1">
      <c r="L437" s="371"/>
    </row>
    <row r="438" ht="15.75" customHeight="1">
      <c r="L438" s="371"/>
    </row>
    <row r="439" ht="15.75" customHeight="1">
      <c r="L439" s="371"/>
    </row>
    <row r="440" ht="15.75" customHeight="1">
      <c r="L440" s="371"/>
    </row>
    <row r="441" ht="15.75" customHeight="1">
      <c r="L441" s="371"/>
    </row>
    <row r="442" ht="15.75" customHeight="1">
      <c r="L442" s="371"/>
    </row>
    <row r="443" ht="15.75" customHeight="1">
      <c r="L443" s="371"/>
    </row>
    <row r="444" ht="15.75" customHeight="1">
      <c r="L444" s="371"/>
    </row>
    <row r="445" ht="15.75" customHeight="1">
      <c r="L445" s="371"/>
    </row>
    <row r="446" ht="15.75" customHeight="1">
      <c r="L446" s="371"/>
    </row>
    <row r="447" ht="15.75" customHeight="1">
      <c r="L447" s="371"/>
    </row>
    <row r="448" ht="15.75" customHeight="1">
      <c r="L448" s="371"/>
    </row>
    <row r="449" ht="15.75" customHeight="1">
      <c r="L449" s="371"/>
    </row>
    <row r="450" ht="15.75" customHeight="1">
      <c r="L450" s="371"/>
    </row>
    <row r="451" ht="15.75" customHeight="1">
      <c r="L451" s="371"/>
    </row>
    <row r="452" ht="15.75" customHeight="1">
      <c r="L452" s="371"/>
    </row>
    <row r="453" ht="15.75" customHeight="1">
      <c r="L453" s="371"/>
    </row>
    <row r="454" ht="15.75" customHeight="1">
      <c r="L454" s="371"/>
    </row>
    <row r="455" ht="15.75" customHeight="1">
      <c r="L455" s="371"/>
    </row>
    <row r="456" ht="15.75" customHeight="1">
      <c r="L456" s="371"/>
    </row>
    <row r="457" ht="15.75" customHeight="1">
      <c r="L457" s="371"/>
    </row>
    <row r="458" ht="15.75" customHeight="1">
      <c r="L458" s="371"/>
    </row>
    <row r="459" ht="15.75" customHeight="1">
      <c r="L459" s="371"/>
    </row>
    <row r="460" ht="15.75" customHeight="1">
      <c r="L460" s="371"/>
    </row>
    <row r="461" ht="15.75" customHeight="1">
      <c r="L461" s="371"/>
    </row>
    <row r="462" ht="15.75" customHeight="1">
      <c r="L462" s="371"/>
    </row>
    <row r="463" ht="15.75" customHeight="1">
      <c r="L463" s="371"/>
    </row>
    <row r="464" ht="15.75" customHeight="1">
      <c r="L464" s="371"/>
    </row>
    <row r="465" ht="15.75" customHeight="1">
      <c r="L465" s="371"/>
    </row>
    <row r="466" ht="15.75" customHeight="1">
      <c r="L466" s="371"/>
    </row>
    <row r="467" ht="15.75" customHeight="1">
      <c r="L467" s="371"/>
    </row>
    <row r="468" ht="15.75" customHeight="1">
      <c r="L468" s="371"/>
    </row>
    <row r="469" ht="15.75" customHeight="1">
      <c r="L469" s="371"/>
    </row>
    <row r="470" ht="15.75" customHeight="1">
      <c r="L470" s="371"/>
    </row>
    <row r="471" ht="15.75" customHeight="1">
      <c r="L471" s="371"/>
    </row>
    <row r="472" ht="15.75" customHeight="1">
      <c r="L472" s="371"/>
    </row>
    <row r="473" ht="15.75" customHeight="1">
      <c r="L473" s="371"/>
    </row>
    <row r="474" ht="15.75" customHeight="1">
      <c r="L474" s="371"/>
    </row>
    <row r="475" ht="15.75" customHeight="1">
      <c r="L475" s="371"/>
    </row>
    <row r="476" ht="15.75" customHeight="1">
      <c r="L476" s="371"/>
    </row>
    <row r="477" ht="15.75" customHeight="1">
      <c r="L477" s="371"/>
    </row>
    <row r="478" ht="15.75" customHeight="1">
      <c r="L478" s="371"/>
    </row>
    <row r="479" ht="15.75" customHeight="1">
      <c r="L479" s="371"/>
    </row>
    <row r="480" ht="15.75" customHeight="1">
      <c r="L480" s="371"/>
    </row>
    <row r="481" ht="15.75" customHeight="1">
      <c r="L481" s="371"/>
    </row>
    <row r="482" ht="15.75" customHeight="1">
      <c r="L482" s="371"/>
    </row>
    <row r="483" ht="15.75" customHeight="1">
      <c r="L483" s="371"/>
    </row>
    <row r="484" ht="15.75" customHeight="1">
      <c r="L484" s="371"/>
    </row>
    <row r="485" ht="15.75" customHeight="1">
      <c r="L485" s="371"/>
    </row>
    <row r="486" ht="15.75" customHeight="1">
      <c r="L486" s="371"/>
    </row>
    <row r="487" ht="15.75" customHeight="1">
      <c r="L487" s="371"/>
    </row>
    <row r="488" ht="15.75" customHeight="1">
      <c r="L488" s="371"/>
    </row>
    <row r="489" ht="15.75" customHeight="1">
      <c r="L489" s="371"/>
    </row>
    <row r="490" ht="15.75" customHeight="1">
      <c r="L490" s="371"/>
    </row>
    <row r="491" ht="15.75" customHeight="1">
      <c r="L491" s="371"/>
    </row>
    <row r="492" ht="15.75" customHeight="1">
      <c r="L492" s="371"/>
    </row>
    <row r="493" ht="15.75" customHeight="1">
      <c r="L493" s="371"/>
    </row>
    <row r="494" ht="15.75" customHeight="1">
      <c r="L494" s="371"/>
    </row>
    <row r="495" ht="15.75" customHeight="1">
      <c r="L495" s="371"/>
    </row>
    <row r="496" ht="15.75" customHeight="1">
      <c r="L496" s="371"/>
    </row>
    <row r="497" ht="15.75" customHeight="1">
      <c r="L497" s="371"/>
    </row>
    <row r="498" ht="15.75" customHeight="1">
      <c r="L498" s="371"/>
    </row>
    <row r="499" ht="15.75" customHeight="1">
      <c r="L499" s="371"/>
    </row>
    <row r="500" ht="15.75" customHeight="1">
      <c r="L500" s="371"/>
    </row>
    <row r="501" ht="15.75" customHeight="1">
      <c r="L501" s="371"/>
    </row>
    <row r="502" ht="15.75" customHeight="1">
      <c r="L502" s="371"/>
    </row>
    <row r="503" ht="15.75" customHeight="1">
      <c r="L503" s="371"/>
    </row>
    <row r="504" ht="15.75" customHeight="1">
      <c r="L504" s="371"/>
    </row>
    <row r="505" ht="15.75" customHeight="1">
      <c r="L505" s="371"/>
    </row>
    <row r="506" ht="15.75" customHeight="1">
      <c r="L506" s="371"/>
    </row>
    <row r="507" ht="15.75" customHeight="1">
      <c r="L507" s="371"/>
    </row>
    <row r="508" ht="15.75" customHeight="1">
      <c r="L508" s="371"/>
    </row>
    <row r="509" ht="15.75" customHeight="1">
      <c r="L509" s="371"/>
    </row>
    <row r="510" ht="15.75" customHeight="1">
      <c r="L510" s="371"/>
    </row>
    <row r="511" ht="15.75" customHeight="1">
      <c r="L511" s="371"/>
    </row>
    <row r="512" ht="15.75" customHeight="1">
      <c r="L512" s="371"/>
    </row>
    <row r="513" ht="15.75" customHeight="1">
      <c r="L513" s="371"/>
    </row>
    <row r="514" ht="15.75" customHeight="1">
      <c r="L514" s="371"/>
    </row>
    <row r="515" ht="15.75" customHeight="1">
      <c r="L515" s="371"/>
    </row>
    <row r="516" ht="15.75" customHeight="1">
      <c r="L516" s="371"/>
    </row>
    <row r="517" ht="15.75" customHeight="1">
      <c r="L517" s="371"/>
    </row>
    <row r="518" ht="15.75" customHeight="1">
      <c r="L518" s="371"/>
    </row>
    <row r="519" ht="15.75" customHeight="1">
      <c r="L519" s="371"/>
    </row>
    <row r="520" ht="15.75" customHeight="1">
      <c r="L520" s="371"/>
    </row>
    <row r="521" ht="15.75" customHeight="1">
      <c r="L521" s="371"/>
    </row>
    <row r="522" ht="15.75" customHeight="1">
      <c r="L522" s="371"/>
    </row>
    <row r="523" ht="15.75" customHeight="1">
      <c r="L523" s="371"/>
    </row>
    <row r="524" ht="15.75" customHeight="1">
      <c r="L524" s="371"/>
    </row>
    <row r="525" ht="15.75" customHeight="1">
      <c r="L525" s="371"/>
    </row>
    <row r="526" ht="15.75" customHeight="1">
      <c r="L526" s="371"/>
    </row>
    <row r="527" ht="15.75" customHeight="1">
      <c r="L527" s="371"/>
    </row>
    <row r="528" ht="15.75" customHeight="1">
      <c r="L528" s="371"/>
    </row>
    <row r="529" ht="15.75" customHeight="1">
      <c r="L529" s="371"/>
    </row>
    <row r="530" ht="15.75" customHeight="1">
      <c r="L530" s="371"/>
    </row>
    <row r="531" ht="15.75" customHeight="1">
      <c r="L531" s="371"/>
    </row>
    <row r="532" ht="15.75" customHeight="1">
      <c r="L532" s="371"/>
    </row>
    <row r="533" ht="15.75" customHeight="1">
      <c r="L533" s="371"/>
    </row>
    <row r="534" ht="15.75" customHeight="1">
      <c r="L534" s="371"/>
    </row>
    <row r="535" ht="15.75" customHeight="1">
      <c r="L535" s="371"/>
    </row>
    <row r="536" ht="15.75" customHeight="1">
      <c r="L536" s="371"/>
    </row>
    <row r="537" ht="15.75" customHeight="1">
      <c r="L537" s="371"/>
    </row>
    <row r="538" ht="15.75" customHeight="1">
      <c r="L538" s="371"/>
    </row>
    <row r="539" ht="15.75" customHeight="1">
      <c r="L539" s="371"/>
    </row>
    <row r="540" ht="15.75" customHeight="1">
      <c r="L540" s="371"/>
    </row>
    <row r="541" ht="15.75" customHeight="1">
      <c r="L541" s="371"/>
    </row>
    <row r="542" ht="15.75" customHeight="1">
      <c r="L542" s="371"/>
    </row>
    <row r="543" ht="15.75" customHeight="1">
      <c r="L543" s="371"/>
    </row>
    <row r="544" ht="15.75" customHeight="1">
      <c r="L544" s="371"/>
    </row>
    <row r="545" ht="15.75" customHeight="1">
      <c r="L545" s="371"/>
    </row>
    <row r="546" ht="15.75" customHeight="1">
      <c r="L546" s="371"/>
    </row>
    <row r="547" ht="15.75" customHeight="1">
      <c r="L547" s="371"/>
    </row>
    <row r="548" ht="15.75" customHeight="1">
      <c r="L548" s="371"/>
    </row>
    <row r="549" ht="15.75" customHeight="1">
      <c r="L549" s="371"/>
    </row>
    <row r="550" ht="15.75" customHeight="1">
      <c r="L550" s="371"/>
    </row>
    <row r="551" ht="15.75" customHeight="1">
      <c r="L551" s="371"/>
    </row>
    <row r="552" ht="15.75" customHeight="1">
      <c r="L552" s="371"/>
    </row>
    <row r="553" ht="15.75" customHeight="1">
      <c r="L553" s="371"/>
    </row>
    <row r="554" ht="15.75" customHeight="1">
      <c r="L554" s="371"/>
    </row>
    <row r="555" ht="15.75" customHeight="1">
      <c r="L555" s="371"/>
    </row>
    <row r="556" ht="15.75" customHeight="1">
      <c r="L556" s="371"/>
    </row>
    <row r="557" ht="15.75" customHeight="1">
      <c r="L557" s="371"/>
    </row>
    <row r="558" ht="15.75" customHeight="1">
      <c r="L558" s="371"/>
    </row>
    <row r="559" ht="15.75" customHeight="1">
      <c r="L559" s="371"/>
    </row>
    <row r="560" ht="15.75" customHeight="1">
      <c r="L560" s="371"/>
    </row>
    <row r="561" ht="15.75" customHeight="1">
      <c r="L561" s="371"/>
    </row>
    <row r="562" ht="15.75" customHeight="1">
      <c r="L562" s="371"/>
    </row>
    <row r="563" ht="15.75" customHeight="1">
      <c r="L563" s="371"/>
    </row>
    <row r="564" ht="15.75" customHeight="1">
      <c r="L564" s="371"/>
    </row>
    <row r="565" ht="15.75" customHeight="1">
      <c r="L565" s="371"/>
    </row>
    <row r="566" ht="15.75" customHeight="1">
      <c r="L566" s="371"/>
    </row>
    <row r="567" ht="15.75" customHeight="1">
      <c r="L567" s="371"/>
    </row>
    <row r="568" ht="15.75" customHeight="1">
      <c r="L568" s="371"/>
    </row>
    <row r="569" ht="15.75" customHeight="1">
      <c r="L569" s="371"/>
    </row>
    <row r="570" ht="15.75" customHeight="1">
      <c r="L570" s="371"/>
    </row>
    <row r="571" ht="15.75" customHeight="1">
      <c r="L571" s="371"/>
    </row>
    <row r="572" ht="15.75" customHeight="1">
      <c r="L572" s="371"/>
    </row>
    <row r="573" ht="15.75" customHeight="1">
      <c r="L573" s="371"/>
    </row>
    <row r="574" ht="15.75" customHeight="1">
      <c r="L574" s="371"/>
    </row>
    <row r="575" ht="15.75" customHeight="1">
      <c r="L575" s="371"/>
    </row>
    <row r="576" ht="15.75" customHeight="1">
      <c r="L576" s="371"/>
    </row>
    <row r="577" ht="15.75" customHeight="1">
      <c r="L577" s="371"/>
    </row>
    <row r="578" ht="15.75" customHeight="1">
      <c r="L578" s="371"/>
    </row>
    <row r="579" ht="15.75" customHeight="1">
      <c r="L579" s="371"/>
    </row>
    <row r="580" ht="15.75" customHeight="1">
      <c r="L580" s="371"/>
    </row>
    <row r="581" ht="15.75" customHeight="1">
      <c r="L581" s="371"/>
    </row>
    <row r="582" ht="15.75" customHeight="1">
      <c r="L582" s="371"/>
    </row>
    <row r="583" ht="15.75" customHeight="1">
      <c r="L583" s="371"/>
    </row>
    <row r="584" ht="15.75" customHeight="1">
      <c r="L584" s="371"/>
    </row>
    <row r="585" ht="15.75" customHeight="1">
      <c r="L585" s="371"/>
    </row>
    <row r="586" ht="15.75" customHeight="1">
      <c r="L586" s="371"/>
    </row>
    <row r="587" ht="15.75" customHeight="1">
      <c r="L587" s="371"/>
    </row>
    <row r="588" ht="15.75" customHeight="1">
      <c r="L588" s="371"/>
    </row>
    <row r="589" ht="15.75" customHeight="1">
      <c r="L589" s="371"/>
    </row>
    <row r="590" ht="15.75" customHeight="1">
      <c r="L590" s="371"/>
    </row>
    <row r="591" ht="15.75" customHeight="1">
      <c r="L591" s="371"/>
    </row>
    <row r="592" ht="15.75" customHeight="1">
      <c r="L592" s="371"/>
    </row>
    <row r="593" ht="15.75" customHeight="1">
      <c r="L593" s="371"/>
    </row>
    <row r="594" ht="15.75" customHeight="1">
      <c r="L594" s="371"/>
    </row>
    <row r="595" ht="15.75" customHeight="1">
      <c r="L595" s="371"/>
    </row>
    <row r="596" ht="15.75" customHeight="1">
      <c r="L596" s="371"/>
    </row>
    <row r="597" ht="15.75" customHeight="1">
      <c r="L597" s="371"/>
    </row>
    <row r="598" ht="15.75" customHeight="1">
      <c r="L598" s="371"/>
    </row>
    <row r="599" ht="15.75" customHeight="1">
      <c r="L599" s="371"/>
    </row>
    <row r="600" ht="15.75" customHeight="1">
      <c r="L600" s="371"/>
    </row>
    <row r="601" ht="15.75" customHeight="1">
      <c r="L601" s="371"/>
    </row>
    <row r="602" ht="15.75" customHeight="1">
      <c r="L602" s="371"/>
    </row>
    <row r="603" ht="15.75" customHeight="1">
      <c r="L603" s="371"/>
    </row>
    <row r="604" ht="15.75" customHeight="1">
      <c r="L604" s="371"/>
    </row>
    <row r="605" ht="15.75" customHeight="1">
      <c r="L605" s="371"/>
    </row>
    <row r="606" ht="15.75" customHeight="1">
      <c r="L606" s="371"/>
    </row>
    <row r="607" ht="15.75" customHeight="1">
      <c r="L607" s="371"/>
    </row>
    <row r="608" ht="15.75" customHeight="1">
      <c r="L608" s="371"/>
    </row>
    <row r="609" ht="15.75" customHeight="1">
      <c r="L609" s="371"/>
    </row>
    <row r="610" ht="15.75" customHeight="1">
      <c r="L610" s="371"/>
    </row>
    <row r="611" ht="15.75" customHeight="1">
      <c r="L611" s="371"/>
    </row>
    <row r="612" ht="15.75" customHeight="1">
      <c r="L612" s="371"/>
    </row>
    <row r="613" ht="15.75" customHeight="1">
      <c r="L613" s="371"/>
    </row>
    <row r="614" ht="15.75" customHeight="1">
      <c r="L614" s="371"/>
    </row>
    <row r="615" ht="15.75" customHeight="1">
      <c r="L615" s="371"/>
    </row>
    <row r="616" ht="15.75" customHeight="1">
      <c r="L616" s="371"/>
    </row>
    <row r="617" ht="15.75" customHeight="1">
      <c r="L617" s="371"/>
    </row>
    <row r="618" ht="15.75" customHeight="1">
      <c r="L618" s="371"/>
    </row>
    <row r="619" ht="15.75" customHeight="1">
      <c r="L619" s="371"/>
    </row>
    <row r="620" ht="15.75" customHeight="1">
      <c r="L620" s="371"/>
    </row>
    <row r="621" ht="15.75" customHeight="1">
      <c r="L621" s="371"/>
    </row>
    <row r="622" ht="15.75" customHeight="1">
      <c r="L622" s="371"/>
    </row>
    <row r="623" ht="15.75" customHeight="1">
      <c r="L623" s="371"/>
    </row>
    <row r="624" ht="15.75" customHeight="1">
      <c r="L624" s="371"/>
    </row>
    <row r="625" ht="15.75" customHeight="1">
      <c r="L625" s="371"/>
    </row>
    <row r="626" ht="15.75" customHeight="1">
      <c r="L626" s="371"/>
    </row>
    <row r="627" ht="15.75" customHeight="1">
      <c r="L627" s="371"/>
    </row>
    <row r="628" ht="15.75" customHeight="1">
      <c r="L628" s="371"/>
    </row>
    <row r="629" ht="15.75" customHeight="1">
      <c r="L629" s="371"/>
    </row>
    <row r="630" ht="15.75" customHeight="1">
      <c r="L630" s="371"/>
    </row>
    <row r="631" ht="15.75" customHeight="1">
      <c r="L631" s="371"/>
    </row>
    <row r="632" ht="15.75" customHeight="1">
      <c r="L632" s="371"/>
    </row>
    <row r="633" ht="15.75" customHeight="1">
      <c r="L633" s="371"/>
    </row>
    <row r="634" ht="15.75" customHeight="1">
      <c r="L634" s="371"/>
    </row>
    <row r="635" ht="15.75" customHeight="1">
      <c r="L635" s="371"/>
    </row>
    <row r="636" ht="15.75" customHeight="1">
      <c r="L636" s="371"/>
    </row>
    <row r="637" ht="15.75" customHeight="1">
      <c r="L637" s="371"/>
    </row>
    <row r="638" ht="15.75" customHeight="1">
      <c r="L638" s="371"/>
    </row>
    <row r="639" ht="15.75" customHeight="1">
      <c r="L639" s="371"/>
    </row>
    <row r="640" ht="15.75" customHeight="1">
      <c r="L640" s="371"/>
    </row>
    <row r="641" ht="15.75" customHeight="1">
      <c r="L641" s="371"/>
    </row>
    <row r="642" ht="15.75" customHeight="1">
      <c r="L642" s="371"/>
    </row>
    <row r="643" ht="15.75" customHeight="1">
      <c r="L643" s="371"/>
    </row>
    <row r="644" ht="15.75" customHeight="1">
      <c r="L644" s="371"/>
    </row>
    <row r="645" ht="15.75" customHeight="1">
      <c r="L645" s="371"/>
    </row>
    <row r="646" ht="15.75" customHeight="1">
      <c r="L646" s="371"/>
    </row>
    <row r="647" ht="15.75" customHeight="1">
      <c r="L647" s="371"/>
    </row>
    <row r="648" ht="15.75" customHeight="1">
      <c r="L648" s="371"/>
    </row>
    <row r="649" ht="15.75" customHeight="1">
      <c r="L649" s="371"/>
    </row>
    <row r="650" ht="15.75" customHeight="1">
      <c r="L650" s="371"/>
    </row>
    <row r="651" ht="15.75" customHeight="1">
      <c r="L651" s="371"/>
    </row>
    <row r="652" ht="15.75" customHeight="1">
      <c r="L652" s="371"/>
    </row>
    <row r="653" ht="15.75" customHeight="1">
      <c r="L653" s="371"/>
    </row>
    <row r="654" ht="15.75" customHeight="1">
      <c r="L654" s="371"/>
    </row>
    <row r="655" ht="15.75" customHeight="1">
      <c r="L655" s="371"/>
    </row>
    <row r="656" ht="15.75" customHeight="1">
      <c r="L656" s="371"/>
    </row>
    <row r="657" ht="15.75" customHeight="1">
      <c r="L657" s="371"/>
    </row>
    <row r="658" ht="15.75" customHeight="1">
      <c r="L658" s="371"/>
    </row>
    <row r="659" ht="15.75" customHeight="1">
      <c r="L659" s="371"/>
    </row>
    <row r="660" ht="15.75" customHeight="1">
      <c r="L660" s="371"/>
    </row>
    <row r="661" ht="15.75" customHeight="1">
      <c r="L661" s="371"/>
    </row>
    <row r="662" ht="15.75" customHeight="1">
      <c r="L662" s="371"/>
    </row>
    <row r="663" ht="15.75" customHeight="1">
      <c r="L663" s="371"/>
    </row>
    <row r="664" ht="15.75" customHeight="1">
      <c r="L664" s="371"/>
    </row>
    <row r="665" ht="15.75" customHeight="1">
      <c r="L665" s="371"/>
    </row>
    <row r="666" ht="15.75" customHeight="1">
      <c r="L666" s="371"/>
    </row>
    <row r="667" ht="15.75" customHeight="1">
      <c r="L667" s="371"/>
    </row>
    <row r="668" ht="15.75" customHeight="1">
      <c r="L668" s="371"/>
    </row>
    <row r="669" ht="15.75" customHeight="1">
      <c r="L669" s="371"/>
    </row>
    <row r="670" ht="15.75" customHeight="1">
      <c r="L670" s="371"/>
    </row>
    <row r="671" ht="15.75" customHeight="1">
      <c r="L671" s="371"/>
    </row>
    <row r="672" ht="15.75" customHeight="1">
      <c r="L672" s="371"/>
    </row>
    <row r="673" ht="15.75" customHeight="1">
      <c r="L673" s="371"/>
    </row>
    <row r="674" ht="15.75" customHeight="1">
      <c r="L674" s="371"/>
    </row>
    <row r="675" ht="15.75" customHeight="1">
      <c r="L675" s="371"/>
    </row>
    <row r="676" ht="15.75" customHeight="1">
      <c r="L676" s="371"/>
    </row>
    <row r="677" ht="15.75" customHeight="1">
      <c r="L677" s="371"/>
    </row>
    <row r="678" ht="15.75" customHeight="1">
      <c r="L678" s="371"/>
    </row>
    <row r="679" ht="15.75" customHeight="1">
      <c r="L679" s="371"/>
    </row>
    <row r="680" ht="15.75" customHeight="1">
      <c r="L680" s="371"/>
    </row>
    <row r="681" ht="15.75" customHeight="1">
      <c r="L681" s="371"/>
    </row>
    <row r="682" ht="15.75" customHeight="1">
      <c r="L682" s="371"/>
    </row>
    <row r="683" ht="15.75" customHeight="1">
      <c r="L683" s="371"/>
    </row>
    <row r="684" ht="15.75" customHeight="1">
      <c r="L684" s="371"/>
    </row>
    <row r="685" ht="15.75" customHeight="1">
      <c r="L685" s="371"/>
    </row>
    <row r="686" ht="15.75" customHeight="1">
      <c r="L686" s="371"/>
    </row>
    <row r="687" ht="15.75" customHeight="1">
      <c r="L687" s="371"/>
    </row>
    <row r="688" ht="15.75" customHeight="1">
      <c r="L688" s="371"/>
    </row>
    <row r="689" ht="15.75" customHeight="1">
      <c r="L689" s="371"/>
    </row>
    <row r="690" ht="15.75" customHeight="1">
      <c r="L690" s="371"/>
    </row>
    <row r="691" ht="15.75" customHeight="1">
      <c r="L691" s="371"/>
    </row>
    <row r="692" ht="15.75" customHeight="1">
      <c r="L692" s="371"/>
    </row>
    <row r="693" ht="15.75" customHeight="1">
      <c r="L693" s="371"/>
    </row>
    <row r="694" ht="15.75" customHeight="1">
      <c r="L694" s="371"/>
    </row>
    <row r="695" ht="15.75" customHeight="1">
      <c r="L695" s="371"/>
    </row>
    <row r="696" ht="15.75" customHeight="1">
      <c r="L696" s="371"/>
    </row>
    <row r="697" ht="15.75" customHeight="1">
      <c r="L697" s="371"/>
    </row>
    <row r="698" ht="15.75" customHeight="1">
      <c r="L698" s="371"/>
    </row>
    <row r="699" ht="15.75" customHeight="1">
      <c r="L699" s="371"/>
    </row>
    <row r="700" ht="15.75" customHeight="1">
      <c r="L700" s="371"/>
    </row>
    <row r="701" ht="15.75" customHeight="1">
      <c r="L701" s="371"/>
    </row>
    <row r="702" ht="15.75" customHeight="1">
      <c r="L702" s="371"/>
    </row>
    <row r="703" ht="15.75" customHeight="1">
      <c r="L703" s="371"/>
    </row>
    <row r="704" ht="15.75" customHeight="1">
      <c r="L704" s="371"/>
    </row>
    <row r="705" ht="15.75" customHeight="1">
      <c r="L705" s="371"/>
    </row>
    <row r="706" ht="15.75" customHeight="1">
      <c r="L706" s="371"/>
    </row>
    <row r="707" ht="15.75" customHeight="1">
      <c r="L707" s="371"/>
    </row>
    <row r="708" ht="15.75" customHeight="1">
      <c r="L708" s="371"/>
    </row>
    <row r="709" ht="15.75" customHeight="1">
      <c r="L709" s="371"/>
    </row>
    <row r="710" ht="15.75" customHeight="1">
      <c r="L710" s="371"/>
    </row>
    <row r="711" ht="15.75" customHeight="1">
      <c r="L711" s="371"/>
    </row>
    <row r="712" ht="15.75" customHeight="1">
      <c r="L712" s="371"/>
    </row>
    <row r="713" ht="15.75" customHeight="1">
      <c r="L713" s="371"/>
    </row>
    <row r="714" ht="15.75" customHeight="1">
      <c r="L714" s="371"/>
    </row>
    <row r="715" ht="15.75" customHeight="1">
      <c r="L715" s="371"/>
    </row>
    <row r="716" ht="15.75" customHeight="1">
      <c r="L716" s="371"/>
    </row>
    <row r="717" ht="15.75" customHeight="1">
      <c r="L717" s="371"/>
    </row>
    <row r="718" ht="15.75" customHeight="1">
      <c r="L718" s="371"/>
    </row>
    <row r="719" ht="15.75" customHeight="1">
      <c r="L719" s="371"/>
    </row>
    <row r="720" ht="15.75" customHeight="1">
      <c r="L720" s="371"/>
    </row>
    <row r="721" ht="15.75" customHeight="1">
      <c r="L721" s="371"/>
    </row>
    <row r="722" ht="15.75" customHeight="1">
      <c r="L722" s="371"/>
    </row>
    <row r="723" ht="15.75" customHeight="1">
      <c r="L723" s="371"/>
    </row>
    <row r="724" ht="15.75" customHeight="1">
      <c r="L724" s="371"/>
    </row>
    <row r="725" ht="15.75" customHeight="1">
      <c r="L725" s="371"/>
    </row>
    <row r="726" ht="15.75" customHeight="1">
      <c r="L726" s="371"/>
    </row>
    <row r="727" ht="15.75" customHeight="1">
      <c r="L727" s="371"/>
    </row>
    <row r="728" ht="15.75" customHeight="1">
      <c r="L728" s="371"/>
    </row>
    <row r="729" ht="15.75" customHeight="1">
      <c r="L729" s="371"/>
    </row>
    <row r="730" ht="15.75" customHeight="1">
      <c r="L730" s="371"/>
    </row>
    <row r="731" ht="15.75" customHeight="1">
      <c r="L731" s="371"/>
    </row>
    <row r="732" ht="15.75" customHeight="1">
      <c r="L732" s="371"/>
    </row>
    <row r="733" ht="15.75" customHeight="1">
      <c r="L733" s="371"/>
    </row>
    <row r="734" ht="15.75" customHeight="1">
      <c r="L734" s="371"/>
    </row>
    <row r="735" ht="15.75" customHeight="1">
      <c r="L735" s="371"/>
    </row>
    <row r="736" ht="15.75" customHeight="1">
      <c r="L736" s="371"/>
    </row>
    <row r="737" ht="15.75" customHeight="1">
      <c r="L737" s="371"/>
    </row>
    <row r="738" ht="15.75" customHeight="1">
      <c r="L738" s="371"/>
    </row>
    <row r="739" ht="15.75" customHeight="1">
      <c r="L739" s="371"/>
    </row>
    <row r="740" ht="15.75" customHeight="1">
      <c r="L740" s="371"/>
    </row>
    <row r="741" ht="15.75" customHeight="1">
      <c r="L741" s="371"/>
    </row>
    <row r="742" ht="15.75" customHeight="1">
      <c r="L742" s="371"/>
    </row>
    <row r="743" ht="15.75" customHeight="1">
      <c r="L743" s="371"/>
    </row>
    <row r="744" ht="15.75" customHeight="1">
      <c r="L744" s="371"/>
    </row>
    <row r="745" ht="15.75" customHeight="1">
      <c r="L745" s="371"/>
    </row>
    <row r="746" ht="15.75" customHeight="1">
      <c r="L746" s="371"/>
    </row>
    <row r="747" ht="15.75" customHeight="1">
      <c r="L747" s="371"/>
    </row>
    <row r="748" ht="15.75" customHeight="1">
      <c r="L748" s="371"/>
    </row>
    <row r="749" ht="15.75" customHeight="1">
      <c r="L749" s="371"/>
    </row>
    <row r="750" ht="15.75" customHeight="1">
      <c r="L750" s="371"/>
    </row>
    <row r="751" ht="15.75" customHeight="1">
      <c r="L751" s="371"/>
    </row>
    <row r="752" ht="15.75" customHeight="1">
      <c r="L752" s="371"/>
    </row>
    <row r="753" ht="15.75" customHeight="1">
      <c r="L753" s="371"/>
    </row>
    <row r="754" ht="15.75" customHeight="1">
      <c r="L754" s="371"/>
    </row>
    <row r="755" ht="15.75" customHeight="1">
      <c r="L755" s="371"/>
    </row>
    <row r="756" ht="15.75" customHeight="1">
      <c r="L756" s="371"/>
    </row>
    <row r="757" ht="15.75" customHeight="1">
      <c r="L757" s="371"/>
    </row>
    <row r="758" ht="15.75" customHeight="1">
      <c r="L758" s="371"/>
    </row>
    <row r="759" ht="15.75" customHeight="1">
      <c r="L759" s="371"/>
    </row>
    <row r="760" ht="15.75" customHeight="1">
      <c r="L760" s="371"/>
    </row>
    <row r="761" ht="15.75" customHeight="1">
      <c r="L761" s="371"/>
    </row>
    <row r="762" ht="15.75" customHeight="1">
      <c r="L762" s="371"/>
    </row>
    <row r="763" ht="15.75" customHeight="1">
      <c r="L763" s="371"/>
    </row>
    <row r="764" ht="15.75" customHeight="1">
      <c r="L764" s="371"/>
    </row>
    <row r="765" ht="15.75" customHeight="1">
      <c r="L765" s="371"/>
    </row>
    <row r="766" ht="15.75" customHeight="1">
      <c r="L766" s="371"/>
    </row>
    <row r="767" ht="15.75" customHeight="1">
      <c r="L767" s="371"/>
    </row>
    <row r="768" ht="15.75" customHeight="1">
      <c r="L768" s="371"/>
    </row>
    <row r="769" ht="15.75" customHeight="1">
      <c r="L769" s="371"/>
    </row>
    <row r="770" ht="15.75" customHeight="1">
      <c r="L770" s="371"/>
    </row>
    <row r="771" ht="15.75" customHeight="1">
      <c r="L771" s="371"/>
    </row>
    <row r="772" ht="15.75" customHeight="1">
      <c r="L772" s="371"/>
    </row>
    <row r="773" ht="15.75" customHeight="1">
      <c r="L773" s="371"/>
    </row>
    <row r="774" ht="15.75" customHeight="1">
      <c r="L774" s="371"/>
    </row>
    <row r="775" ht="15.75" customHeight="1">
      <c r="L775" s="371"/>
    </row>
    <row r="776" ht="15.75" customHeight="1">
      <c r="L776" s="371"/>
    </row>
    <row r="777" ht="15.75" customHeight="1">
      <c r="L777" s="371"/>
    </row>
    <row r="778" ht="15.75" customHeight="1">
      <c r="L778" s="371"/>
    </row>
    <row r="779" ht="15.75" customHeight="1">
      <c r="L779" s="371"/>
    </row>
    <row r="780" ht="15.75" customHeight="1">
      <c r="L780" s="371"/>
    </row>
    <row r="781" ht="15.75" customHeight="1">
      <c r="L781" s="371"/>
    </row>
    <row r="782" ht="15.75" customHeight="1">
      <c r="L782" s="371"/>
    </row>
    <row r="783" ht="15.75" customHeight="1">
      <c r="L783" s="371"/>
    </row>
    <row r="784" ht="15.75" customHeight="1">
      <c r="L784" s="371"/>
    </row>
    <row r="785" ht="15.75" customHeight="1">
      <c r="L785" s="371"/>
    </row>
    <row r="786" ht="15.75" customHeight="1">
      <c r="L786" s="371"/>
    </row>
    <row r="787" ht="15.75" customHeight="1">
      <c r="L787" s="371"/>
    </row>
    <row r="788" ht="15.75" customHeight="1">
      <c r="L788" s="371"/>
    </row>
    <row r="789" ht="15.75" customHeight="1">
      <c r="L789" s="371"/>
    </row>
    <row r="790" ht="15.75" customHeight="1">
      <c r="L790" s="371"/>
    </row>
    <row r="791" ht="15.75" customHeight="1">
      <c r="L791" s="371"/>
    </row>
    <row r="792" ht="15.75" customHeight="1">
      <c r="L792" s="371"/>
    </row>
    <row r="793" ht="15.75" customHeight="1">
      <c r="L793" s="371"/>
    </row>
    <row r="794" ht="15.75" customHeight="1">
      <c r="L794" s="371"/>
    </row>
    <row r="795" ht="15.75" customHeight="1">
      <c r="L795" s="371"/>
    </row>
    <row r="796" ht="15.75" customHeight="1">
      <c r="L796" s="371"/>
    </row>
    <row r="797" ht="15.75" customHeight="1">
      <c r="L797" s="371"/>
    </row>
    <row r="798" ht="15.75" customHeight="1">
      <c r="L798" s="371"/>
    </row>
    <row r="799" ht="15.75" customHeight="1">
      <c r="L799" s="371"/>
    </row>
    <row r="800" ht="15.75" customHeight="1">
      <c r="L800" s="371"/>
    </row>
    <row r="801" ht="15.75" customHeight="1">
      <c r="L801" s="371"/>
    </row>
    <row r="802" ht="15.75" customHeight="1">
      <c r="L802" s="371"/>
    </row>
    <row r="803" ht="15.75" customHeight="1">
      <c r="L803" s="371"/>
    </row>
    <row r="804" ht="15.75" customHeight="1">
      <c r="L804" s="371"/>
    </row>
    <row r="805" ht="15.75" customHeight="1">
      <c r="L805" s="371"/>
    </row>
    <row r="806" ht="15.75" customHeight="1">
      <c r="L806" s="371"/>
    </row>
    <row r="807" ht="15.75" customHeight="1">
      <c r="L807" s="371"/>
    </row>
    <row r="808" ht="15.75" customHeight="1">
      <c r="L808" s="371"/>
    </row>
    <row r="809" ht="15.75" customHeight="1">
      <c r="L809" s="371"/>
    </row>
    <row r="810" ht="15.75" customHeight="1">
      <c r="L810" s="371"/>
    </row>
    <row r="811" ht="15.75" customHeight="1">
      <c r="L811" s="371"/>
    </row>
    <row r="812" ht="15.75" customHeight="1">
      <c r="L812" s="371"/>
    </row>
    <row r="813" ht="15.75" customHeight="1">
      <c r="L813" s="371"/>
    </row>
    <row r="814" ht="15.75" customHeight="1">
      <c r="L814" s="371"/>
    </row>
    <row r="815" ht="15.75" customHeight="1">
      <c r="L815" s="371"/>
    </row>
    <row r="816" ht="15.75" customHeight="1">
      <c r="L816" s="371"/>
    </row>
    <row r="817" ht="15.75" customHeight="1">
      <c r="L817" s="371"/>
    </row>
    <row r="818" ht="15.75" customHeight="1">
      <c r="L818" s="371"/>
    </row>
    <row r="819" ht="15.75" customHeight="1">
      <c r="L819" s="371"/>
    </row>
    <row r="820" ht="15.75" customHeight="1">
      <c r="L820" s="371"/>
    </row>
    <row r="821" ht="15.75" customHeight="1">
      <c r="L821" s="371"/>
    </row>
    <row r="822" ht="15.75" customHeight="1">
      <c r="L822" s="371"/>
    </row>
    <row r="823" ht="15.75" customHeight="1">
      <c r="L823" s="371"/>
    </row>
    <row r="824" ht="15.75" customHeight="1">
      <c r="L824" s="371"/>
    </row>
    <row r="825" ht="15.75" customHeight="1">
      <c r="L825" s="371"/>
    </row>
    <row r="826" ht="15.75" customHeight="1">
      <c r="L826" s="371"/>
    </row>
    <row r="827" ht="15.75" customHeight="1">
      <c r="L827" s="371"/>
    </row>
    <row r="828" ht="15.75" customHeight="1">
      <c r="L828" s="371"/>
    </row>
    <row r="829" ht="15.75" customHeight="1">
      <c r="L829" s="371"/>
    </row>
    <row r="830" ht="15.75" customHeight="1">
      <c r="L830" s="371"/>
    </row>
    <row r="831" ht="15.75" customHeight="1">
      <c r="L831" s="371"/>
    </row>
    <row r="832" ht="15.75" customHeight="1">
      <c r="L832" s="371"/>
    </row>
    <row r="833" ht="15.75" customHeight="1">
      <c r="L833" s="371"/>
    </row>
    <row r="834" ht="15.75" customHeight="1">
      <c r="L834" s="371"/>
    </row>
    <row r="835" ht="15.75" customHeight="1">
      <c r="L835" s="371"/>
    </row>
    <row r="836" ht="15.75" customHeight="1">
      <c r="L836" s="371"/>
    </row>
    <row r="837" ht="15.75" customHeight="1">
      <c r="L837" s="371"/>
    </row>
    <row r="838" ht="15.75" customHeight="1">
      <c r="L838" s="371"/>
    </row>
    <row r="839" ht="15.75" customHeight="1">
      <c r="L839" s="371"/>
    </row>
    <row r="840" ht="15.75" customHeight="1">
      <c r="L840" s="371"/>
    </row>
    <row r="841" ht="15.75" customHeight="1">
      <c r="L841" s="371"/>
    </row>
    <row r="842" ht="15.75" customHeight="1">
      <c r="L842" s="371"/>
    </row>
    <row r="843" ht="15.75" customHeight="1">
      <c r="L843" s="371"/>
    </row>
    <row r="844" ht="15.75" customHeight="1">
      <c r="L844" s="371"/>
    </row>
    <row r="845" ht="15.75" customHeight="1">
      <c r="L845" s="371"/>
    </row>
    <row r="846" ht="15.75" customHeight="1">
      <c r="L846" s="371"/>
    </row>
    <row r="847" ht="15.75" customHeight="1">
      <c r="L847" s="371"/>
    </row>
    <row r="848" ht="15.75" customHeight="1">
      <c r="L848" s="371"/>
    </row>
    <row r="849" ht="15.75" customHeight="1">
      <c r="L849" s="371"/>
    </row>
    <row r="850" ht="15.75" customHeight="1">
      <c r="L850" s="371"/>
    </row>
    <row r="851" ht="15.75" customHeight="1">
      <c r="L851" s="371"/>
    </row>
    <row r="852" ht="15.75" customHeight="1">
      <c r="L852" s="371"/>
    </row>
    <row r="853" ht="15.75" customHeight="1">
      <c r="L853" s="371"/>
    </row>
    <row r="854" ht="15.75" customHeight="1">
      <c r="L854" s="371"/>
    </row>
    <row r="855" ht="15.75" customHeight="1">
      <c r="L855" s="371"/>
    </row>
    <row r="856" ht="15.75" customHeight="1">
      <c r="L856" s="371"/>
    </row>
    <row r="857" ht="15.75" customHeight="1">
      <c r="L857" s="371"/>
    </row>
    <row r="858" ht="15.75" customHeight="1">
      <c r="L858" s="371"/>
    </row>
    <row r="859" ht="15.75" customHeight="1">
      <c r="L859" s="371"/>
    </row>
    <row r="860" ht="15.75" customHeight="1">
      <c r="L860" s="371"/>
    </row>
    <row r="861" ht="15.75" customHeight="1">
      <c r="L861" s="371"/>
    </row>
    <row r="862" ht="15.75" customHeight="1">
      <c r="L862" s="371"/>
    </row>
    <row r="863" ht="15.75" customHeight="1">
      <c r="L863" s="371"/>
    </row>
    <row r="864" ht="15.75" customHeight="1">
      <c r="L864" s="371"/>
    </row>
    <row r="865" ht="15.75" customHeight="1">
      <c r="L865" s="371"/>
    </row>
    <row r="866" ht="15.75" customHeight="1">
      <c r="L866" s="371"/>
    </row>
    <row r="867" ht="15.75" customHeight="1">
      <c r="L867" s="371"/>
    </row>
    <row r="868" ht="15.75" customHeight="1">
      <c r="L868" s="371"/>
    </row>
    <row r="869" ht="15.75" customHeight="1">
      <c r="L869" s="371"/>
    </row>
    <row r="870" ht="15.75" customHeight="1">
      <c r="L870" s="371"/>
    </row>
    <row r="871" ht="15.75" customHeight="1">
      <c r="L871" s="371"/>
    </row>
    <row r="872" ht="15.75" customHeight="1">
      <c r="L872" s="371"/>
    </row>
    <row r="873" ht="15.75" customHeight="1">
      <c r="L873" s="371"/>
    </row>
    <row r="874" ht="15.75" customHeight="1">
      <c r="L874" s="371"/>
    </row>
    <row r="875" ht="15.75" customHeight="1">
      <c r="L875" s="371"/>
    </row>
    <row r="876" ht="15.75" customHeight="1">
      <c r="L876" s="371"/>
    </row>
    <row r="877" ht="15.75" customHeight="1">
      <c r="L877" s="371"/>
    </row>
    <row r="878" ht="15.75" customHeight="1">
      <c r="L878" s="371"/>
    </row>
    <row r="879" ht="15.75" customHeight="1">
      <c r="L879" s="371"/>
    </row>
    <row r="880" ht="15.75" customHeight="1">
      <c r="L880" s="371"/>
    </row>
    <row r="881" ht="15.75" customHeight="1">
      <c r="L881" s="371"/>
    </row>
    <row r="882" ht="15.75" customHeight="1">
      <c r="L882" s="371"/>
    </row>
    <row r="883" ht="15.75" customHeight="1">
      <c r="L883" s="371"/>
    </row>
    <row r="884" ht="15.75" customHeight="1">
      <c r="L884" s="371"/>
    </row>
    <row r="885" ht="15.75" customHeight="1">
      <c r="L885" s="371"/>
    </row>
    <row r="886" ht="15.75" customHeight="1">
      <c r="L886" s="371"/>
    </row>
    <row r="887" ht="15.75" customHeight="1">
      <c r="L887" s="371"/>
    </row>
    <row r="888" ht="15.75" customHeight="1">
      <c r="L888" s="371"/>
    </row>
    <row r="889" ht="15.75" customHeight="1">
      <c r="L889" s="371"/>
    </row>
    <row r="890" ht="15.75" customHeight="1">
      <c r="L890" s="371"/>
    </row>
    <row r="891" ht="15.75" customHeight="1">
      <c r="L891" s="371"/>
    </row>
    <row r="892" ht="15.75" customHeight="1">
      <c r="L892" s="371"/>
    </row>
    <row r="893" ht="15.75" customHeight="1">
      <c r="L893" s="371"/>
    </row>
    <row r="894" ht="15.75" customHeight="1">
      <c r="L894" s="371"/>
    </row>
    <row r="895" ht="15.75" customHeight="1">
      <c r="L895" s="371"/>
    </row>
    <row r="896" ht="15.75" customHeight="1">
      <c r="L896" s="371"/>
    </row>
    <row r="897" ht="15.75" customHeight="1">
      <c r="L897" s="371"/>
    </row>
    <row r="898" ht="15.75" customHeight="1">
      <c r="L898" s="371"/>
    </row>
    <row r="899" ht="15.75" customHeight="1">
      <c r="L899" s="371"/>
    </row>
    <row r="900" ht="15.75" customHeight="1">
      <c r="L900" s="371"/>
    </row>
    <row r="901" ht="15.75" customHeight="1">
      <c r="L901" s="371"/>
    </row>
    <row r="902" ht="15.75" customHeight="1">
      <c r="L902" s="371"/>
    </row>
    <row r="903" ht="15.75" customHeight="1">
      <c r="L903" s="371"/>
    </row>
    <row r="904" ht="15.75" customHeight="1">
      <c r="L904" s="371"/>
    </row>
    <row r="905" ht="15.75" customHeight="1">
      <c r="L905" s="371"/>
    </row>
    <row r="906" ht="15.75" customHeight="1">
      <c r="L906" s="371"/>
    </row>
    <row r="907" ht="15.75" customHeight="1">
      <c r="L907" s="371"/>
    </row>
    <row r="908" ht="15.75" customHeight="1">
      <c r="L908" s="371"/>
    </row>
    <row r="909" ht="15.75" customHeight="1">
      <c r="L909" s="371"/>
    </row>
    <row r="910" ht="15.75" customHeight="1">
      <c r="L910" s="371"/>
    </row>
    <row r="911" ht="15.75" customHeight="1">
      <c r="L911" s="371"/>
    </row>
    <row r="912" ht="15.75" customHeight="1">
      <c r="L912" s="371"/>
    </row>
    <row r="913" ht="15.75" customHeight="1">
      <c r="L913" s="371"/>
    </row>
    <row r="914" ht="15.75" customHeight="1">
      <c r="L914" s="371"/>
    </row>
    <row r="915" ht="15.75" customHeight="1">
      <c r="L915" s="371"/>
    </row>
    <row r="916" ht="15.75" customHeight="1">
      <c r="L916" s="371"/>
    </row>
    <row r="917" ht="15.75" customHeight="1">
      <c r="L917" s="371"/>
    </row>
    <row r="918" ht="15.75" customHeight="1">
      <c r="L918" s="371"/>
    </row>
    <row r="919" ht="15.75" customHeight="1">
      <c r="L919" s="371"/>
    </row>
    <row r="920" ht="15.75" customHeight="1">
      <c r="L920" s="371"/>
    </row>
    <row r="921" ht="15.75" customHeight="1">
      <c r="L921" s="371"/>
    </row>
    <row r="922" ht="15.75" customHeight="1">
      <c r="L922" s="371"/>
    </row>
    <row r="923" ht="15.75" customHeight="1">
      <c r="L923" s="371"/>
    </row>
    <row r="924" ht="15.75" customHeight="1">
      <c r="L924" s="371"/>
    </row>
    <row r="925" ht="15.75" customHeight="1">
      <c r="L925" s="371"/>
    </row>
    <row r="926" ht="15.75" customHeight="1">
      <c r="L926" s="371"/>
    </row>
    <row r="927" ht="15.75" customHeight="1">
      <c r="L927" s="371"/>
    </row>
    <row r="928" ht="15.75" customHeight="1">
      <c r="L928" s="371"/>
    </row>
    <row r="929" ht="15.75" customHeight="1">
      <c r="L929" s="371"/>
    </row>
    <row r="930" ht="15.75" customHeight="1">
      <c r="L930" s="371"/>
    </row>
    <row r="931" ht="15.75" customHeight="1">
      <c r="L931" s="371"/>
    </row>
    <row r="932" ht="15.75" customHeight="1">
      <c r="L932" s="371"/>
    </row>
    <row r="933" ht="15.75" customHeight="1">
      <c r="L933" s="371"/>
    </row>
    <row r="934" ht="15.75" customHeight="1">
      <c r="L934" s="371"/>
    </row>
    <row r="935" ht="15.75" customHeight="1">
      <c r="L935" s="371"/>
    </row>
    <row r="936" ht="15.75" customHeight="1">
      <c r="L936" s="371"/>
    </row>
    <row r="937" ht="15.75" customHeight="1">
      <c r="L937" s="371"/>
    </row>
    <row r="938" ht="15.75" customHeight="1">
      <c r="L938" s="371"/>
    </row>
    <row r="939" ht="15.75" customHeight="1">
      <c r="L939" s="371"/>
    </row>
    <row r="940" ht="15.75" customHeight="1">
      <c r="L940" s="371"/>
    </row>
    <row r="941" ht="15.75" customHeight="1">
      <c r="L941" s="371"/>
    </row>
    <row r="942" ht="15.75" customHeight="1">
      <c r="L942" s="371"/>
    </row>
    <row r="943" ht="15.75" customHeight="1">
      <c r="L943" s="371"/>
    </row>
    <row r="944" ht="15.75" customHeight="1">
      <c r="L944" s="371"/>
    </row>
    <row r="945" ht="15.75" customHeight="1">
      <c r="L945" s="371"/>
    </row>
    <row r="946" ht="15.75" customHeight="1">
      <c r="L946" s="371"/>
    </row>
    <row r="947" ht="15.75" customHeight="1">
      <c r="L947" s="371"/>
    </row>
    <row r="948" ht="15.75" customHeight="1">
      <c r="L948" s="371"/>
    </row>
    <row r="949" ht="15.75" customHeight="1">
      <c r="L949" s="371"/>
    </row>
    <row r="950" ht="15.75" customHeight="1">
      <c r="L950" s="371"/>
    </row>
    <row r="951" ht="15.75" customHeight="1">
      <c r="L951" s="371"/>
    </row>
    <row r="952" ht="15.75" customHeight="1">
      <c r="L952" s="371"/>
    </row>
    <row r="953" ht="15.75" customHeight="1">
      <c r="L953" s="371"/>
    </row>
    <row r="954" ht="15.75" customHeight="1">
      <c r="L954" s="371"/>
    </row>
    <row r="955" ht="15.75" customHeight="1">
      <c r="L955" s="371"/>
    </row>
    <row r="956" ht="15.75" customHeight="1">
      <c r="L956" s="371"/>
    </row>
    <row r="957" ht="15.75" customHeight="1">
      <c r="L957" s="371"/>
    </row>
    <row r="958" ht="15.75" customHeight="1">
      <c r="L958" s="371"/>
    </row>
    <row r="959" ht="15.75" customHeight="1">
      <c r="L959" s="371"/>
    </row>
    <row r="960" ht="15.75" customHeight="1">
      <c r="L960" s="371"/>
    </row>
    <row r="961" ht="15.75" customHeight="1">
      <c r="L961" s="371"/>
    </row>
    <row r="962" ht="15.75" customHeight="1">
      <c r="L962" s="371"/>
    </row>
    <row r="963" ht="15.75" customHeight="1">
      <c r="L963" s="371"/>
    </row>
    <row r="964" ht="15.75" customHeight="1">
      <c r="L964" s="371"/>
    </row>
    <row r="965" ht="15.75" customHeight="1">
      <c r="L965" s="371"/>
    </row>
    <row r="966" ht="15.75" customHeight="1">
      <c r="L966" s="371"/>
    </row>
    <row r="967" ht="15.75" customHeight="1">
      <c r="L967" s="371"/>
    </row>
    <row r="968" ht="15.75" customHeight="1">
      <c r="L968" s="371"/>
    </row>
    <row r="969" ht="15.75" customHeight="1">
      <c r="L969" s="371"/>
    </row>
    <row r="970" ht="15.75" customHeight="1">
      <c r="L970" s="371"/>
    </row>
    <row r="971" ht="15.75" customHeight="1">
      <c r="L971" s="371"/>
    </row>
    <row r="972" ht="15.75" customHeight="1">
      <c r="L972" s="371"/>
    </row>
    <row r="973" ht="15.75" customHeight="1">
      <c r="L973" s="371"/>
    </row>
    <row r="974" ht="15.75" customHeight="1">
      <c r="L974" s="371"/>
    </row>
    <row r="975" ht="15.75" customHeight="1">
      <c r="L975" s="371"/>
    </row>
    <row r="976" ht="15.75" customHeight="1">
      <c r="L976" s="371"/>
    </row>
    <row r="977" ht="15.75" customHeight="1">
      <c r="L977" s="371"/>
    </row>
    <row r="978" ht="15.75" customHeight="1">
      <c r="L978" s="371"/>
    </row>
    <row r="979" ht="15.75" customHeight="1">
      <c r="L979" s="371"/>
    </row>
    <row r="980" ht="15.75" customHeight="1">
      <c r="L980" s="371"/>
    </row>
    <row r="981" ht="15.75" customHeight="1">
      <c r="L981" s="371"/>
    </row>
    <row r="982" ht="15.75" customHeight="1">
      <c r="L982" s="371"/>
    </row>
    <row r="983" ht="15.75" customHeight="1">
      <c r="L983" s="371"/>
    </row>
    <row r="984" ht="15.75" customHeight="1">
      <c r="L984" s="371"/>
    </row>
    <row r="985" ht="15.75" customHeight="1">
      <c r="L985" s="371"/>
    </row>
    <row r="986" ht="15.75" customHeight="1">
      <c r="L986" s="371"/>
    </row>
    <row r="987" ht="15.75" customHeight="1">
      <c r="L987" s="371"/>
    </row>
    <row r="988" ht="15.75" customHeight="1">
      <c r="L988" s="371"/>
    </row>
    <row r="989" ht="15.75" customHeight="1">
      <c r="L989" s="371"/>
    </row>
    <row r="990" ht="15.75" customHeight="1">
      <c r="L990" s="371"/>
    </row>
    <row r="991" ht="15.75" customHeight="1">
      <c r="L991" s="371"/>
    </row>
    <row r="992" ht="15.75" customHeight="1">
      <c r="L992" s="371"/>
    </row>
    <row r="993" ht="15.75" customHeight="1">
      <c r="L993" s="371"/>
    </row>
    <row r="994" ht="15.75" customHeight="1">
      <c r="L994" s="371"/>
    </row>
    <row r="995" ht="15.75" customHeight="1">
      <c r="L995" s="371"/>
    </row>
    <row r="996" ht="15.75" customHeight="1">
      <c r="L996" s="371"/>
    </row>
    <row r="997" ht="15.75" customHeight="1">
      <c r="L997" s="371"/>
    </row>
    <row r="998" ht="15.75" customHeight="1">
      <c r="L998" s="371"/>
    </row>
    <row r="999" ht="15.75" customHeight="1">
      <c r="L999" s="371"/>
    </row>
    <row r="1000" ht="15.75" customHeight="1">
      <c r="L1000" s="371"/>
    </row>
    <row r="1001" ht="15.75" customHeight="1">
      <c r="L1001" s="371"/>
    </row>
    <row r="1002" ht="15.75" customHeight="1">
      <c r="L1002" s="371"/>
    </row>
    <row r="1003" ht="15.75" customHeight="1">
      <c r="L1003" s="371"/>
    </row>
    <row r="1004" ht="15.75" customHeight="1">
      <c r="L1004" s="371"/>
    </row>
    <row r="1005" ht="15.75" customHeight="1">
      <c r="L1005" s="371"/>
    </row>
    <row r="1006" ht="15.75" customHeight="1">
      <c r="L1006" s="371"/>
    </row>
    <row r="1007" ht="15.75" customHeight="1">
      <c r="L1007" s="371"/>
    </row>
    <row r="1008" ht="15.75" customHeight="1">
      <c r="L1008" s="371"/>
    </row>
    <row r="1009" ht="15.75" customHeight="1">
      <c r="L1009" s="371"/>
    </row>
    <row r="1010" ht="15.75" customHeight="1">
      <c r="L1010" s="371"/>
    </row>
    <row r="1011" ht="15.75" customHeight="1">
      <c r="L1011" s="371"/>
    </row>
    <row r="1012" ht="15.75" customHeight="1">
      <c r="L1012" s="371"/>
    </row>
    <row r="1013" ht="15.75" customHeight="1">
      <c r="L1013" s="371"/>
    </row>
    <row r="1014" ht="15.75" customHeight="1">
      <c r="L1014" s="371"/>
    </row>
    <row r="1015" ht="15.75" customHeight="1">
      <c r="L1015" s="371"/>
    </row>
  </sheetData>
  <mergeCells count="55">
    <mergeCell ref="B24:J24"/>
    <mergeCell ref="D25:J25"/>
    <mergeCell ref="D26:J26"/>
    <mergeCell ref="D27:J27"/>
    <mergeCell ref="D28:J28"/>
    <mergeCell ref="D29:J29"/>
    <mergeCell ref="D30:J30"/>
    <mergeCell ref="D39:J39"/>
    <mergeCell ref="C45:G45"/>
    <mergeCell ref="D31:J31"/>
    <mergeCell ref="D32:J32"/>
    <mergeCell ref="D33:J33"/>
    <mergeCell ref="D34:J34"/>
    <mergeCell ref="D35:J35"/>
    <mergeCell ref="D36:J36"/>
    <mergeCell ref="D38:J38"/>
    <mergeCell ref="N4:O4"/>
    <mergeCell ref="P4:Q4"/>
    <mergeCell ref="O5:Q6"/>
    <mergeCell ref="R5:T6"/>
    <mergeCell ref="R4:S4"/>
    <mergeCell ref="T4:U4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H9:J10"/>
    <mergeCell ref="L9:M10"/>
    <mergeCell ref="N9:U10"/>
    <mergeCell ref="J4:K4"/>
    <mergeCell ref="L4:M4"/>
    <mergeCell ref="A5:A8"/>
    <mergeCell ref="H5:J6"/>
    <mergeCell ref="L5:N6"/>
    <mergeCell ref="A9:A10"/>
    <mergeCell ref="E9:G10"/>
    <mergeCell ref="L17:M18"/>
    <mergeCell ref="N17:U18"/>
    <mergeCell ref="Q23:R23"/>
    <mergeCell ref="N24:O24"/>
    <mergeCell ref="X24:Y24"/>
    <mergeCell ref="A11:A12"/>
    <mergeCell ref="A13:A16"/>
    <mergeCell ref="H13:J14"/>
    <mergeCell ref="L13:N14"/>
    <mergeCell ref="A17:A20"/>
    <mergeCell ref="E17:G18"/>
    <mergeCell ref="H17:J18"/>
  </mergeCells>
  <printOptions/>
  <pageMargins bottom="0.75" footer="0.0" header="0.0" left="0.25" right="0.25" top="0.75"/>
  <pageSetup orientation="landscape"/>
  <drawing r:id="rId2"/>
  <legacyDrawing r:id="rId3"/>
</worksheet>
</file>